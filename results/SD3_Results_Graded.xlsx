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ragh\OneDrive\2026 IE\ELEN4010\individualProj\SD3-Project-Individual-\results\"/>
    </mc:Choice>
  </mc:AlternateContent>
  <xr:revisionPtr revIDLastSave="0" documentId="13_ncr:1_{4B2A21B3-43F5-43E3-A993-65906BEAAE7B}" xr6:coauthVersionLast="47" xr6:coauthVersionMax="47" xr10:uidLastSave="{00000000-0000-0000-0000-000000000000}"/>
  <bookViews>
    <workbookView xWindow="19665" yWindow="0" windowWidth="32115" windowHeight="21855" activeTab="3" xr2:uid="{4A402718-DF95-41E1-96B7-9F6B73783DA4}"/>
  </bookViews>
  <sheets>
    <sheet name="all_runs_combined" sheetId="2" r:id="rId1"/>
    <sheet name="Analytics Dashboard" sheetId="5" r:id="rId2"/>
    <sheet name="_ChartData" sheetId="6" state="hidden" r:id="rId3"/>
    <sheet name="Extended Analytics" sheetId="7" r:id="rId4"/>
  </sheets>
  <definedNames>
    <definedName name="ExternalData_1" localSheetId="0" hidden="1">all_runs_combined!$A$1:$L$601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0" i="7" l="1"/>
  <c r="E70" i="7"/>
  <c r="D70" i="7"/>
  <c r="C70" i="7"/>
  <c r="F69" i="7"/>
  <c r="E69" i="7"/>
  <c r="D69" i="7"/>
  <c r="C69" i="7"/>
  <c r="F68" i="7"/>
  <c r="E68" i="7"/>
  <c r="D68" i="7"/>
  <c r="C68" i="7"/>
  <c r="F67" i="7"/>
  <c r="E67" i="7"/>
  <c r="D67" i="7"/>
  <c r="C67" i="7"/>
  <c r="F66" i="7"/>
  <c r="E66" i="7"/>
  <c r="D66" i="7"/>
  <c r="C66" i="7"/>
  <c r="F65" i="7"/>
  <c r="E65" i="7"/>
  <c r="D65" i="7"/>
  <c r="C65" i="7"/>
  <c r="F64" i="7"/>
  <c r="E64" i="7"/>
  <c r="D64" i="7"/>
  <c r="C64" i="7"/>
  <c r="B70" i="7"/>
  <c r="B69" i="7"/>
  <c r="B68" i="7"/>
  <c r="B67" i="7"/>
  <c r="B66" i="7"/>
  <c r="B65" i="7"/>
  <c r="B64" i="7"/>
  <c r="F57" i="7"/>
  <c r="E57" i="7"/>
  <c r="D57" i="7"/>
  <c r="F56" i="7"/>
  <c r="E56" i="7"/>
  <c r="D56" i="7"/>
  <c r="C56" i="7"/>
  <c r="B56" i="7"/>
  <c r="F55" i="7"/>
  <c r="E55" i="7"/>
  <c r="D55" i="7"/>
  <c r="C57" i="7"/>
  <c r="B57" i="7"/>
  <c r="C55" i="7"/>
  <c r="B55" i="7"/>
  <c r="F45" i="7"/>
  <c r="E45" i="7"/>
  <c r="D45" i="7"/>
  <c r="C45" i="7"/>
  <c r="F44" i="7"/>
  <c r="E44" i="7"/>
  <c r="D44" i="7"/>
  <c r="C44" i="7"/>
  <c r="F43" i="7"/>
  <c r="E43" i="7"/>
  <c r="D43" i="7"/>
  <c r="C43" i="7"/>
  <c r="F42" i="7"/>
  <c r="E42" i="7"/>
  <c r="D42" i="7"/>
  <c r="C42" i="7"/>
  <c r="F41" i="7"/>
  <c r="E41" i="7"/>
  <c r="D41" i="7"/>
  <c r="C41" i="7"/>
  <c r="B45" i="7"/>
  <c r="B44" i="7"/>
  <c r="B43" i="7"/>
  <c r="B42" i="7"/>
  <c r="B41" i="7"/>
  <c r="G34" i="7"/>
  <c r="G33" i="7"/>
  <c r="G32" i="7"/>
  <c r="F33" i="7"/>
  <c r="E33" i="7"/>
  <c r="D33" i="7"/>
  <c r="C33" i="7"/>
  <c r="F32" i="7"/>
  <c r="F34" i="7" s="1"/>
  <c r="E32" i="7"/>
  <c r="E34" i="7" s="1"/>
  <c r="D32" i="7"/>
  <c r="D34" i="7" s="1"/>
  <c r="C32" i="7"/>
  <c r="C34" i="7" s="1"/>
  <c r="B34" i="7"/>
  <c r="B33" i="7"/>
  <c r="B32" i="7"/>
  <c r="G25" i="7"/>
  <c r="G24" i="7"/>
  <c r="G23" i="7"/>
  <c r="G22" i="7"/>
  <c r="G21" i="7"/>
  <c r="G20" i="7"/>
  <c r="G19" i="7"/>
  <c r="F25" i="7"/>
  <c r="E25" i="7"/>
  <c r="D25" i="7"/>
  <c r="C25" i="7"/>
  <c r="F24" i="7"/>
  <c r="E24" i="7"/>
  <c r="D24" i="7"/>
  <c r="C24" i="7"/>
  <c r="F23" i="7"/>
  <c r="E23" i="7"/>
  <c r="D23" i="7"/>
  <c r="C23" i="7"/>
  <c r="F22" i="7"/>
  <c r="E22" i="7"/>
  <c r="D22" i="7"/>
  <c r="C22" i="7"/>
  <c r="F21" i="7"/>
  <c r="E21" i="7"/>
  <c r="D21" i="7"/>
  <c r="C21" i="7"/>
  <c r="F20" i="7"/>
  <c r="E20" i="7"/>
  <c r="D20" i="7"/>
  <c r="C20" i="7"/>
  <c r="F19" i="7"/>
  <c r="E19" i="7"/>
  <c r="D19" i="7"/>
  <c r="C19" i="7"/>
  <c r="B25" i="7"/>
  <c r="B24" i="7"/>
  <c r="B23" i="7"/>
  <c r="B22" i="7"/>
  <c r="B21" i="7"/>
  <c r="B20" i="7"/>
  <c r="B19" i="7"/>
  <c r="F12" i="7"/>
  <c r="H12" i="7" s="1"/>
  <c r="E12" i="7"/>
  <c r="G12" i="7" s="1"/>
  <c r="C12" i="7"/>
  <c r="D12" i="7" s="1"/>
  <c r="B12" i="7"/>
  <c r="F11" i="7"/>
  <c r="H11" i="7" s="1"/>
  <c r="E11" i="7"/>
  <c r="G11" i="7" s="1"/>
  <c r="C11" i="7"/>
  <c r="D11" i="7" s="1"/>
  <c r="B11" i="7"/>
  <c r="F10" i="7"/>
  <c r="H10" i="7" s="1"/>
  <c r="E10" i="7"/>
  <c r="G10" i="7" s="1"/>
  <c r="C10" i="7"/>
  <c r="D10" i="7" s="1"/>
  <c r="B10" i="7"/>
  <c r="F9" i="7"/>
  <c r="H9" i="7" s="1"/>
  <c r="E9" i="7"/>
  <c r="G9" i="7" s="1"/>
  <c r="C9" i="7"/>
  <c r="D9" i="7" s="1"/>
  <c r="B9" i="7"/>
  <c r="H8" i="7"/>
  <c r="G8" i="7"/>
  <c r="F8" i="7"/>
  <c r="E8" i="7"/>
  <c r="D8" i="7"/>
  <c r="C8" i="7"/>
  <c r="B8" i="7"/>
  <c r="J95" i="5"/>
  <c r="H95" i="5"/>
  <c r="G95" i="5"/>
  <c r="I95" i="5" s="1"/>
  <c r="F95" i="5"/>
  <c r="J94" i="5"/>
  <c r="H94" i="5"/>
  <c r="G94" i="5"/>
  <c r="I94" i="5" s="1"/>
  <c r="F94" i="5"/>
  <c r="J93" i="5"/>
  <c r="H93" i="5"/>
  <c r="G93" i="5"/>
  <c r="I93" i="5" s="1"/>
  <c r="F93" i="5"/>
  <c r="F86" i="5"/>
  <c r="F85" i="5"/>
  <c r="F84" i="5"/>
  <c r="F83" i="5"/>
  <c r="F82" i="5"/>
  <c r="F81" i="5"/>
  <c r="F80" i="5"/>
  <c r="F79" i="5"/>
  <c r="F78" i="5"/>
  <c r="F77" i="5"/>
  <c r="F70" i="5"/>
  <c r="F69" i="5"/>
  <c r="F68" i="5"/>
  <c r="F67" i="5"/>
  <c r="F66" i="5"/>
  <c r="F65" i="5"/>
  <c r="F64" i="5"/>
  <c r="F63" i="5"/>
  <c r="F62" i="5"/>
  <c r="F61" i="5"/>
  <c r="E54" i="5"/>
  <c r="E53" i="5"/>
  <c r="E52" i="5"/>
  <c r="E51" i="5"/>
  <c r="E50" i="5"/>
  <c r="J43" i="5"/>
  <c r="H43" i="5"/>
  <c r="G43" i="5"/>
  <c r="I43" i="5" s="1"/>
  <c r="F43" i="5"/>
  <c r="J42" i="5"/>
  <c r="H42" i="5"/>
  <c r="G42" i="5"/>
  <c r="I42" i="5" s="1"/>
  <c r="F42" i="5"/>
  <c r="J35" i="5"/>
  <c r="H35" i="5"/>
  <c r="G35" i="5"/>
  <c r="I35" i="5" s="1"/>
  <c r="F35" i="5"/>
  <c r="J34" i="5"/>
  <c r="H34" i="5"/>
  <c r="G34" i="5"/>
  <c r="I34" i="5" s="1"/>
  <c r="F34" i="5"/>
  <c r="J33" i="5"/>
  <c r="H33" i="5"/>
  <c r="G33" i="5"/>
  <c r="I33" i="5" s="1"/>
  <c r="F33" i="5"/>
  <c r="J32" i="5"/>
  <c r="H32" i="5"/>
  <c r="G32" i="5"/>
  <c r="I32" i="5" s="1"/>
  <c r="F32" i="5"/>
  <c r="J31" i="5"/>
  <c r="H31" i="5"/>
  <c r="G31" i="5"/>
  <c r="I31" i="5" s="1"/>
  <c r="F31" i="5"/>
  <c r="C24" i="5"/>
  <c r="C23" i="5"/>
  <c r="C22" i="5"/>
  <c r="C21" i="5"/>
  <c r="C20" i="5"/>
  <c r="C1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47A210-AD59-4FBC-BE59-2F09BE20C483}" keepAlive="1" name="Query - all_runs_combined" description="Connection to the 'all_runs_combined' query in the workbook." type="5" refreshedVersion="8" background="1" saveData="1">
    <dbPr connection="Provider=Microsoft.Mashup.OleDb.1;Data Source=$Workbook$;Location=all_runs_combined;Extended Properties=&quot;&quot;" command="SELECT * FROM [all_runs_combined]"/>
  </connection>
</connections>
</file>

<file path=xl/sharedStrings.xml><?xml version="1.0" encoding="utf-8"?>
<sst xmlns="http://schemas.openxmlformats.org/spreadsheetml/2006/main" count="6392" uniqueCount="861">
  <si>
    <t>1A</t>
  </si>
  <si>
    <t>preprocessing</t>
  </si>
  <si>
    <t>easy</t>
  </si>
  <si>
    <t>generic</t>
  </si>
  <si>
    <t>openai_flagship</t>
  </si>
  <si>
    <t>GPT-4o</t>
  </si>
  <si>
    <t>gpt-4o</t>
  </si>
  <si>
    <t>success</t>
  </si>
  <si>
    <t>The provided Python code is generally well-written and follows standard practices for a machine learning workflow using scikit-learn. However, there are a few issues and points that could be improved or clarified:
1. **File Path**: 
   - Issue: The code assumes that the file `"housing.csv"` exists in the working directory. If it doesn't, the code will throw a `FileNotFoundError`.
   - Solution: Confirm the path or include error handling for better robustness.
2. **Missing Data Handling**: 
   - Issue: There is no check for missing values in the dataset. Missing values in `X` or `y` can cause problems when fitting the model or scaling the data.
   - Solution: Add steps to handle missing data, such as `X.fillna(value)` or using `SimpleImputer` from scikit-learn.
3. **StandardScaler**:
   - Issue: While scaling is a good practice, it may not be necessary for some models like `LinearRegression`. Additionally, checking the appropriate scale for all features is recommended.
   - Solution: Ensure that scaling is necessary for the dataset and that it appropriately improves model performance.
4. **Data Type for Features and Target**:
   - Issue: There is no check for data types of features and the target variable. Non-numeric data types in `X` or `y` will prevent the model fitting.
   - Solution: Ensure that `X` is numeric, possibly using `pd.get_dummies()` for categorical variables.
5. **Model Evaluation**:
   - Issue: The model is evaluated using mean squared error (MSE), but no other metric or evaluation techniques like cross-validation are explored.
   - Suggestion: Consider using additional metrics, or cross-validation, to obtain a more comprehensive evaluation of model performance.
6. **Hardcoded Random Seed**:
   - Issue: The `random_state` is set to 42, which is a common practice for reproducibility, but this might not be suitable for all scenarios.
   - Solution: Ensure that using a static random seed aligns with the intended use case (e.g., deterministic splitting for academic purposes).
7. **Unused Imports**: 
   - Observation: All imported libraries are utilised in this script. However, it's good practice to periodically review and remove any unused imports to maintain readability.
Overall, the code is functional and adheres to standard practices for this kind of task. Addressing these points could make it more robust and adaptable.</t>
  </si>
  <si>
    <t>openai_mini</t>
  </si>
  <si>
    <t>GPT-4o-mini</t>
  </si>
  <si>
    <t>gpt-4o-mini</t>
  </si>
  <si>
    <t>The provided Python code snippet performs regression analysis on a dataset using the `pandas` library and `scikit-learn`. While the code generally follows good practices for data handling and model training, there are several issues and potential improvements to consider:
1. **Handling Missing Values**:
   - **Issue**: The code does not check for or handle missing values in the DataFrame `df`. If there are any NaN values in the data, it will lead to errors during model training or evaluation.
   - **Solution**: It's essential to check for missing values and handle them appropriately, either by imputation or by dropping rows/columns with NaN values:
     ```python
     if df.isnull().sum().sum() &gt; 0:
         # Option 1: Drop rows with missing values
         df = df.dropna()
         # Option 2: Fill missing values (example: with median or mean)
         df.fillna(df.median(), inplace=True)
     ```
2. **Feature Selection**:
   - **Issue**: The code drops the "price" column directly without examining the DataFrame to ensure that other columns are appropriate features. Depending on the dataset, it may not be optimal to use all other columns as features.
   - **Solution**: Perform exploratory data analysis (EDA) to understand the dataset and select relevant features. Consider using domain knowledge to only include meaningful features.
3. **Data Scaling Assumption**:
   - **Issue**: The code scales all features together without checking if this is necessary. Scaling is generally more beneficial for algorithms sensitive to feature scale, but it's essential to verify whether all features need standardization.
   - **Solution**: Analyze the distribution of features and apply scaling selectively, especially when dealing with categorical variables. For example, you might want to use one-hot encoding for categorical features before scaling.
4. **Model Evaluation**:
   - **Issue**: While Mean Squared Error (MSE) is a useful metric, it would be better to complement it with additional metrics such as R^2 score or MAE (Mean Absolute Error) to provide a more comprehensive evaluation of model performance.
   - **Solution**: Include additional evaluation metrics:
     ```python
     from sklearn.metrics import r2_score, mean_absolute_error
     print(f"MSE: {mean_squared_error(y_test, y_pred):.4f}")
     print(f"MAE: {mean_absolute_error(y_test, y_pred):.4f}")
     print(f"R^2: {r2_score(y_test, y_pred):.4f}")
     ```
5. **Hardcoded File Name**:
   - **Issue**: The CSV file name "housing.csv" is hardcoded, which makes the script less flexible. If the file path changes or if the script needs to be reused with a different dataset, changes will have to be made directly in the code.
   - **Solution**: Use arguments for file paths or configuration files to make the code more robust and adaptable. For example, use `argparse` for dynamic file input:
     ```python
     import argparse
     parser = argparse.ArgumentParser(description='Process housing CSV file.')
     parser.add_argument('filename', type=str, help='Path to the housing CSV file')
     args = parser.parse_args()
     df = pd.read_csv(args.filename)
     ```
6. **Namespace Clarity**:
   - **Issue**: The code uses potentially ambiguous imports such as `import pandas as pd`. Although this is standard practice, for more extensive applications, it's good to clarify your imports and their usage to avoid confusion.
   - **Solution**: Regularly note which libraries/functions are from which module if the codebase grows larger. It can also be beneficial to ideally structure code in functions or classes for better organization.
7. **Error Handling**:
   - **Issue**: The code does not incorporate any error handling for file reading and data processing, which may lead to crashes if there are issues with the CSV file.
   - **Solution**: Use try-except blocks to gracefully handle potential exceptions:
     ```python
     try:
         df = pd.read_csv("housing.csv")
     except FileNotFoundError:
         print("The specified file was not found.")
     ```
By addressing these issues and implementing the suggested solutions, the code can be made more robust, flexible, and aligned with best practices.</t>
  </si>
  <si>
    <t>anthropic_flagship</t>
  </si>
  <si>
    <t>Claude 4.6 Sonnet</t>
  </si>
  <si>
    <t>claude-sonnet-4-6</t>
  </si>
  <si>
    <t>## Code Review
The code is functional and readable, but has several issues ranging from data leakage to missing validation and poor practices.
---
### Issue 1: Data Leakage — Scaler Fit on Full Dataset
```python
# ❌ Current: scaler sees test data before splitting
scaler = StandardScaler()
X_scaled = scaler.fit_transform(X)  # Uses ALL data including future test set
X_train, X_test, y_train, y_test = train_test_split(X_scaled, y, ...)
# ✅ Fixed: fit scaler only on training data
X_train, X_test, y_train, y_test = train_test_split(X, y, test_size=0.2, random_state=42)
scaler = StandardScaler()
X_train_scaled = scaler.fit_transform(X_train)  # Fit on training only
X_test_scaled = scaler.transform(X_test)         # Only transform test data
```
**Why it matters:** Fitting the scaler on the full dataset leaks statistical information (mean, variance) from the test set into training. This produces overly optimistic evaluation metrics and doesn't reflect real-world performance where test data is unseen.
---
### Issue 2: No Handling of Missing Values
```python
# ❌ Current: no missing value check
X = df.drop("price", axis=1)
# ✅ Fixed: inspect and handle missing data before proceeding
print(df.isnull().sum())
# Option A - Drop rows with missing values
df = df.dropna()
# Option B - Impute (should also be done after splitting to avoid leakage)
from sklearn.impute import SimpleImputer
imputer = SimpleImputer(strategy="median")
X_train_imputed = imputer.fit_transform(X_train)
X_test_imputed = imputer.transform(X_test)
```
**Why it matters:** `StandardScaler` and `LinearRegression` do not handle `NaN` values and will silently produce incorrect results or raise cryptic errors.
---
### Issue 3: No Validation That Target Column Exists
```python
# ❌ Current: raises confusing KeyError if column is missing
y = df["price"]
# ✅ Fixed: validate the column exists
target_col = "price"
if target_col not in df.columns:
    raise ValueError(f"Target column '{target_col}' not found. Available: {df.columns.tolist()}")
y = df[target_col]
```
---
### Issue 4: No Handling of Non-Numeric Features
```python
# ❌ Current: StandardScaler will fail on categorical/string columns
X = df.drop("price", axis=1)
# ✅ Fixed: inspect dtypes and encode or drop non-numeric columns
non_numeric = X.select_dtypes(exclude=["number"]).columns.tolist()
if non_numeric:
    print(f"Non-numeric columns detected: {non_numeric}")
    # Option A: Drop them
    X = X.select_dtypes(include=["number"])
    # Option B: Encode them
    X = pd.get_dummies(X, columns=non_numeric, drop_first=True)
```
---
### Issue 5: MSE Is Hard to Interpret — RMSE Is Preferable
```python
# ❌ Current: MSE is in squared units, harder to interpret
print(f"MSE: {mean_squared_error(y_test, y_pred):.4f}")
# ✅ Fixed: also report RMSE and R² for better interpretability
import numpy as np
from sklearn.metrics import r2_score
mse = mean_squared_error(y_test, y_pred)
rmse = np.sqrt(mse)
r2 = r2_score(y_test, y_pred)
print(f"MSE:  {mse:.4f}")
print(f"RMSE: {rmse:.4f}")   # Same units as target variable (e.g., dollars)
print(f"R²:   {r2:.4f}")     # Proportion of variance explained (0–1)
```
---
### Issue 6: No Verification That the CSV Loaded Correctly
```python
# ❌ Current: silently proceeds even if file is empty or malformed
df = pd.read_csv("housing.csv")
# ✅ Fixed: add basic validation after loading
df = pd.read_csv("housing.csv")
print(df.shape)
print(df.head())
assert not df.empty, "Loaded dataframe is empty"
```
---
### Corrected Code
```python
import numpy as np
import pandas as pd
from sklearn.preprocessing import StandardScaler
from sklearn.impute import SimpleImputer
from sklearn.model_selection import train_test_split
from sklearn.linear_model import LinearRegression
from sklearn.metrics import mean_squared_error, r2_score
# Load and validate data
df = pd.read_csv("housing.csv")
assert not df.empty, "Dataframe is empty"
target_col = "price"
if target_col not in df.columns:
    raise ValueError(f"Column '{target_col}' not found. Available: {df.columns.tolist()}")
# Separate features and target
X = df.drop(target_col, axis=1)
y = df[target_col]
# Handle non-numeric columns
X = pd.get_dummies(X, drop_first=True)
# Split BEFORE any fitting to prevent data leakage
X_train, X_test, y_train, y_test = train_test_split(
    X, y, test_size=0.2, random_state=42
)
# Impute missing values (fit on train only)
imputer = SimpleImputer(strategy="median")
X_train = imputer.fit_transform(X_train)
X_test = imputer.transform(X_test)
# Scale features (fit on train only)
scaler = StandardScaler()
X_train_scaled = scaler.fit_transform(X_train)
X_test_scaled = scaler.transform(X_test)
# Train and evaluate
model = LinearRegression()
model.fit(X_train_scaled, y_train)
y_pred = model.predict(X_test_scaled)
mse = mean_squared_error(y_test, y_pred)
print(f"MSE:  {mse:.4f}")
print(f"RMSE: {np.sqrt(mse):.4f}")
print(f"R²:   {r2_score(y_test, y_pred):.4f}")
```
---
### Summary Table
| # | Issue | Severity |
|---|-------|----------|
| 1 | Data leakage via scaler fit before split | 🔴 High |
| 2 | No missing value handling | 🔴 High |
| 3 | No validation of target column existence | 🟡 Medium |
| 4 | No handling of non-numeric features | 🟡 Medium |
| 5 | Only MSE reported (hard to interpret) | 🟢 Low |
| 6 | No validation after CSV load | 🟢 Low |</t>
  </si>
  <si>
    <t>anthropic_mini</t>
  </si>
  <si>
    <t>Claude 4.5 Haiku</t>
  </si>
  <si>
    <t>claude-haiku-4-5-20251001</t>
  </si>
  <si>
    <t># Code Review: Issues and Problems
## 1. **Data Leakage via Scaler (CRITICAL)**
```python
scaler = StandardScaler()
X_scaled = scaler.fit_transform(X)  # ❌ Fitted on ALL data
X_train, X_test, y_train, y_test = train_test_split(X_scaled, y, ...)
```
**Problem:** The scaler is fit on the entire dataset before splitting. This means test data statistics influence training data scaling.
**Fix:**
```python
X_train, X_test, y_train, y_test = train_test_split(X, y, test_size=0.2, random_state=42)
scaler = StandardScaler()
X_train_scaled = scaler.fit_transform(X_train)  # Fit only on training data
X_test_scaled = scaler.transform(X_test)        # Transform test data
```
## 2. **No Error Handling**
```python
df = pd.read_csv("housing.csv")  # ❌ No error handling
```
**Problem:** The code will crash if the file doesn't exist or is malformed.
**Fix:**
```python
try:
    df = pd.read_csv("housing.csv")
except FileNotFoundError:
    print("Error: housing.csv not found")
    exit(1)
except pd.errors.ParserError as e:
    print(f"Error parsing CSV: {e}")
    exit(1)
```
## 3. **No Data Validation**
```python
X = df.drop("price", axis=1)  # ❌ Assumes "price" exists
y = df["price"]
```
**Problem:** Code crashes if "price" column doesn't exist or if there are missing values.
**Fix:**
```python
if "price" not in df.columns:
    raise ValueError("'price' column not found in dataset")
if df.isnull().any().any():
    print("Warning: Dataset contains missing values")
    df = df.dropna()  # or use imputation
```
## 4. **Missing Use of RMSE (Incomplete Metric)**
```python
print(f"MSE: {mean_squared_error(y_test, y_pred):.4f}")
```
**Problem:** MSE is in squared units, making it hard to interpret. Should also report RMSE (root MSE) or R² score.
**Fix:**
```python
from sklearn.metrics import mean_squared_error, r2_score
import numpy as np
mse = mean_squared_error(y_test, y_pred)
rmse = np.sqrt(mse)
r2 = r2_score(y_test, y_pred)
print(f"MSE: {mse:.4f}")
print(f"RMSE: {rmse:.4f}")
print(f"R² Score: {r2:.4f}")
```
## 5. **No Train/Test Performance Comparison**
```python
model.fit(X_train, y_train)
y_pred = model.predict(X_test)
print(f"MSE: {mean_squared_error(y_test, y_pred):.4f}")
```
**Problem:** Only evaluates on test set. Can't detect overfitting without training metrics.
**Fix:**
```python
y_train_pred = model.predict(X_train_scaled)
train_rmse = np.sqrt(mean_squared_error(y_train, y_train_pred))
test_rmse = np.sqrt(mean_squared_error(y_test, y_pred))
print(f"Train RMSE: {train_rmse:.4f}")
print(f"Test RMSE: {test_rmse:.4f}")
```
## 6. **No Feature Information**
```python
X = df.drop("price", axis=1)
```
**Problem:** No validation of feature types (numeric vs categorical). Categorical features need encoding.
**Fix:**
```python
print(df.dtypes)
print(df.head())
# Handle categorical variables if present
X = pd.get_dummies(X, drop_first=True)
```
## 7. **Hard-coded File Path**
```python
df = pd.read_csv("housing.csv")
```
**Problem:** Not configurable; makes code less reusable.
**Fix:**
```python
import sys
DATA_PATH = sys.argv[1] if len(sys.argv) &gt; 1 else "housing.csv"
df = pd.read_csv(DATA_PATH)
```
## 8. **No Random State Control for Reproducibility**
Already has `random_state=42` ✓ (Good), but the scaler fitting should also be deterministic after the fix.
---
## Summary Table
| Issue | Severity | Type |
|-------|----------|------|
| Data leakage via scaler | **CRITICAL** | Bug |
| No error handling | High | Robustness |
| No data validation | High | Robustness |
| Incomplete metrics | Medium | Analysis |
| No train/test comparison | Medium | Analysis |
| No categorical handling | Medium | Robustness |
| Hard-coded paths | Low | Design |</t>
  </si>
  <si>
    <t>gemini</t>
  </si>
  <si>
    <t>Gemini 2.5 Flash</t>
  </si>
  <si>
    <t>gemini-2.5-flash</t>
  </si>
  <si>
    <t>This Python code provides a basic end-to-end machine learning workflow for a regression problem. While functional for a simple demonstration, it has several issues, bugs, and bad practices that are crucial to address in real-world scenarios.
Here's a breakdown of the problems:
1.  **Critical Issue: Data Leakage during Scaling**
    *   **Problem**: The `StandardScaler` is fitted on the *entire* dataset (`X`) before the data is split into training and testing sets (`X_scaled = scaler.fit_transform(X)`).
    *   **Explanation**: When `scaler.fit_transform(X)` is called, the scaler calculates the mean and standard deviation for each feature using *all* the data, including the data that will eventually become the test set. This means information from the test set is used to transform the training data. Consequently, the model trained on this "leaked" data will have an unfair advantage and likely show an overly optimistic performance on the test set because it implicitly "saw" properties of the test data during preprocessing.
    *   **Best Practice**: The `StandardScaler` (or any preprocessor) should only be `fit` on the *training data* (`X_train`). Then, both the training and test data should be `transform`ed using this *same* fitted scaler.
2.  **Lack of Data Preprocessing and Exploration**
    *   **Problem**: The code assumes the `housing.csv` file is perfectly clean and ready for modeling.
    *   **Explanation**: In reality, datasets often contain:
        *   **Missing Values (NaNs)**: If `housing.csv` has missing values, `StandardScaler` would raise an error (if `NaN`s are present) or `LinearRegression` might produce unexpected results depending on how pandas/sklearn handles them (though often they are implicitly dropped or cause errors). There's no check (`df.isnull().sum()`) or handling (e.g., `dropna()`, `fillna()`).
        *   **Categorical Features**: `X = df.drop("price", axis=1)` could include non-numeric (e.g., string) columns if they exist in the original CSV. `StandardScaler` expects purely numerical input. Passing categorical columns would result in a `TypeError` or `ValueError`. There's no encoding for categorical variables (e.g., One-Hot Encoding).
        *   **Outliers**: Extreme values can significantly impact linear models and scaling. No checks or handling for outliers are present.
        *   **Data Types**: No explicit check on `df.info()` to ensure columns have the expected data types.
    *   **Best Practice**: Always perform thorough Exploratory Data Analysis (EDA) and data preprocessing steps.
3.  **No Error Handling for File or Column Existence**
    *   **Problem**: The code assumes `housing.csv` exists in the current directory and that a column named "price" definitely exists in the DataFrame.
    *   **Explanation**: If `housing.csv` is not found, `pd.read_csv()` will raise a `FileNotFoundError` and crash the script. If the "price" column doesn't exist (e.g., it's named "Price" or "housing_price"), `df.drop("price", axis=1)` or `df["price"]` will raise a `KeyError` and crash the script.
    *   **Best Practice**: Use `try-except` blocks for file operations and check for column existence before accessing them, especially in production code.
4.  **Lack of a Scikit-learn Pipeline (Best Practice)**
    *   **Problem**: The preprocessing steps (scaling) are separate from the model training.
    *   **Explanation**: While not strictly a "bug" here, managing multiple preprocessing steps and a model separately can lead to errors (like the data leakage mentioned above) and make the code less organized and harder to maintain.
    *   **Best Practice**: Use `sklearn.pipeline.Pipeline`. A pipeline correctly chains together preprocessing steps and the final estimator. It ensures that `fit_transform` is only called on the training data and `transform` is called on the test data automatically, preventing data leakage and making the workflow much cleaner.
5.  **Limited Model Evaluation**
    *   **Problem**: Only Mean Squared Error (MSE) is used to evaluate the model.
    *   **Explanation**: While MSE is a valid metric, relying solely on it might not give a complete picture of the model's performance. For regression, other metrics are often useful.
    *   **Best Practice**: Consider reporting additional metrics like:
        *   **Root Mean Squared Error (RMSE)**: Easier to interpret as it's in the same units as the target variable.
        *   **Mean Absolute Error (MAE)**: Less sensitive to outliers than MSE.
        *   **R-squared (R2 Score)**: Indicates the proportion of variance in the dependent variable that can be predicted from the independent variables.
        *   Visualizations: Plotting predicted vs. actual values, or residual plots, can reveal patterns and issues not captured by single metrics.
6.  **No Comments**
    *   **Problem**: The code has no comments explaining what each section does or any assumptions made.
    *   **Explanation**: For a small script, it's somewhat understandable, but as code grows, lack of comments makes it difficult for others (or your future self) to understand the logic, intent, and potential pitfalls.
    *   **Best Practice**: Add concise comments to explain complex logic, choices, or assumptions.
**Revised Code (Illustrating Best Practices)**
```python
import pandas as pd
from sklearn.preprocessing import StandardScaler
from sklearn.model_selection import train_test_split
from sklearn.linear_model import LinearRegression
from sklearn.metrics import mean_squared_error, r2_score
from sklearn.pipeline import Pipeline
from sklearn.compose import ColumnTransformer # For more advanced handling of different column types
def run_housing_prediction(file_path="housing.csv", target_column="price"):
    """
    Runs a housing price prediction workflow with best practices.
    Args:
        file_path (str): Path to the CSV file containing housing data.
        target_column (str): Name of the target column (e.g., 'price').
    """
    try:
        df = pd.read_csv(file_path)
        print(f"Successfully loaded data from {file_path}")
        print("Initial data info:")
        df.info()
        print("\nMissing values before processing:")
        print(df.isnull().sum())
    except FileNotFoundError:
        print(f"Error: The file '{file_path}' was not found.")
        return
    except Exception as e:
        print(f"An error occurred while loading or inspecting the data: {e}")
        return
    # 1. Handle Missing Values (Example: dropping rows with NaNs)
    # This is a simple strategy. For real data, consider imputation.
    initial_rows = len(df)
    df.dropna(inplace=True)
    if len(df) &lt; initial_rows:
        print(f"\nDropped {initial_rows - len(df)} rows with missing values.")
        print(f"Remaining rows: {len(df)}")
    # 2. Separate features (X) and target (y)
    if target_column not in df.columns:
        print(f"Error: Target column '{target_column}' not found in the dataset.")
        return
    X = df.drop(target_column, axis=1)
    y = df[target_column]
    # Identify numerical and categorical columns for preprocessing
    # This assumes all remaining columns in X are numerical or could be handled.
    # For a real dataset, you'd carefully select columns.
    numerical_features = X.select_dtypes(include=['int64', 'float64']).columns
    # categorical_features = X.select_dtypes(include=['object']).columns
    # If there were categorical features, you'd add a OneHotEncoder here.
    # For this example, we assume all features are numeric after dropping 'price'.
    if len(numerical_features) == 0:
        print("Error: No numerical features found for modeling after dropping the target.")
        return
    if len(numerical_features) &lt; len(X.columns):
         print(f"Warning: Non-numerical features were present and not explicitly handled/encoded. "
               f"They will be implicitly dropped by the ColumnTransformer if not specified.")
         # You would typically handle categorical_features here.
         X = X[numerical_features] # Keep only numerical for now
    # 3. Create a preprocessing and modeling Pipeline
    # This correctly handles scaling and prevents data leakage.
    # The ColumnTransformer is for handling different types of columns separately.
    preprocessor = ColumnTransformer(
        transformers=[
            ('num', StandardScaler(), numerical_features)
            # Add other transformers for categorical features if needed, e.g.:
            # ('cat', OneHotEncoder(handle_unknown='ignore'), categorical_features)
        ],
        remainder='passthrough' # Keep other columns (if any) as they are, or 'drop'
    )
    # Create the full pipeline: Preprocessing -&gt; Model
    model_pipeline = Pipeline(steps=[
        ('preprocessor', preprocessor),
        ('regressor', LinearRegression())
    ])
    # 4. Split data into training and testing sets
    X_train, X_test, y_train, y_test = train_test_split(
        X, y, test_size=0.2, random_state=42
    )
    print(f"\nData split: Training samples = {len(X_train)}, Testing samples = {len(X_test)}")
    # 5. Train the model using the pipeline (fits preprocessor on train, then transforms train, then fits model)
    print("\nTraining the model...")
    model_pipeline.fit(X_train, y_train)
    print("Model training complete.")
    # 6. Make predictions on the test set
    y_pred = model_pipeline.predict(X_test)
    # 7. Evaluate the model
    mse = mean_squared_error(y_test, y_pred)
    rmse = mean_squared_error(y_test, y_pred, squared=False) # squared=False for RMSE
    r2 = r2_score(y_test, y_pred)
    print("\nModel Evaluation:")
    print(f"Mean Squared Error (MSE): {mse:.4f}")
    print(f"Root Mean Squared Error (RMSE): {rmse:.4f}")
    print(f"R-squared (R2): {r2:.4f}")
    # Optional: Display model coefficients (access through the pipeline)
    print("\nModel Coefficients:")
    # Access the trained regressor from the pipeline
    regressor = model_pipeline.named_steps['regressor']
    # If using ColumnTransformer, the feature names get transformed.
    # This part can be tricky. For simple case, we know `numerical_features` were scaled.
    # For a robust solution, one might need to get feature names after preprocessing.
    try:
        # This will work if preprocessor doesn't change column names drastically or if only one type of feature
        print(pd.DataFrame({'Feature': numerical_features, 'Coefficient': regressor.coef_}))
    except Exception as e:
        print(f"Could not display coefficients easily due to ColumnTransformer setup: {e}")
if __name__ == "__main__":
    run_housing_prediction()
```</t>
  </si>
  <si>
    <t>specific</t>
  </si>
  <si>
    <t>The pipeline described in the provided code does contain data leakage, specifically in the scaling step. Here's why:
### Data Leakage Issue:
1. **StandardScaler Applied Before Train-Test Split:**
   - The `StandardScaler` is applied to the entire dataset (`X`) before splitting it into training and test sets. This means the `scaler.fit_transform(X)` call computes the mean and standard deviation using the entire dataset, including both the training and test data.
2. **Problem with This Approach:**
   - Using the entire dataset to compute scaling parameters (mean and standard deviation) leads to information from the test set being incorporated into the transformed training data. When performing machine learning tasks, only the training set should be used to compute any statistics or transformation parameters—such as mean and standard deviation—that will later be applied to both the training and test sets.
   - This data leakage can lead to overly optimistic performance metrics, as the model has had access to information derived from the test set during the training phase.
### Solution to Avoid Data Leakage:
To prevent the data leakage, you should fit the scaler only on the training data, and then use the same scaler to transform both the training and test sets.
Here is the corrected code: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X_train, X_test, y_train, y_test = train_test_split(
    X, y, test_size=0.2, random_state=42
)
scaler = StandardScaler()
X_train_scaled = scaler.fit_transform(X_train)
X_test_scaled = scaler.transform(X_test)
model = LinearRegression()
model.fit(X_train_scaled, y_train)
y_pred = model.predict(X_test_scaled)
print(f"MSE: {mean_squared_error(y_test, y_pred):.4f}")
```
In this corrected version, the scaler is only fitted on `X_train` and then used to transform both `X_train` and `X_test`. This approach ensures that no information from the test data is used during the training of the model.</t>
  </si>
  <si>
    <t>The provided machine learning pipeline code contains a form of data leakage that occurs during the scaling step. Let's break down where this happens and why it's a problem:
### Data Leakage Issue
1. **Scaling the Entire Dataset Before Splitting**:
   ```python
   scaler = StandardScaler()
   X_scaled = scaler.fit_transform(X)
   ```
   In this part of the code, the `StandardScaler` is fitted to the entire dataset `X` before the data is split into training and test sets. Fitting the scaler to `X` means that the scaling parameters (mean and standard deviation) are computed using information from both the training set and the test set.
2. **Consequences of this Approach**:
   - **Information Leakage**: By fitting the scaler on the whole dataset, the statistics (mean and variance) derived from the entire dataset include information from the test set. This leaks information about the test dataset into the training process. During training, the model is indirectly influenced by data points that it should not have any prior exposure to.
   - **Misleading Model Evaluation**: Because the model is trained on data that was scaled using knowledge of the test set, the evaluation metrics (like Mean Squared Error) may provide misleadingly optimistic results. The model may appear to perform better than it actually would when applied to truly unseen data.
### Correct Approach
To avoid this kind of data leakage, the scaling should be performed after splitting the data into training and test sets:
```python
X_train, X_test, y_train, y_test = train_test_split(
    X, y, test_size=0.2, random_state=42
)
scaler = StandardScaler()
X_train_scaled = scaler.fit_transform(X_train)
X_test_scaled = scaler.transform(X_test)  # Only transform on the test set
```
### Conclusion
The original code does contain data leakage due to the scaling of the full dataset before splitting into training and test sets, which can lead to an overestimation of the model's performance. This should be corrected by splitting the data first and then applying the scaler to only the training set, subsequently using the same scaler to transform the test set.</t>
  </si>
  <si>
    <t>## Data Leakage Analysis
### Verdict: **Data Leakage Present**
---
### Where the Leakage Occurs
The problem is on this specific line:
```python
scaler = StandardScaler()
X_scaled = scaler.fit_transform(X)  # ← Leakage happens here
```
`scaler.fit_transform(X)` is called on the **entire dataset** before the train/test split. The split happens afterward:
```python
X_train, X_test, y_train, y_test = train_test_split(
    X_scaled, y, test_size=0.2, random_state=42  # ← Already contaminated data
)
```
---
### Why This Is a Problem
`StandardScaler.fit()` computes the **mean and standard deviation** of each feature. By fitting on all of `X`, those statistics are calculated using test set values. This means:
- The test set's distributional properties **leak into the scaling parameters**
- Those parameters are then used to transform the training data
- The model is effectively trained with **hidden knowledge about the test set**
This produces an **overly optimistic MSE** because the scaler is already "aware" of the test data's scale and distribution.
---
### Corrected Code
```python
import pandas as pd
from sklearn.preprocessing import StandardScaler
from sklearn.model_selection import train_test_split
from sklearn.linear_model import LinearRegression
from sklearn.metrics import mean_squared_error
from sklearn.pipeline import Pipeline
df = pd.read_csv("housing.csv")
X = df.drop("price", axis=1)
y = df["price"]
# Split BEFORE any fitting
X_train, X_test, y_train, y_test = train_test_split(
    X, y, test_size=0.2, random_state=42
)
# Use a Pipeline to prevent leakage — scaler fits only on training data
pipeline = Pipeline([
    ("scaler", StandardScaler()),
    ("model", LinearRegression())
])
pipeline.fit(X_train, y_train)
y_pred = pipeline.predict(X_test)
print(f"MSE: {mean_squared_error(y_test, y_pred):.4f}")
```
---
### Key Fixes and Why
| Practice | Reason |
|---|---|
| Split raw data first | No fitted transformer has seen test data |
| Use `Pipeline` | Guarantees scaler is fit only on training fold, also prevents the same mistake during cross-validation |
| Never call `.fit()` or `.fit_transform()` on combined data | These methods extract statistics that constitute information leakage |
---
### Practical Impact Note
For `StandardScaler` with a large dataset, the leakage effect is often **numerically small** but still represents a **methodological flaw**. The impact is more severe with:
- Small datasets (test statistics shift training-set scaling noticeably)
- More complex transformers (e.g., `TargetEncoder`, `KNNImputer`, PCA) where leakage carries richer information
- Cross-validation scenarios where the bug causes consistent contamination across all folds</t>
  </si>
  <si>
    <t># Data Leakage Review
**CRITICAL DATA LEAKAGE FOUND**
## The Problem
The `StandardScaler` is fit on the **entire dataset** (line 8) *before* the train-test split occurs (lines 10-13). This causes test set information to leak into the training process.
```python
scaler = StandardScaler()
X_scaled = scaler.fit_transform(X)  # ❌ Fitted on ALL data, including test set
X_train, X_test, y_train, y_test = train_test_split(...)
```
## Why This Is a Problem
1. **Mean and standard deviation statistics** computed by `fit_transform()` include information from the test set
2. When `X_test` is scaled, it's transformed using statistics that were partially derived from the test set itself
3. The model effectively "sees" information about the test set during preprocessing, inflating performance metrics
4. This violates the fundamental principle that the test set must be completely unseen during all training steps
## The Fix
Fit the scaler **only on training data**, then apply it to both sets:
```python
X_train, X_test, y_train, y_test = train_test_split(
    X, y, test_size=0.2, random_state=42
)
scaler = StandardScaler()
X_train_scaled = scaler.fit_transform(X_train)  # ✓ Fit only on training data
X_test_scaled = scaler.transform(X_test)       # ✓ Transform using training statistics
model = LinearRegression()
model.fit(X_train_scaled, y_train)
y_pred = model.predict(X_test_scaled)
print(f"MSE: {mean_squared_error(y_test, y_pred):.4f}")
```
## Impact
Your reported MSE will be **optimistically biased** (lower than true generalization error). The magnitude of bias depends on how different the test set distribution is from the training set.</t>
  </si>
  <si>
    <t>Yes, this code *does* contain a form of data leakage.
### Explanation of Data Leakage
The data leakage occurs in the following lines:
```python
scaler = StandardScaler()
X_scaled = scaler.fit_transform(X) # &lt;-- Leakage occurs here!
```
**Why this is a problem:**
1.  **`StandardScaler().fit_transform(X)`:** When you call `fit_transform` on the entire dataset `X` (which includes both the data that will eventually become your training set and your test set), the `StandardScaler` calculates the mean and standard deviation for each feature using *all* the data points.
2.  **Information from the Test Set:** This means that the scaling parameters (mean and standard deviation) used to transform your features are influenced by information present in the test set.
3.  **Unrealistic Evaluation:** In a real-world scenario, when you deploy your model, you would encounter new, unseen data. You would only have access to the statistics (mean, std) learned from your *training data* to preprocess this new data. By fitting the scaler on the entire dataset, your model's performance on the "test set" might be optimistically biased because the test data's scaling has implicitly benefited from seeing its own statistics. It violates the principle that the test set should represent truly unseen data.
### How to Fix It
To prevent this data leakage, you should perform the `train_test_split` *before* fitting any preprocessors (like `StandardScaler`) that learn parameters from the data. The scaler should only be `fit` on the training data, and then used to `transform` both the training and test data.
Here's the corrected code: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 --- CORRECTED PART STARTS HERE ---
# 1. Split data into training and testing sets FIRST
X_train, X_test, y_train, y_test = train_test_split(
    X, y, test_size=0.2, random_state=42
)
# 2. Initialize the scaler
scaler = StandardScaler()
# 3. Fit the scaler ONLY on the training data
scaler.fit(X_train)
# 4. Transform both the training and test data using the fitted scaler
X_train_scaled = scaler.transform(X_train)
X_test_scaled = scaler.transform(X_test)
# --- CORRECTED PART ENDS HERE ---
model = LinearRegression()
# Use the scaled training data for fitting
model.fit(X_train_scaled, y_train)
# Use the scaled test data for prediction
y_pred = model.predict(X_test_scaled)
print(f"MSE: {mean_squared_error(y_test, y_pred):.4f}")
```
This corrected approach ensures that the `StandardScaler` learns its parameters (mean and standard deviation) exclusively from the training data, mimicking a real-world scenario where your model would only have access to training data statistics for preprocessing new, unseen inputs.</t>
  </si>
  <si>
    <t>1B</t>
  </si>
  <si>
    <t>preprocessing_clean</t>
  </si>
  <si>
    <t>n/a</t>
  </si>
  <si>
    <t>The given Python code is generally well-structured, but there are a few points and potential improvements that could enhance its quality and robustness:
1. **Handling of Missing Values:**
   - The code does not check for or handle missing values in the dataset. If `df` contains NaNs, this could cause errors during scaling and model training. Consider adding a step to handle missing data, such as filling it with a certain value or dropping these rows/columns.
2. **Verbose Variable Naming:**
   - Variable names in the code are quite clear, which is good practice. However, further clarification could be added by explicitly noting the purpose of certain sections, for example, comments/items explaining each step (e.g., loading data, preprocessing, training, etc.,) if the script were part of a larger codebase.
3. **Feature and Target Data Types:**
   - Ensure that `X` only contains numerical features if `StandardScaler` is to be used since it’s meant for continuous data. If `X` contains categorical data, it should be encoded first.
4. **StandardScaler Usage:**
   - The code correctly uses `StandardScaler` for feature scaling. However, ensure that the features in `X` necessitate standard scaling, and if any features should not be scaled, handle them appropriately.
5. **Output Interpretation:**
   - The Mean Squared Error (MSE) is printed with a formatting that limits to four decimal places. While this precision is usually adequate, consider explaining results further or adding context (e.g., baseline comparison), to explain the MSE meaningfully.
6. **Dependency Management:**
   - Ensure that all necessary dependencies (pandas, scikit-learn) are installed in the environment. Consider using a virtual environment and `requirements.txt` if providing this code to others.
7. **Data Splitting:**
   - The `train_test_split` uses a `random_state`, which is good practice for reproducibility. Ensure, however, that using a fixed `random_state` serves your experimental needs.
8. **Logger Instead of Print:**
   - Instead of printing directly, using a logging library would be beneficial for more complex applications or scripts, especially when more verbosity control is needed.
9. **Error Handling:**
   - Add error handling (try-except blocks) around critical sections like file I/O (`pd.read_csv`) to avoid runtime errors without informative messaging.
10. **Unused Imports:**
    - All imported modules are used effectively. However, if there are more imports in a broader script, ensure that each one is necessary to keep the code clean and efficient.
In summary, the code is straightforward and effectively sets up a simple linear regression. Improvements would mainly involve better data handling, checking for edge cases, and enhancing the maintainability and readability of the script for larger or real-world applications.</t>
  </si>
  <si>
    <t>The provided Python code contains a few issues and potential areas for improvement. Here’s a detailed review identifying these problems, along with explanations for each:
1. **Lack of Error Handling**:
   - There is no error handling for the file reading operation using `pd.read_csv()`. If the file "housing.csv" does not exist or is incorrectly formatted, it will raise a `FileNotFoundError` or `pd.errors.ParserError` respectively. It's good practice to wrap file reading in a try-except block to handle such exceptions gracefully.
   ```python
   try:
       df = pd.read_csv("housing.csv")
   except FileNotFoundError:
       print("The file 'housing.csv' was not found.")
       exit()
   except pd.errors.ParserError:
       print("Error parsing 'housing.csv'.")
       exit()
   ```
2. **Data Integrity Checks**:
   - The code does not check for missing values or data types in the DataFrame `df`. Before dropping columns or performing transformations, it is crucial to check for NaN values and validate that the data types are appropriate for the intended model. You should consider adding checks for these conditions.
   ```python
   if df.isnull().values.any():
       print("Warning: Data contains missing values. Consider handling them.")
   ```
3. **Feature Engineering Considerations**:
   - The variables in `X` might not have been preprocessed adequately before scaling. This could include converting categorical variables to numerical (e.g., one-hot encoding), handling outliers, or transforming non-normally distributed features. The model's performance can be significantly influenced by these preprocessing steps.
4. **Scaling should be applied based on the context**:
   - While scaling the features using `StandardScaler` is a common practice, it may not always be necessary or appropriate, especially if features are already on a similar scale or if the model is not sensitive to feature scaling. Before applying `StandardScaler`, it's a good practice to evaluate whether scaling is needed.
5. **Hardcoded File Name**:
   - The file name "housing.csv" is hardcoded, which reduces flexibility. It’s better to define it as a variable or accept it as an argument or configuration parameter.
   ```python
   filename = "housing.csv"
   df = pd.read_csv(filename)
   ```
6. **Use of StandardScaler with Train-Test Split**:
   - The code uses a fit-transform approach on `X_train` and a transform on `X_test`. This is good practice; however, ensuring that the scaler fits only on training data is vital to avoid data leakage. Reinforcing this through comments can be beneficial.
7. **Model Evaluation Without Cross-Validation**:
   - The code evaluates the model solely using mean squared error (MSE) on the test set. While MSE is a useful metric, it would be advisable to consider multiple evaluation metrics or use k-fold cross-validation to get a more robust estimate of model performance.
8. **Print Statement Hardcoding for Output**:
   - The print statement for MSE is hardcoded and directly prints to the console. For larger applications, consider using a logging library instead of printing directly to the console, as this will provide more control over how the output is handled.
   ```python
   import logging
   logging.basicConfig(level=logging.INFO)
   logging.info(f"MSE: {mean_squared_error(y_test, y_pred):.4f}")
   ```
Here’s a refined version of the given code, addressing the identified issues:
```python
import pandas as pd
from sklearn.preprocessing import StandardScaler
from sklearn.model_selection import train_test_split
from sklearn.linear_model import LinearRegression
from sklearn.metrics import mean_squared_error
import logging
# Set up logging
logging.basicConfig(level=logging.INFO)
try:
    df = pd.read_csv("housing.csv")
except FileNotFoundError:
    logging.error("The file 'housing.csv' was not found.")
    exit()
except pd.errors.ParserError:
    logging.error("Error parsing 'housing.csv'.")
    exit()
# Check for missing values
if df.isnull().values.any():
    logging.warning("Data contains missing values. Consider handling them.")
X = df.drop("price", axis=1)
y = df["price"]
X_train, X_test, y_train, y_test = train_test_split(
    X, y, test_size=0.2, random_state=42
)
scaler = StandardScaler()
X_train = scaler.fit_transform(X_train)
X_test = scaler.transform(X_test)
model = LinearRegression()
model.fit(X_train, y_train)
y_pred = model.predict(X_test)
mse = mean_squared_error(y_test, y_pred)
logging.info(f"MSE: {mse:.4f}")
```
These improvements enhance the code's robustness, flexibility, and readability, ensuring it adheres to best practices for Python programming and data science tasks.</t>
  </si>
  <si>
    <t>## Code Review: Housing Price Linear Regression
The code is generally well-structured and follows the basic ML pipeline correctly. However, there are several issues ranging from critical bugs to best practice violations.
---
### 1. **No Error Handling for File Loading** *(Medium Severity)*
```python
# Current - will crash with unhandled exception if file missing
df = pd.read_csv("housing.csv")
# Better
import os
if not os.path.exists("housing.csv"):
    raise FileNotFoundError("housing.csv not found in working directory")
df = pd.read_csv("housing.csv")
```
---
### 2. **No Validation That Target Column Exists** *(High Severity)*
```python
# Current - raises cryptic KeyError if "price" column is missing
X = df.drop("price", axis=1)
y = df["price"]
# Better
target_column = "price"
if target_column not in df.columns:
    raise ValueError(f"Target column '{target_column}' not found. "
                     f"Available columns: {df.columns.tolist()}")
```
---
### 3. **No Handling of Missing Values** *(Critical)*
```python
# Current - StandardScaler and LinearRegression will fail or produce
# incorrect results silently if NaN values are present
# Better - check first, then decide on strategy
print(f"Missing values:\n{df.isnull().sum()}")
# Option A: Drop rows with missing values
df = df.dropna()
# Option B: Impute missing values
from sklearn.impute import SimpleImputer
imputer = SimpleImputer(strategy="median")
X_train = imputer.fit_transform(X_train)
X_test = imputer.transform(X_test)
```
---
### 4. **No Handling of Non-Numeric Columns** *(Critical)*
```python
# Current - StandardScaler will raise TypeError on string/categorical columns
# Better - inspect and handle dtypes explicitly
categorical_cols = X.select_dtypes(include=["object", "category"]).columns
numeric_cols = X.select_dtypes(include=["number"]).columns
print(f"Categorical columns: {categorical_cols.tolist()}")
# One-hot encode categoricals
X = pd.get_dummies(X, columns=categorical_cols, drop_first=True)
```
---
### 5. **Scaler Fit-Transform Returns NumPy Array, Losing Column Names** *(Low Severity)*
```python
# Current - X_train becomes a numpy array, losing DataFrame structure
X_train = scaler.fit_transform(X_train)
# Better - preserve column names for interpretability
X_train = pd.DataFrame(
    scaler.fit_transform(X_train),
    columns=X_train.columns,
    index=X_train.index
)
X_test = pd.DataFrame(
    scaler.transform(X_test),
    columns=X_test.columns,
    index=X_test.index
)
```
---
### 6. **MSE Alone Is a Weak Evaluation Metric** *(Medium Severity)*
```python
# Current - MSE is scale-dependent and hard to interpret in isolation
print(f"MSE: {mean_squared_error(y_test, y_pred):.4f}")
# Better - report multiple complementary metrics
from sklearn.metrics import mean_absolute_error, r2_score
import numpy as np
mse = mean_squared_error(y_test, y_pred)
print(f"MSE:  {mse:.4f}")
print(f"RMSE: {np.sqrt(mse):.4f}")   # Same units as target variable
print(f"MAE:  {mean_absolute_error(y_test, y_pred):.4f}")
print(f"R²:   {r2_score(y_test, y_pred):.4f}")  # Scale-independent
```
---
### 7. **No Check for Data Leakage or Empty Splits** *(Medium Severity)*
```python
# Current - no validation of resulting split sizes
X_train, X_test, y_train, y_test = train_test_split(
    X, y, test_size=0.2, random_state=42
)
# Better
assert len(X_train) &gt; 0, "Training set is empty"
assert len(X_test) &gt; 0,  "Test set is empty"
print(f"Train size: {len(X_train)}, Test size: {len(X_test)}")
```
---
### 8. **No Model Persistence** *(Low Severity / Missing Feature)*
```python
# The trained model and scaler are discarded after the script ends
# Better - save both for later use (scaler MUST be saved alongside model)
import joblib
joblib.dump(model, "linear_regression_model.pkl")
joblib.dump(scaler, "scaler.pkl")  # Critical: same scaler must be used at inference
```
&gt; **Note:** Forgetting to save the scaler alongside the model is a very common production bug — the model will produce wrong predictions if a fresh scaler is applied at inference time.
---
### Summary Table
| # | Issue | Severity |
|---|-------|----------|
| 1 | No file existence check | Medium |
| 2 | No target column validation | High |
| 3 | No missing value handling | **Critical** |
| 4 | No non-numeric column handling | **Critical** |
| 5 | Column names lost after scaling | Low |
| 6 | Insufficient evaluation metrics | Medium |
| 7 | No split size validation | Medium |
| 8 | Model/scaler not persisted | Low |
Issues 3 and 4 are the most likely to cause silent failures or runtime crashes in practice and should be addressed first.</t>
  </si>
  <si>
    <t># Code Review: Issues and Problems
## 1. **No Data Validation or Error Handling** ⚠️
**Severity: High**
```python
df = pd.read_csv("housing.csv")
```
- No check if file exists
- No handling of missing values in the dataset
- No verification that required columns exist
- No check for data type mismatches
**Fix:**
```python
try:
    df = pd.read_csv("housing.csv")
    if df.empty:
        raise ValueError("Dataset is empty")
    if "price" not in df.columns:
        raise ValueError("'price' column not found")
    df = df.dropna()  # or handle NaN values appropriately
except FileNotFoundError:
    print("Error: housing.csv not found")
    exit(1)
```
---
## 2. **Missing Data Preprocessing** ⚠️
**Severity: High**
- No handling of missing/null values
- No removal of duplicate rows
- No detection of outliers
- No categorical variable encoding
**Fix:**
```python
# Remove duplicates and NaN values
df = df.drop_duplicates().dropna()
# Check for outliers if needed
# Handle categorical variables if present
```
---
## 3. **Incomplete Feature Scaling Application** ⚠️
**Severity: Medium**
The scaler is fit on training data (correct), but if you later use this model in production, you might forget to scale new data consistently.
**Better practice:**
```python
scaler = StandardScaler()
X_train_scaled = scaler.fit_transform(X_train)
X_test_scaled = scaler.transform(X_test)
# Save scaler for future use
import pickle
pickle.dump(scaler, open('scaler.pkl', 'wb'))
```
---
## 4. **Insufficient Model Evaluation** ⚠️
**Severity: High**
- Only MSE is reported; MSE is not interpretable in original units
- No R² score to assess model fit quality
- No cross-validation to verify generalization
- No comparison with baseline model
- No residual analysis
**Fix:**
```python
from sklearn.metrics import mean_squared_error, r2_score, mean_absolute_error
mse = mean_squared_error(y_test, y_pred)
rmse = mse ** 0.5  # More interpretable than MSE
mae = mean_absolute_error(y_test, y_pred)
r2 = r2_score(y_test, y_pred)
print(f"RMSE: {rmse:.4f}")
print(f"MAE: {mae:.4f}")
print(f"R² Score: {r2:.4f}")
# Cross-validation
from sklearn.model_selection import cross_val_score
cv_scores = cross_val_score(model, X_train, y_train, cv=5, scoring='r2')
print(f"CV Mean R²: {cv_scores.mean():.4f}")
```
---
## 5. **No Hyperparameter Exploration** ⚠️
**Severity: Medium**
- LinearRegression has few hyperparameters, but no regularization (L1/L2) is tested
- No comparison with Ridge or Lasso regression
- No justification for test_size=0.2
---
## 6. **Magic Numbers and Hard-coded Values** ⚠️
**Severity: Low**
```python
test_size=0.2, random_state=42
```
These should be configurable constants:
```python
TEST_SIZE = 0.2
RANDOM_STATE = 42
```
---
## 7. **No Feature Inspection** ⚠️
**Severity: Medium**
```python
X = df.drop("price", axis=1)
```
- No check for feature correlation
- No feature importance analysis
- Could have irrelevant or duplicate features
**Add:**
```python
print(df.describe())
print(df.corr())  # Check for multicollinearity
```
---
## 8. **No Data Leakage Prevention** ⚠️
**Severity: High**
While this simple example is safe, the pattern is wrong. **Scaler should be fit AFTER train/test split** (which it is—this is correct, but worth noting). However, if any categorical encoding is needed, it should also be fit only on training data.
---
## 9. **No Logging or Results Tracking** ⚠️
**Severity: Low**
- Single print statement
- No way to track experiment results over time
- No model persistence
**Add:**
```python
import json
from datetime import datetime
results = {
    "timestamp": datetime.now().isoformat(),
    "mse": float(mean_squared_error(y_test, y_pred)),
    "rmse": float(rmse),
    "r2": float(r2)
}
with open("results.json", "w") as f:
    json.dump(results, f)
```
---
## Summary Table
| Issue | Severity | Category |
|-------|----------|----------|
| No error handling | High | Robustness |
| Missing data preprocessing | High | Data Quality |
| Incomplete evaluation metrics | High | ML Practice |
| No model comparison | Medium | ML Practice |
| Missing feature analysis | Medium | ML Practice |
| Hard-coded values | Low | Code Quality |
| No results tracking | Low | DevOps |</t>
  </si>
  <si>
    <t>The provided Python code implements a basic machine learning workflow for linear regression. While it's functional for its stated purpose, it contains several issues, bugs, and bad practices common in simplified examples that would cause problems in a real-world scenario or more robust application.
Here's a breakdown of the problems:
### 1. Lack of Data Exploration and Preprocessing (Major Issue)
The most significant problem is the complete absence of data exploration and preprocessing steps *before* splitting and scaling. The code assumes the data is perfectly clean and ready for modeling, which is rarely the case.
*   **Implicit Assumption of Numeric Data:** `StandardScaler` and `LinearRegression` expect numeric input. If `X` contains categorical columns, text, or other non-numeric data, `scaler.fit_transform(X_train)` would raise an error.
*   **No Missing Value Handling:** The code doesn't check for or handle missing values (NaNs) in the DataFrame. If `df` contains NaNs, `StandardScaler` will raise an error, or `LinearRegression` might behave unexpectedly depending on the `fit_intercept` parameter and `nan` handling strategy (it generally won't work with NaNs).
*   **No Outlier Detection/Handling:** Outliers can significantly impact linear regression models and scaling. The code doesn't address this.
*   **No Feature Engineering:** There's no consideration for creating new features or transforming existing ones (e.g., log transformations for skewed data) which could improve model performance.
*   **No Data Type Verification:** It doesn't print `df.info()` or `df.describe()` to understand column types, ranges, or distributions.
**Why it's bad:** This can lead to crashes, incorrect model training, and poor model performance without the user understanding why. It makes the code brittle and non-robust.
### 2. Hardcoded Filename and Lack of Robust File Handling
*   **Hardcoded "housing.csv":** The filename `housing.csv` is hardcoded directly into `pd.read_csv()`. In a larger project, this should ideally be a configurable parameter, an argument to a function, or part of a defined constant, especially if the script needs to run with different datasets.
*   **No Error Handling for File Not Found:** If `housing.csv` does not exist in the current working directory, the script will crash with a `FileNotFoundError`.
**Why it's bad:** It reduces flexibility and makes the script prone to crashing if the file path is incorrect or the file is missing.
### 3. Hardcoded Target Column Name
*   **Hardcoded "price":** The target column name "price" is hardcoded (`df.drop("price", axis=1)` and `df["price"]`). Similar to the filename, this should ideally be a configurable parameter.
*   **No Check for Column Existence:** If a column named "price" doesn't exist, `df.drop()` will raise a `KeyError` unless `errors='ignore'` is used (which is generally not recommended here), and `df["price"]` will also raise a `KeyError`.
**Why it's bad:** Similar to the filename, this reduces flexibility and makes the script fragile to schema changes in the dataset.
### 4. Limited Model Evaluation
*   **Single Metric:** Only Mean Squared Error (MSE) is used to evaluate the model. While MSE is a valid metric, it's often more informative to report additional metrics like R-squared (coefficient of determination) and/or Root Mean Squared Error (RMSE) and Mean Absolute Error (MAE). RMSE is often preferred over MSE because it is in the same units as the target variable, making it easier to interpret.
*   **Lack of Context for MSE:** A raw MSE value (e.g., "MSE: 0.0400") is hard to interpret without context. Is 0.04 good or bad? We don't know the scale of the target variable `y`. If `y` ranges from 0-1, 0.04 is large; if `y` ranges from 0-1,000,000, 0.04 is tiny.
*   **No Overfitting Check:** The code doesn't explicitly check for overfitting (e.g., by comparing train set MSE vs. test set MSE, or by using cross-validation).
**Why it's bad:** Provides an incomplete picture of model performance and interpretability.
### 5. No Pipeline Usage
*   **Manual Sequential Steps:** The preprocessing (scaling) and model training are done as separate, sequential steps.
    ```python
    scaler = StandardScaler()
    X_train = scaler.fit_transform(X_train)
    X_test = scaler.transform(X_test)
    model = LinearRegression()
    model.fit(X_train, y_train)
    ```
    This is less robust than using `sklearn.pipeline.Pipeline`.
**Why it's bad:**
    *   **Increased Risk of Data Leakage:** While correctly applied here (fit only on train), it's easier to make mistakes without a pipeline.
    *   **Verbosity:** More lines of code for sequential steps.
    *   **Difficult Hyperparameter Tuning:** If you wanted to tune hyperparameters for both the scaler (less common but possible, e.g., choosing different scalers) and the model, it would be more complex without a pipeline.
    *   **Deployment Issues:** When deploying, you'd need to ensure both the fitted scaler and the fitted model are saved and loaded correctly, and applied in the right order. A pipeline handles this seamlessly.
### 6. No Model Persistence
*   The trained `model` and `scaler` objects are created, used, and then discarded when the script finishes.
**Why it's bad:** In a real application, you'd typically want to save the trained model (and scaler) to disk using `joblib` or `pickle` so it can be loaded later for making predictions on new, unseen data without retraining.
### 7. Lack of Comments and Docstrings
*   The code has no comments explaining the purpose of different sections or specific design choices.
**Why it's bad:** Reduces readability and maintainability, especially for others (or your future self) who might need to understand or modify the code.
### 8. Implicit Assumptions about Data Shape
*   The code implicitly assumes `X` will have enough features and `y` will be well-behaved for a linear model. There's no check for degenerate cases (e.g., `X` having only one unique value in a column, or `y` being constant).
### Summary of Recommendations:
1.  **Always start with Data Exploration:** Use `df.head()`, `df.info()`, `df.describe()`, and visualize data (histograms, box plots, scatter plots) to understand the data before any processing.
2.  **Preprocess Data Robustly:** Handle missing values (impute or drop), encode categorical features (e.g., `OneHotEncoder`), and address outliers.
3.  **Use `sklearn.pipeline.Pipeline`:** Combine preprocessing steps and the model into a single object to streamline the workflow and prevent data leakage.
4.  **Parameterize Inputs:** Use variables for filenames and target column names instead of hardcoding.
5.  **Implement Error Handling:** Use `try-except` blocks for file operations and other potentially failing steps.
6.  **Evaluate Comprehensively:** Report multiple relevant evaluation metrics (RMSE, R-squared, MAE) and provide context for their interpretation. Consider cross-validation for more robust evaluation.
7.  **Persist Models and Scalers:** Save trained models and preprocessing objects (like scalers or encoders) for future use.
8.  **Add Comments and Docstrings:** Explain the code's purpose and design decisions.
By addressing these points, the code would become much more robust, understandable, and suitable for real-world applications.</t>
  </si>
  <si>
    <t>The provided Python machine learning pipeline code does not appear to contain any data leakage, and it follows best practices to prevent this issue. Here's a breakdown of why this is the case:
1. **Data Splitting**: The dataset is properly split into training and test sets using `train_test_split` before any preprocessing steps. This ensures that the test set remains completely unseen during the training phase.
2. **Feature Scaling**: The `StandardScaler` is fit on the training data (`X_train`) only, and then this fitted scaler is used to transform both `X_train` and `X_test`. This is the correct procedure and prevents data leakage, as the scaler does not learn any parameters from the test set.
3. **Model Training and Evaluation**: The linear regression model is trained on the transformed training data (`X_train, y_train`) and evaluated on the transformed test data (`X_test`). This maintains the integrity of the test set, ensuring it is not contaminated by any information from the training process.
By following these steps, the code ensures that the test set remains a true holdout set, simulating the unknown data that the model might face in real-world applications. As such, the pipeline is free from data leakage issues.</t>
  </si>
  <si>
    <t>The provided Python machine learning code appears to be free of data leakage. Here's a breakdown of the key components from the pipeline:
1. **Data Splitting**: The dataset is split into training and testing sets using `train_test_split()`. This is a good practice that helps ensure the model is evaluated on unseen data.
2. **Feature Normalization**: The `StandardScaler` is fit only on the training data (`X_train`) and then applied to both the training and testing sets. This is critical; it prevents leakage of information from the test set into the training process.
3. **Model Training**: The model is trained using the training data (`X_train`, `y_train`) and evaluated against the test set (`X_test`, `y_test`). The evaluation metric employed, mean squared error (MSE), is calculated on the predictions made from the test set.
### Summary
- **No Leakage in Data Splitting**: The target variable (`y`) was separated from features before splitting, ensuring no target information leaked into `X`.
- **Proper Use of Scaler**: The `fit_transform()` method is called only on the training set, and the `transform()` method is appropriately used on the test set. This practice correctly prevents test set information from influencing the training data's scaling process.
- **No Future Information**: The features are not using any data or statistics that would not be available at prediction time.
Therefore, since all procedures are adhered to correctly, **there is no data leakage in this code**. The separation of training and testing processes is respected, ensuring the integrity of the model evaluation.</t>
  </si>
  <si>
    <t>## Code Review: Data Leakage Analysis
### Verdict: **No Data Leakage Present**
This pipeline is correctly structured. Here is a precise breakdown of why each decision is sound.
---
### What the Code Does Correctly
#### 1. Train/Test Split Before Scaling
```python
# Split FIRST
X_train, X_test, y_train, y_test = train_test_split(
    X, y, test_size=0.2, random_state=42
)
# THEN fit scaler — only on training data
scaler = StandardScaler()
X_train = scaler.fit_transform(X_train)  # learns mean/std from train only
X_test = scaler.transform(X_test)        # applies train statistics to test
```
The scaler learns its parameters (mean and standard deviation per feature) **exclusively from the training set**. The test set is only **transformed** using those pre-learned parameters — it contributes no information to them.
**Why this matters:** If `fit_transform` were called on the full dataset before splitting, the scaler's mean and standard deviation would encode distributional information from test samples, giving the model an indirect view of test data during training.
#### 2. Target Variable Is Properly Excluded from Features
```python
X = df.drop("price", axis=1)  # target removed before anything else
y = df["price"]
```
The target (`price`) is not present in `X`, so there is no risk of target leakage through a feature that directly or indirectly encodes the label.
#### 3. Model Fitting Uses Only Training Data
```python
model.fit(X_train, y_train)  # test set never touches model fitting
```
The model only sees `X_train` and `y_train` during fitting.
---
### Common Leakage Mistakes This Code Avoids
| Mistake | Consequence | Present Here? |
|---|---|---|
| `scaler.fit_transform(X)` before splitting | Test statistics leak into scaler | ❌ No |
| Fitting scaler on `X_test` | Test distribution exposed | ❌ No |
| Including target-derived features in `X` | Label leakage | ❌ No |
| Using `y_test` during training | Direct leakage | ❌ No |
---
### One Practical Recommendation
While not a leakage issue, consider wrapping the scaler and model in a **Pipeline** to make the correct ordering structurally enforced and harder to accidentally break during future edits:
```python
from sklearn.pipeline import Pipeline
pipeline = Pipeline([
    ("scaler", StandardScaler()),
    ("model", LinearRegression())
])
pipeline.fit(X_train, y_train)
y_pred = pipeline.predict(X_test)
```
This guarantees the scaler can never accidentally be fit on test data, which is especially valuable when adding cross-validation later — `cross_val_score` with a Pipeline will correctly refit the scaler on each fold's training split automatically.</t>
  </si>
  <si>
    <t># Data Leakage Review
**Verdict: This code is FREE of data leakage.** ✓
## Analysis
The pipeline correctly implements proper train-test separation:
### ✓ Correct Practices
1. **Train-test split happens first**
   - Data is split before any preprocessing
   - Test set is isolated and never influences training decisions
2. **Scaler is fit only on training data**
   ```python
   scaler = StandardScaler()
   X_train = scaler.fit_transform(X_train)  # fit on train only
   X_test = scaler.transform(X_test)        # transform test with train statistics
   ```
   - The `fit_transform()` on training data computes mean and std from `X_train` alone
   - The `transform()` on test data applies those same statistics (not recomputing from test)
   - This is the correct approach
3. **Model evaluation is clean**
   - Model is fit only on `X_train` and `y_train`
   - Predictions are made on unseen test data
   - Test set never influences model coefficients
### Why This Matters
If the scaler were fit on the combined dataset before splitting, test set statistics (mean, standard deviation) would leak into the training process. This would artificially inflate performance metrics because the model would have "seen" information about the test distribution during preprocessing.
---
## Summary
This is a well-structured pipeline with proper separation of concerns. The key insight — fitting the scaler **only** on training data and applying it to test data — is correctly implemented.</t>
  </si>
  <si>
    <t>Upon reviewing the provided Python machine learning pipeline code, I can state that **this code does not contain any form of data leakage.**
Here's why:
1.  **Correct Train-Test Split Order:**
    ```python
    X_train, X_test, y_train, y_test = train_test_split(
        X, y, test_size=0.2, random_state=42
    )
    ```
    The data is split into training and testing sets *before* any preprocessing or model training occurs. This is the crucial first step to prevent leakage. The test set is correctly held out and isolated from the training process.
2.  **Correct Preprocessing (StandardScaler) Application:**
    ```python
    scaler = StandardScaler()
    X_train = scaler.fit_transform(X_train)
    X_test = scaler.transform(X_test)
    ```
    *   `scaler.fit_transform(X_train)`: The `StandardScaler` learns the mean and standard deviation parameters *only* from the training data (`X_train`). This is essential.
    *   `scaler.transform(X_test)`: The *same* parameters (mean and standard deviation) learned from `X_train` are then applied to the test data (`X_test`). The `scaler` is *not* `fit` on `X_test`.
    This sequence ensures that no information about the distribution (mean, standard deviation) of the test set features influences the scaling applied to the training set or the parameters used to scale the test set itself. If `scaler.fit_transform(X_test)` were used, it would be a form of data leakage.
3.  **Model Training and Evaluation:**
    ```python
    model = LinearRegression()
    model.fit(X_train, y_train)
    y_pred = model.predict(X_test)
    print(f"MSE: {mean_squared_error(y_test, y_pred):.4f}")
    ```
    The `LinearRegression` model is trained exclusively on `X_train` and `y_train`. Predictions are then made on the unseen `X_test`, and evaluation is performed by comparing these predictions to the held-out `y_test`. This follows the best practices for unbiased model evaluation.
In summary, the pipeline correctly isolates the test set from all training and feature engineering steps, ensuring that the model's performance on the test set is a true reflection of its generalization ability on new, unseen data.</t>
  </si>
  <si>
    <t>2A</t>
  </si>
  <si>
    <t>The provided Python code is a simple implementation of a support vector regression (SVR) model using the Scikit-learn library to predict `energy_consumption` based on weather features from a CSV file. Here are some issues, potential bugs, and bad practices identified in the code:
1. **Error Handling for File Reading**:
   - The call to `pd.read_csv("energy.csv")` assumes that the file path and name are correct and accessible. It is good practice to include error handling to manage exceptions such as `FileNotFoundError` or `pd.errors.EmptyDataError` if the file does not exist, the file path is wrong, or the file is empty.
2. **Feature and Target Column Availability**:
   - The code assumes the columns `"temperature"`, `"humidity"`, `"wind_speed"`, `"pressure"`, and `"energy_consumption"` are present in the DataFrame without checking. If any column is missing, it may raise a `KeyError`. It's a good practice to check for their existence and notify the user if they're not present.
3. **Data Validation**:
   - There are no checks for missing values (NaNs) in the data. If any NaNs exist, it might cause issues, especially in calculating metrics or fitting the model. Checking and optionally filling or dropping NaNs could prevent potential bugs.
4. **Scaling Target Variable `y` (if necessary)**:
   - The code only scales the features (`X`). For some models, especially if the target `y` has a broad range (not specified here, but good practice), scaling might improve model performance. However, note that regression models can normally be trained on the original `y`.
5. **SVR Hyperparameters**:
   - The SVR is used with default hyperparameters. Automatic hyperparameter tuning such as a grid search (`GridSearchCV`) over parameters like `C`, `epsilon`, and `gamma` can lead to better model performance.
6. **Evaluate Additional Metrics**:
   - While the `r2_score` is useful, it's often beneficial to consider additional regression metrics like Mean Absolute Error (MAE) or Root Mean Squared Error (RMSE) to obtain a comprehensive view of model performance.
7. **Version Information**:
   - Including the versions of important libraries (e.g., using `print(pd.__version__)`) can help ensure consistency and reproducibility when sharing the code.
8. **Print Statement Consistency**:
   - Using a different method such as logging instead of `print` statements for tracking and debugging output is more robust, especially in production code.
Here is a modified version with considerations for handling some of the identified issues:
```python
import pandas as pd
from sklearn.preprocessing import MinMaxScaler
from sklearn.model_selection import train_test_split
from sklearn.svm import SVR
from sklearn.metrics import r2_score, mean_absolute_error
import os
file_path = "energy.csv"
if not os.path.exists(file_path):
    raise FileNotFoundError(f"The file {file_path} does not exist.")
df = pd.read_csv(file_path)
required_columns = ["temperature", "humidity", "wind_speed", "pressure", "energy_consumption"]
for col in required_columns:
    if col not in df.columns:
        raise ValueError(f"Missing required column: {col}")
if df.isnull().any().any():
    print("Warning: Data contains missing values. Consider addressing them.")
X = df[["temperature", "humidity", "wind_speed", "pressure"]]
y = df["energy_consumption"]
scaler = MinMaxScaler()
X_normalized = scaler.fit_transform(X)
X_train, X_test, y_train, y_test = train_test_split(
    X_normalized, y, test_size=0.25, random_state=7
)
model = SVR(kernel="rbf")
model.fit(X_train, y_train)
y_pred = model.predict(X_test)
print(f"R2 Score: {r2_score(y_test, y_pred):.4f}")
print(f"Mean Absolute Error: {mean_absolute_error(y_test, y_pred):.4f}")
```
This revised version includes checks for file existence, column presence, and missing values, which can help prevent runtime errors. It also demonstrates the calculation of an additional metric, MAE, for a more thorough evaluation of the regression model.</t>
  </si>
  <si>
    <t>The provided Python code appears to be a well-structured example of using machine learning with a support vector regression model. However, there are several issues and possible improvements related to code quality, practices, and potential exceptions. Here are my observations:
1. **Missing Exception Handling for File Reading:**
   - The code attempts to read a CSV file without any checks to ensure that the file exists or is in the correct format. If "energy.csv" does not exist or is corrupted, a `FileNotFoundError` or `pd.errors.EmptyDataError` will be raised.
   - **Fix:** Implement a try-except block around the file reading line.
   ```python
   try:
       df = pd.read_csv("energy.csv")
   except FileNotFoundError:
       print("The file 'energy.csv' was not found.")
       exit(1)
   except pd.errors.EmptyDataError:
       print("The file 'energy.csv' is empty.")
       exit(1)
   ```
2. **Data Validation:**
   - There's no validation to check whether the expected columns ("temperature", "humidity", "wind_speed", "pressure", "energy_consumption") actually exist in the DataFrame. This could lead to key errors.
   - **Fix:** Before proceeding with splitting data, check and alert users if expected columns are missing.
   ```python
   expected_columns = ["temperature", "humidity", "wind_speed", "pressure", "energy_consumption"]
   if not all(col in df.columns for col in expected_columns):
       print(f"Warning: Missing columns in the DataFrame. Expected columns: {expected_columns}")
       exit(1)
   ```
3. **Normalization:**
   - While using `MinMaxScaler` can be appropriate, it's important to note that it scales data based on the minimum and maximum values of the training set. The scaler should ideally be fitted only on the training data to prevent data leakage.
   - Currently, this code fits the scaler to the entire dataset before splitting.
   - **Fix:** Move the scaler fitting to occur after the `train_test_split`.
   ```python
   X_train, X_test, y_train, y_test = train_test_split(
       X, y, test_size=0.25, random_state=7
   )
   scaler = MinMaxScaler()
   X_train_normalized = scaler.fit_transform(X_train)
   X_test_normalized = scaler.transform(X_test)
   ```
4. **Training and Testing Set Random State:**
   - While setting a random state can help with reproducibility, it's essential to document why a particular value (7 in this case) was chosen. This isn't a bug per se, but good documentation is crucial for reproducible results.
   - **Suggestion:** Add a comment indicating why the random state is set to 7 or leave it for the default for exploratory purposes.
5. **Print Statements:**
   - The print statement could be enhanced for clarity by explaining what the `R2 Score` indicates.
   - **Suggestion:** You might want to add a short explanation of what the R2 Score represents.
   ```python
   print(f"R2 Score (Coefficient of Determination): {r2_score(y_test, y_pred):.4f}")
   ```
6. **Hardcoding values:**
   - The hardcoded test size (0.25) is generally acceptable, but consider making it a variable for easier adjustments or parameterization in future iterations of the code.
   - **Suggestion:** Define `test_size = 0.25` at the top of your code or make it a function argument.
7. **Scalability and Maintainability:**
   - The entire script is in a flat structure, which may not scale well for larger projects. It would be a good idea to wrap the entire process in a function or class.
   - **Suggestion:** Consider creating a function that encapsulates this behavior, allowing for easier iterations, testing, and maintenance.
Here’s a revised version with suggestions applied:
```python
import pandas as pd
from sklearn.preprocessing import MinMaxScaler
from sklearn.model_selection import train_test_split
from sklearn.svm import SVR
from sklearn.metrics import r2_score
def load_data(filename):
    try:
        df = pd.read_csv(filename)
        return df
    except FileNotFoundError:
        print(f"The file '{filename}' was not found.")
        exit(1)
    except pd.errors.EmptyDataError:
        print(f"The file '{filename}' is empty.")
        exit(1)
def validate_data(df, expected_columns):
    if not all(col in df.columns for col in expected_columns):
        print(f"Warning: Missing columns in the DataFrame. Expected columns: {expected_columns}")
        exit(1)
def main():
    df = load_data("energy.csv")
    expected_columns = ["temperature", "humidity", "wind_speed", "pressure", "energy_consumption"]
    validate_data(df, expected_columns)
    X = df[["temperature", "humidity", "wind_speed", "pressure"]]
    y = df["energy_consumption"]
    X_train, X_test, y_train, y_test = train_test_split(X, y, test_size=0.25, random_state=7)
    scaler = MinMaxScaler()
    X_train_normalized = scaler.fit_transform(X_train)
    X_test_normalized = scaler.transform(X_test)
    model = SVR(kernel="rbf")
    model.fit(X_train_normalized, y_train)
    y_pred = model.predict(X_test_normalized)
    print(f"R2 Score (Coefficient of Determination): {r2_score(y_test, y_pred):.4f}")
if __name__ == "__main__":
    main()
```
These improvements address potential issues, enhance readability, maintainability, and overall best practices for writing robust Python code.</t>
  </si>
  <si>
    <t>## Code Review
The code is functional and follows a reasonable ML pipeline, but has several issues ranging from critical data leakage to maintainability concerns.
---
### 1. Data Leakage — Critical Bug
```python
# WRONG: Scaler is fit on ALL data before splitting
scaler = MinMaxScaler()
X_normalized = scaler.fit_transform(X)  # Sees test data during fitting
X_train, X_test, y_train, y_test = train_test_split(...)
```
```python
# CORRECT: Split first, then fit scaler only on training data
X_train, X_test, y_train, y_test = train_test_split(
    X, y, test_size=0.25, random_state=7
)
scaler = MinMaxScaler()
X_train_normalized = scaler.fit_transform(X_train)  # Fit only on train
X_test_normalized = scaler.transform(X_test)         # Transform only
```
**Why it matters:** Fitting the scaler on the full dataset lets test set statistics (min/max values) influence the training process. This gives an overly optimistic performance estimate and simulates conditions that won't exist in production.
---
### 2. No Data Validation or Error Handling
```python
# WRONG: Assumes the file exists and has correct columns
df = pd.read_csv("energy.csv")
X = df[["temperature", "humidity", "wind_speed", "pressure"]]
y = df["energy_consumption"]
```
```python
# CORRECT: Validate before proceeding
import os
if not os.path.exists("energy.csv"):
    raise FileNotFoundError("Dataset 'energy.csv' not found")
df = pd.read_csv("energy.csv")
required_columns = ["temperature", "humidity", "wind_speed", "pressure", "energy_consumption"]
missing = set(required_columns) - set(df.columns)
if missing:
    raise ValueError(f"Missing required columns: {missing}")
if df.empty:
    raise ValueError("Dataset is empty")
```
---
### 3. Missing Data Not Handled
```python
# WRONG: NaN values will cause silent failures or errors in SVR
X = df[["temperature", "humidity", "wind_speed", "pressure"]]
```
```python
# CORRECT: Check for and handle missing values explicitly
print(f"Missing values:\n{df.isnull().sum()}")
# Choose an appropriate strategy:
df = df.dropna()                           # Option A: Remove rows
# or
df = df.fillna(df.median(numeric_only=True))  # Option B: Impute with median
```
---
### 4. No Feature or Target Distribution Check
```python
# WRONG: Assumes data is clean and well-distributed
y = df["energy_consumption"]
```
```python
# CORRECT: Basic sanity checks before modeling
print(df.describe())
# Check for suspicious values
if (y &lt; 0).any():
    print("Warning: Negative energy consumption values detected")
# Check for extreme outliers using IQR
Q1, Q3 = y.quantile(0.25), y.quantile(0.75)
IQR = Q3 - Q1
outliers = ((y &lt; Q1 - 1.5 * IQR) | (y &gt; Q3 + 1.5 * IQR)).sum()
print(f"Potential outliers in target: {outliers}")
```
---
### 5. SVR Hyperparameters Left at Defaults
```python
# PROBLEMATIC: Default C=1.0, epsilon=0.1 are rarely optimal
model = SVR(kernel="rbf")
```
```python
# CORRECT: Use cross-validated hyperparameter search
from sklearn.model_selection import GridSearchCV
param_grid = {
    "C": [0.1, 1, 10, 100],
    "epsilon": [0.01, 0.1, 0.5],
    "gamma": ["scale", "auto"]
}
model = GridSearchCV(
    SVR(kernel="rbf"),
    param_grid,
    cv=5,
    scoring="r2",
    n_jobs=-1
)
model.fit(X_train_normalized, y_train)
print(f"Best parameters: {model.best_params_}")
```
---
### 6. Insufficient Model Evaluation
```python
# WRONG: Single metric gives incomplete picture
print(f"R2 Score: {r2_score(y_test, y_pred):.4f}")
```
```python
# CORRECT: Report multiple complementary metrics
from sklearn.metrics import mean_absolute_error, mean_squared_error
import numpy as np
r2 = r2_score(y_test, y_pred)
mae = mean_absolute_error(y_test, y_pred)
rmse = np.sqrt(mean_squared_error(y_test, y_pred))
mape = np.mean(np.abs((y_test - y_pred) / y_test)) * 100
print(f"R²   : {r2:.4f}")
print(f"MAE  : {mae:.4f}")
print(f"RMSE : {rmse:.4f}")
print(f"MAPE : {mape:.2f}%")
# Also check for variance in performance using cross-validation
from sklearn.model_selection import cross_val_score
cv_scores = cross_val_score(SVR(kernel="rbf"), X_train_normalized, y_train, cv=5)
print(f"CV R² : {cv_scores.mean():.4f} ± {cv_scores.std():.4f}")
```
**Why R² alone is insufficient:** R² can be misleading with outliers, doesn't reflect the magnitude of errors, and a single train/test split may not be representative.
---
### 7. No Reproducibility Guarantee for Full Pipeline
```python
# PROBLEMATIC: Only train_test_split is seeded
X_train, X_test, y_train, y_test = train_test_split(
    X_normalized, y, test_size=0.25, random_state=7
)
```
```python
# CORRECT: Set a global seed at the top of the script
import numpy as np
import random
SEED = 7
random.seed(SEED)
np.random.seed(SEED)
# Note: SVR internally uses numpy's random state, so np.random.seed covers it
```
---
### Summary Table
| # | Issue | Severity |
|---|-------|----------|
| 1 | Data leakage from scaling before splitting | 🔴 Critical |
| 2 | No file/column/data validation | 🔴 Critical |
| 3 | Missing values not handled | 🔴 Critical |
| 4 | No data distribution checks | 🟡 Moderate |
| 5 | Default hyperparameters not tuned | 🟡 Moderate |
| 6 | Insufficient model evaluation | 🟡 Moderate |
| 7 | Incomplete reproducibility setup | 🟢 Minor |
The most important fix is **#1 (data leakage)** — it silently produces misleading results that won't reflect real-world performance.</t>
  </si>
  <si>
    <t># Code Review: Issues and Bad Practices
## 1. **Target Variable Not Normalized (CRITICAL)**
```python
scaler = MinMaxScaler()
X_normalized = scaler.fit_transform(X)
# y is NOT normalized
```
**Problem:** The features are normalized but `y` is not. For SVR, this can cause:
- Biased predictions favoring the larger-scale variable
- Poor model performance and convergence issues
- Inconsistent scaling across input/output
**Fix:**
```python
scaler_X = MinMaxScaler()
scaler_y = MinMaxScaler()
X_normalized = scaler_X.fit_transform(X)
y_normalized = scaler_y.fit_transform(y.values.reshape(-1, 1)).ravel()
# Use y_normalized for training
y_pred = model.predict(X_test)
y_pred = scaler_y.inverse_transform(y_pred.reshape(-1, 1)).ravel()
```
## 2. **Data Leakage: Scaler Fit on Entire Dataset (CRITICAL)**
```python
X_normalized = scaler.fit_transform(X)  # Fit on ALL data
X_train, X_test, y_train, y_test = train_test_split(...)
```
**Problem:** The scaler sees all data before train/test split, causing information from test set to influence normalization. This inflates performance metrics.
**Fix:**
```python
X_train, X_test, y_train, y_test = train_test_split(X, y, test_size=0.25, random_state=7)
scaler = MinMaxScaler()
X_train = scaler.fit_transform(X_train)  # Fit only on training data
X_test = scaler.transform(X_test)        # Transform test data
```
## 3. **No Error Handling (MEDIUM)**
```python
df = pd.read_csv("energy.csv")
```
**Problem:** 
- No check if file exists
- No handling for malformed CSV, missing columns, or encoding issues
- No validation that required columns exist
**Fix:**
```python
try:
    df = pd.read_csv("energy.csv")
    required_cols = ["temperature", "humidity", "wind_speed", "pressure", "energy_consumption"]
    if not all(col in df.columns for col in required_cols):
        raise ValueError(f"Missing required columns: {required_cols}")
except FileNotFoundError:
    print("Error: energy.csv not found")
    exit(1)
except Exception as e:
    print(f"Error reading file: {e}")
    exit(1)
```
## 4. **No Missing Value Handling (MEDIUM)**
```python
X = df[["temperature", "humidity", "wind_speed", "pressure"]]
y = df["energy_consumption"]
```
**Problem:** No check for NaN/missing values, which will cause errors or silent failures in scikit-learn.
**Fix:**
```python
if df.isnull().any().any():
    print(f"Missing values found:\n{df.isnull().sum()}")
    df = df.dropna()  # or use imputation
```
## 5. **No Model Validation/Cross-Validation (MEDIUM)**
```python
model.fit(X_train, y_train)
y_pred = model.predict(X_test)
print(f"R2 Score: {r2_score(y_test, y_pred):.4f}")
```
**Problem:** 
- Single train/test split is unreliable
- No cross-validation to assess model stability
- Only one metric (R²) reported; doesn't show under/overfitting
**Fix:**
```python
from sklearn.model_selection import cross_val_score
from sklearn.metrics import mean_squared_error, mean_absolute_error
cv_scores = cross_val_score(model, X_train, y_train, cv=5, scoring='r2')
print(f"Cross-validation R² scores: {cv_scores}")
print(f"Mean CV R²: {cv_scores.mean():.4f} (+/- {cv_scores.std():.4f})")
model.fit(X_train, y_train)
y_pred = model.predict(X_test)
print(f"Test R² Score: {r2_score(y_test, y_pred):.4f}")
print(f"Test RMSE: {np.sqrt(mean_squared_error(y_test, y_pred)):.4f}")
print(f"Test MAE: {mean_absolute_error(y_test, y_pred):.4f}")
```
## 6. **Hardcoded Hyperparameters (MINOR)**
```python
model = SVR(kernel="rbf")
```
**Problem:** No exploration of hyperparameters (C, gamma, epsilon).
**Fix:**
```python
from sklearn.model_selection import GridSearchCV
param_grid = {
    'C': [0.1, 1, 10, 100],
    'gamma': ['scale', 'auto', 0.001, 0.01],
    'epsilon': [0.01, 0.1, 1]
}
grid = GridSearchCV(SVR(kernel='rbf'), param_grid, cv=5)
grid.fit(X_train, y_train)
model = grid.best_estimator_
```
## 7. **Missing Imports (MINOR)**
If cross-validation or other metrics are added, `numpy` isn't imported.
**Fix:**
```python
import numpy as np
```
## Summary Table
| Issue | Severity | Impact |
|-------|----------|--------|
| Target not normalized | Critical | Poor model performance |
| Data leakage (scaler) | Critical | Inflated metrics |
| No error handling | Medium | Runtime crashes |
| No missing value handling | Medium | Silent failures |
| No cross-validation | Medium | Unreliable results |
| Hardcoded hyperparameters | Minor | Suboptimal model |</t>
  </si>
  <si>
    <t>This Python code performs a basic machine learning workflow: data loading, preprocessing, model training, and evaluation. While it demonstrates a functional pipeline, it has several issues, bugs, and bad practices that make it less robust, less reliable, and potentially misleading in terms of performance.
Here's a breakdown of the problems:
1.  **No Error Handling for File Loading:**
    *   **Problem:** `df = pd.read_csv("energy.csv")` directly attempts to read the file.
    *   **Explanation:** If `"energy.csv"` does not exist in the specified path, or if the user running the script doesn't have read permissions, the script will crash with a `FileNotFoundError` or similar I/O error. Robust code should include `try-except` blocks for file operations.
2.  **No Error Handling for Missing Columns:**
    *   **Problem:** `X = df[["temperature", "humidity", "wind_speed", "pressure"]]` and `y = df["energy_consumption"]` assume these column names exist in the DataFrame.
    *   **Explanation:** If any of these specified columns are missing from the `energy.csv` file (e.g., due to a typo in the column name or a change in the dataset schema), the code will raise a `KeyError`, crashing the script. It's better to validate column existence or provide more descriptive error messages.
3.  **No Handling for Missing Values (NaNs):**
    *   **Problem:** The code does not check for or handle missing values in the dataset.
    *   **Explanation:** Many machine learning algorithms, including `MinMaxScaler` (depending on the version) and `SVR`, cannot directly handle `NaN` values. If `energy.csv` contains `NaN`s in any of the selected features or the target variable, the `scaler.fit_transform(X)` or `model.fit(X_train, y_train)` steps will likely raise a `ValueError` or produce incorrect results. Common practices include imputation (`df.fillna()`) or dropping rows/columns with NaNs (`df.dropna()`).
4.  **No Outlier Detection or Handling:**
    *   **Problem:** The code does not check for or address outliers in the data.
    *   **Explanation:** Support Vector Regression (SVR) can be sensitive to outliers, especially if the `epsilon` parameter (which defines the margin of tolerance for errors) is not appropriately tuned. Outliers can heavily influence the decision boundary or hyperplane, leading to a suboptimal model.
5.  **Target Variable Not Scaled:**
    *   **Problem:** Only the input features (`X`) are scaled using `MinMaxScaler`; the target variable (`y`) is left unscaled.
    *   **Explanation:** While SVR can technically work with unscaled targets, it is often beneficial to scale the target variable as well, especially if its range is very large. The default hyperparameters for `SVR` (like `C` and `epsilon`) might be more appropriate for a scaled target (e.g., between 0 and 1 or -1 and 1). Scaling the target can sometimes lead to faster convergence or better performance, and it ensures that the `epsilon` parameter has a consistent meaning relative to the target's scale.
6.  **Lack of Hyperparameter Tuning:**
    *   **Problem:** `model = SVR(kernel="rbf")` uses the default hyperparameters for `SVR` (e.g., `C=1.0`, `epsilon=0.1`, `gamma='scale'`).
    *   **Explanation:** The default hyperparameters are rarely optimal for a specific dataset. To achieve the best possible performance, hyperparameter tuning using techniques like Grid Search (`GridSearchCV`) or Randomized Search (`RandomizedSearchCV`) with cross-validation is essential. Without tuning, the reported R2 score might be significantly lower than what the model is capable of achieving.
7.  **Limited Model Evaluation (Single Metric, No Cross-Validation):**
    *   **Problem:** The model is evaluated solely using `r2_score` on a single test set split, without using techniques like K-Fold Cross-Validation.
    *   **Explanation:**
        *   **Single Metric:** While R2 score is good, other metrics like Mean Absolute Error (MAE) or Mean Squared Error (MSE)/Root Mean Squared Error (RMSE) provide different perspectives on model performance (e.g., MAE is more robust to outliers than MSE).
        *   **Single Test Set:** Evaluating on a single `X_test` split might lead to a performance estimate that is either optimistically or pessimistically biased due to the specific random split of the data. Cross-validation provides a more robust and reliable estimate of the model's generalization performance by training and evaluating the model multiple times on different subsets of the data.
8.  **No "Main" Guard:**
    *   **Problem:** The code runs directly at the top level of the script.
    *   **Explanation:** For scripts that might grow larger, be imported as modules, or contain functions, it's good practice to wrap the main execution logic within an `if __name__ == "__main__":` block. This ensures that the code inside this block only runs when the script is executed directly, not when it's imported into another script.
9.  **Lack of Comments and Documentation:**
    *   **Problem:** The code is functional but lacks comments explaining its purpose, specific steps, assumptions, or design choices.
    *   **Explanation:** Good code includes comments that clarify complex logic, explain why certain decisions were made, or provide context. This improves readability and maintainability, especially for others (or your future self) who might need to understand or modify the code.
In summary, while the code provides a basic functional example, it lacks the robustness, thoroughness, and best practices typically expected in a production or research machine learning pipeline.</t>
  </si>
  <si>
    <t>The provided code contains a potential issue related to data leakage. The scaling of features using `MinMaxScaler` is performed on the entire dataset before the train-test split:
```python
scaler = MinMaxScaler()
X_normalized = scaler.fit_transform(X)
```
This means that the scaling transformation is fitted on the whole data (including the test set) and then applied to both train and test sets. This procedure leaks information from the test set into the training process, because the scaling parameters (i.e., the min and max values) are calculated using information from the entire dataset, including the hold-out test data.
To prevent this form of data leakage, the scaling should be done separately for the training and test data. Specifically, the scaler should be fitted only on the training data and then applied to both the training and test data like so:
```python
# Split the data before scaling
X_train, X_test, y_train, y_test = train_test_split(
    X, y, test_size=0.25, random_state=7
)
# Fit the scaler on the training data
scaler = MinMaxScaler()
X_train_normalized = scaler.fit_transform(X_train)
# Transform the test data using the scaler fitted on the train data
X_test_normalized = scaler.transform(X_test)
```
Afterward, use `X_train_normalized` and `X_test_normalized` for model training and prediction, respectively. This ensures that the test set remains completely unseen during the training process, thus eliminating the possibility of data leakage.</t>
  </si>
  <si>
    <t>The provided Python machine learning pipeline code does contain a form of data leakage. Let's break down where the leakage occurs and why it is a problem.
### Location of Data Leakage
The data leakage occurs during the normalization of the features:
```python
scaler = MinMaxScaler()
X_normalized = scaler.fit_transform(X)
```
In this line, the `MinMaxScaler` is fitted to the entire dataset (`X`), which includes both the training and test data. This means that information from the test set (specifically, the range of values for each feature) is used when normalizing the training set, thus leaking test set information into the training process.
### Why is This a Problem?
Data leakage can lead to overly optimistic performance estimates during model evaluation. When the model is trained with knowledge of information that it shouldn't have access to (like the test data distribution when scaling), it may perform exceptionally well on the test set. However, this performance is not indicative of how the model will perform in real-world scenarios where the model won't have access to future unseen data it was trained on. 
This could result in a model that appears to generalize well during testing but actually fails when deployed in a production environment because its performance was artificially inflated due to the leakage.
### How to Fix It
To fix this issue, you should perform the fitting of the `MinMaxScaler` after splitting the data into training and testing sets. Here is how to modify the code:
```python
scaler = MinMaxScaler()
# Split the data before scaling
X_train, X_test, y_train, y_test = train_test_split(
    X, y, test_size=0.25, random_state=7
)
# Fit the scaler to the training set only and transform both train and test sets
scaler.fit(X_train)
X_train_normalized = scaler.transform(X_train)
X_test_normalized = scaler.transform(X_test)
model = SVR(kernel="rbf")
model.fit(X_train_normalized, y_train)
y_pred = model.predict(X_test_normalized)
print(f"R2 Score: {r2_score(y_test, y_pred):.4f}")
```
With these changes, the scaler is fitted only to the training data, thus preventing any information from the test set from influencing the training set, thereby eliminating the risk of data leakage.</t>
  </si>
  <si>
    <t>## Data Leakage Analysis
### Verdict: **Data Leakage Present**
---
### Where the Leakage Occurs
The leakage is on this line:
```python
scaler = MinMaxScaler()
X_normalized = scaler.fit_transform(X)  # ← Leakage happens here
```
The scaler is **fit on the entire dataset** `X` before the train/test split. The normalized data is *then* split:
```python
X_train, X_test, y_train, y_test = train_test_split(
    X_normalized, y, test_size=0.25, random_state=7  # Split happens AFTER
)
```
---
### Why This Is a Problem
`MinMaxScaler` computes the **min and max of each feature** across all rows to perform this transformation:
$$X_{scaled} = \frac{X - X_{min}}{X_{max} - X_{min}}$$
When fit on the full dataset, the min/max values are computed using test set rows. This means:
- **Test set statistics silently influence the scaling of training data**
- The model is trained on data whose scale was shaped by test observations it should never have seen
- Reported metrics will be **optimistically biased** — performance in true production will likely be worse
This is a subtle but real form of information leakage: the test set has "voted" on the feature ranges used during training.
---
### Corrected Code
Fit the scaler **only on training data**, then apply it to both splits: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Split raw (unscaled) data first
X_train, X_test, y_train, y_test = train_test_split(
    X, y, test_size=0.25, random_state=7
)
scaler = MinMaxScaler()
X_train_scaled = scaler.fit_transform(X_train)  # Fit ONLY on training data
X_test_scaled = scaler.transform(X_test)         # Apply (don't refit) to test data
model = SVR(kernel="rbf")
model.fit(X_train_scaled, y_train)
y_pred = model.predict(X_test_scaled)
print(f"R2 Score: {r2_score(y_test, y_pred):.4f}")
```
**Key change:** `.fit_transform()` on train, `.transform()` only on test. The test set now has zero influence on the scaler's parameters.
---
### Best Practice: Use a Pipeline
For additional safety (especially with cross-validation), use `sklearn.pipeline.Pipeline`, which automatically ensures the scaler is refit only on training folds:
```python
from sklearn.pipeline import Pipeline
pipeline = Pipeline([
    ("scaler", MinMaxScaler()),
    ("model", SVR(kernel="rbf"))
])
pipeline.fit(X_train, y_train)
y_pred = pipeline.predict(X_test)
```
This makes leakage-free preprocessing the structural default rather than something that depends on careful ordering.</t>
  </si>
  <si>
    <t># Data Leakage Review
## **CRITICAL DATA LEAKAGE FOUND**
This code contains **serious data leakage** in the preprocessing step.
### The Problem
```python
scaler = MinMaxScaler()
X_normalized = scaler.fit_transform(X)  # ← FIT on ALL data (train + test)
X_train, X_test, y_train, y_test = train_test_split(
    X_normalized, y, test_size=0.25, random_state=7
)
```
The `MinMaxScaler` is **fit on the entire dataset** (both training and test data) *before* the train-test split. This means:
1. **The scaler learns the min/max values from the test set** — information that should be unknown during training
2. **Test data statistics influence the normalization of training data** — violating the principle that training and test sets should be independent
3. **At real prediction time**, you wouldn't have access to future test data's min/max values, so this creates an unrealistic scenario
### Why This Is a Problem
- The reported R² score is **artificially inflated** because the model benefited from information it shouldn't have had
- The model's true generalization performance is **overestimated**
- Results are **not reproducible** on truly unseen data
### The Fix
Fit the scaler **only on training data**, then apply it to both sets:
```python
X_train, X_test, y_train, y_test = train_test_split(
    X, y, test_size=0.25, random_state=7
)
scaler = MinMaxScaler()
X_train = scaler.fit_transform(X_train)  # ← FIT only on training data
X_test = scaler.transform(X_test)        # ← TRANSFORM test data with training statistics
model = SVR(kernel="rbf")
model.fit(X_train, y_train)
y_pred = model.predict(X_test)
print(f"R2 Score: {r2_score(y_test, y_pred):.4f}")
```
This ensures the test set is truly held-out and unbiased.</t>
  </si>
  <si>
    <t>Yes, this code **does contain data leakage**.
The data leakage occurs during the **feature scaling** step.
**Where it occurs:**
```python
scaler = MinMaxScaler()
X_normalized = scaler.fit_transform(X) # &lt;-- Data leakage happens here!
```
**Why it is a problem:**
1.  **`scaler.fit_transform(X)`** is applied to the *entire dataset `X`* (which includes both future training and testing data) *before* the `train_test_split` function is called.
2.  The `MinMaxScaler().fit()` method calculates the minimum and maximum values for each feature based on the data it receives. By fitting it on `X` (the complete dataset), the scaler learns the min/max ranges from the entire dataset, including the test set.
3.  This means that when the data is subsequently split into `X_train` and `X_test`, the `X_train` data has already been scaled using information (the min/max values) derived from the `X_test` set.
4.  **Consequence:** The model implicitly "sees" some characteristics of the test set's distribution during the training phase. This can lead to an overly optimistic performance estimate (e.g., a higher R2 score) because the model has an unfair advantage, learning subtle information about the data it's supposed to predict as "unseen." In a real-world scenario, you wouldn't have access to the test data's distribution characteristics when you're preparing your training data.
**How to fix it:**
The scaler should be `fit` *only* on the training data, and then used to `transform` both the training and test data separately.
Here's the corrected code snippet: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 CORRECTED PART ---
# Split the data BEFORE scaling
X_train, X_test, y_train, y_test = train_test_split(
    X, y, test_size=0.25, random_state=7
)
scaler = MinMaxScaler()
# Fit the scaler ONLY on the training data
X_train_normalized = scaler.fit_transform(X_train)
# Transform the test data using the scaler fitted on the training data
X_test_normalized = scaler.transform(X_test)
# --- END CORRECTED PART ---
model = SVR(kernel="rbf")
model.fit(X_train_normalized, y_train) # Use normalized training data
y_pred = model.predict(X_test_normalized) # Predict on normalized test data
print(f"R2 Score: {r2_score(y_test, y_pred):.4f}")
```</t>
  </si>
  <si>
    <t>2B</t>
  </si>
  <si>
    <t>The given Python code is a typical machine learning workflow using the Scikit-learn library to build and evaluate a Support Vector Regression (SVR) model. Below are the issues and bad practices identified in the code, with explanations for each:
1. **Import Only Necessary Libraries Specifically**:
   - While your imports seem relevant to this script, it's generally good practice to import only what's necessary. However, the imports look fine given the functions you use, so no changes are necessary in this case.
2. **Data Availability and Error Handling**:
   - The code assumes that the file "energy.csv" exists in the working directory. It's a good practice to include error handling (e.g., using `try...except`) when reading a file, as missing files can lead to runtime errors. An example could be using a `try-except` block to catch `FileNotFoundError`.
     ```python
     try:
         df = pd.read_csv("energy.csv")
     except FileNotFoundError:
         print("The file 'energy.csv' was not found.")
         # Optionally, you might return or exit depending on the context
     ```
3. **Feature and Target Variable Existence Check**:
   - Before using columns from the DataFrame, you should check if those columns exist to avoid key errors if the CSV format changes or is different from expected.
     ```python
     if not all(col in df.columns for col in ["temperature", "humidity", "wind_speed", "pressure", "energy_consumption"]):
         raise ValueError("One or more required columns are missing in the dataset.")
     ```
4. **Column Scaling and Inverse Transforming**:
   - Although the usage of `MinMaxScaler` is appropriate for scaling features, if the outputs need to be interpreted in their original scale (e.g., if the predictions are further used or analyzed later in original scale), it's important to inverse transform the predictions using the scaler. In this context, it looks fine as you are comparing `r2_score` directly.
5. **Feature Engineering and Model Assumptions**:
   - Depending on the nature of the data, it might be beneficial to consider additional feature engineering, such as interaction terms or polynomial features, if the underlying relationship is not captured well by an SVR with RBF kernel.
6. **Hyperparameter Tuning**:
   - The SVR model uses default hyperparameters. It is usually beneficial to perform hyperparameter tuning to find optimal values, potentially using techniques like cross-validation and grid search, to ensure better model performance.
7. **Printing Results in a More Structured Format**:
   - The print statement, while functional, could be improved for better readability, especially if the script grows more complex, by formatting the output more clearly or using logging for better management.
8. **Random Seed**:
   - Ensure the usage of `random_state` consistently throughout your experiment to maintain reproducibility, which you’ve correctly done in `train_test_split`.
9. **Global Variables and Naming Conventions**:
   - This code doesn’t introduce unnecessary global variables, which is good. However, ensure all variables follow naming conventions and are consistent.
10. **Commenting and Documentation**:
    - Add comments to describe important steps and considerations, which can greatly help others (and yourself) understand the workflow at a glance.
Overall, the code addresses a standard machine learning pipeline but could benefit from enhanced error handling, checking assumptions, potential improvements in feature engineering, and hyperparameter tuning.</t>
  </si>
  <si>
    <t>The provided Python code for a machine learning task has several issues, bugs, and areas for improvement. Here's a review of the code with identified problems and explanations:
1. **Data Loading Without Validation**:
   - **Issue**: The data is loaded directly from a CSV file without checking if the file exists or if it loads successfully.
   - **Explanation**: It's good practice to include error handling when loading data. If the file does not exist or fails to load, the code will throw an unhandled exception. You might want to check if the file exists or wrap the loading operation in a try-except block.
   ```python
   try:
       df = pd.read_csv("energy.csv")
   except FileNotFoundError:
       print("The file 'energy.csv' was not found.")
       exit(1)
   ```
2. **Lack of Data Exploration or Cleaning**:
   - **Issue**: The code assumes that the data is clean and suitable for modeling without any exploration.
   - **Explanation**: Prior to modeling, it's necessary to explore the dataset for missing values, outliers, or inconsistencies. You should add steps for data exploration and cleaning.
   ```python
   print(df.info())       # Check for missing values and data types
   print(df.describe())   # Summary statistics to check for outliers
   ```
3. **Potential Feature Scaling Issue**:
   - **Issue**: The code uses MinMaxScaler, which scales the features to a range between 0 and 1. While this is generally okay for many algorithms, SVR can also benefit from standardization (z-score normalization), especially with features that have significantly different ranges.
   - **Explanation**: Consider using `StandardScaler` if feature distributions are not uniform.
   ```python
   from sklearn.preprocessing import StandardScaler
   scaler = StandardScaler()
   ```
4. **Model Evaluation Without Cross-Validation**:
   - **Issue**: The code evaluates the model using a single train-test split, which may not represent the model's generalization performance accurately.
   - **Explanation**: Utilizing cross-validation (e.g., `cross_val_score`) can provide a better estimate of the model's performance and ensures that the model is not sensitive to the random split of the data.
   ```python
   from sklearn.model_selection import cross_val_score
   scores = cross_val_score(model, scaler.transform(X), y, cv=5)
   print(f"Cross-validated R2 Score: {scores.mean():.4f}")
   ```
5. **Hardcoded Random State**:
   - **Issue**: The random state is hardcoded to `7`.
   - **Explanation**: While this is fine for reproducibility, it can be made a parameter for flexibility, allowing users to change it as they see fit, or to set it to `None` to allow for randomness.
   ```python
   random_state = 7  # Consider making this configurable
   ```
6. **Lack of Comments and Documentation**:
   - **Issue**: The code lacks comments or docstrings explaining the purpose of the steps.
   - **Explanation**: Adding comments and documentation improves code readability and maintainability.
7. **Using Default SVR Parameters Without Justification**:
   - **Issue**: The SVR model is initialized without tuning hyperparameters.
   - **Explanation**: Default parameters might not be optimal for the dataset. Consider using hyperparameter tuning techniques like Grid Search or Random Search to find the best parameters for your model.
Here’s a modified version of the code that includes some of the fixes and recommendations:
```python
import pandas as pd
from sklearn.preprocessing import StandardScaler
from sklearn.model_selection import train_test_split, cross_val_score
from sklearn.svm import SVR
from sklearn.metrics import r2_score
import os
# Load the dataset with error handling
file_path = "energy.csv"
if not os.path.exists(file_path):
    raise FileNotFoundError(f"The file '{file_path}' was not found.")
df = pd.read_csv(file_path)
# Data exploration (placeholders for more detailed exploration and cleaning)
print(df.info())
print(df.describe())
# Split features and target
X = df[["temperature", "humidity", "wind_speed", "pressure"]]
y = df["energy_consumption"]
# Split the data
X_train, X_test, y_train, y_test = train_test_split(
    X, y, test_size=0.25, random_state=7
)
# Feature scaling
scaler = StandardScaler()
X_train = scaler.fit_transform(X_train)
X_test = scaler.transform(X_test)
# Train the model
model = SVR(kernel="rbf")
model.fit(X_train, y_train)
# Predict and evaluate
y_pred = model.predict(X_test)
print(f"R2 Score: {r2_score(y_test, y_pred):.4f}")
# Cross-validation for better evaluation
cv_scores = cross_val_score(model, scaler.transform(X), y, cv=5)
print(f"Cross-validated R2 Score: {cv_scores.mean():.4f}")
```
These changes address the issues and improve code quality, robustness, and clarity.</t>
  </si>
  <si>
    <t>## Code Review
The code is functional and follows reasonable practices, but has several issues ranging from critical bugs to style concerns.
---
### 1. No Error Handling for File Loading
```python
# Current - crashes with unhandled exception if file is missing
df = pd.read_csv("energy.csv")
# Better
try:
    df = pd.read_csv("energy.csv")
except FileNotFoundError:
    raise FileNotFoundError("Dataset 'energy.csv' not found. Check the file path.")
except pd.errors.EmptyDataError:
    raise ValueError("The file 'energy.csv' is empty.")
```
**Problem:** If the file doesn't exist or is malformed, the code throws an unhandled exception with a cryptic message.
---
### 2. No Validation That Required Columns Exist
```python
# Current - KeyError if any column is missing
X = df[["temperature", "humidity", "wind_speed", "pressure"]]
y = df["energy_consumption"]
# Better
required_columns = ["temperature", "humidity", "wind_speed", "pressure", "energy_consumption"]
missing = [col for col in required_columns if col not in df.columns]
if missing:
    raise ValueError(f"Missing required columns: {missing}")
```
**Problem:** If the CSV has different column names or missing columns, you get an unhelpful `KeyError`.
---
### 3. Missing Data Not Handled (Significant Bug)
```python
# Current - SVR will raise an error or silently produce bad results with NaN values
X = df[["temperature", "humidity", "wind_speed", "pressure"]]
# Better - at minimum, check and handle explicitly
if df[required_columns].isnull().any().any():
    print("Warning: Missing values detected.")
    df = df.dropna(subset=required_columns)
    # OR: df.fillna(df.median(), inplace=True)
```
**Problem:** No missing value check before training. Scikit-learn's SVR will raise a `ValueError` on NaN inputs, and silently wrong results are possible after imputation if done carelessly.
---
### 4. Target Variable `y` Is Not Scaled
```python
# Current - features scaled, but target is not
scaler = MinMaxScaler()
X_train = scaler.fit_transform(X_train)
# Better - scale y too, especially for SVR which is sensitive to output range
y_scaler = MinMaxScaler()
y_train_scaled = y_scaler.fit_transform(y_train.values.reshape(-1, 1)).ravel()
model.fit(X_train, y_train_scaled)
y_pred_scaled = model.predict(X_test)
y_pred = y_scaler.inverse_transform(y_pred_scaled.reshape(-1, 1)).ravel()
```
**Problem:** SVR with RBF kernel is sensitive to the scale of both inputs **and** the output. Unscaled targets can make the default `epsilon` and `C` hyperparameters highly suboptimal, degrading model performance significantly.
---
### 5. Scaler Fitted on Training Data — Correct, But Should Be Preserved
```python
# Current - scaler is created but never saved
scaler = MinMaxScaler()
X_train = scaler.fit_transform(X_train)
# Better - save the scaler for later use in production
import joblib
joblib.dump(scaler, "scaler.pkl")
# Later: scaler = joblib.load("scaler.pkl")
```
**Problem:** The scaler is not persisted. Any future predictions on new data require the same scaler. This is a critical oversight for deployment.
---
### 6. No Hyperparameter Tuning for SVR
```python
# Current - default hyperparameters are rarely optimal
model = SVR(kernel="rbf")
# Better - use cross-validated search
from sklearn.model_selection import GridSearchCV
param_grid = {
    "C": [0.1, 1, 10, 100],
    "epsilon": [0.01, 0.1, 0.5],
    "gamma": ["scale", "auto"]
}
grid_search = GridSearchCV(SVR(kernel="rbf"), param_grid, cv=5, scoring="r2", n_jobs=-1)
grid_search.fit(X_train, y_train)
model = grid_search.best_estimator_
print(f"Best params: {grid_search.best_params_}")
```
**Problem:** SVR is highly sensitive to `C`, `epsilon`, and `gamma`. Using defaults without tuning typically yields poor results.
---
### 7. Single Metric Gives Incomplete Picture
```python
# Current - only R2 reported
print(f"R2 Score: {r2_score(y_test, y_pred):.4f}")
# Better - report multiple metrics
from sklearn.metrics import mean_absolute_error, mean_squared_error
import numpy as np
print(f"R²:   {r2_score(y_test, y_pred):.4f}")
print(f"MAE:  {mean_absolute_error(y_test, y_pred):.4f}")
print(f"RMSE: {np.sqrt(mean_squared_error(y_test, y_pred)):.4f}")
```
**Problem:** R² alone is insufficient. A negative R² (possible with SVR) tells you little about the actual error magnitude. MAE and RMSE provide interpretable, domain-relevant context.
---
### 8. No Reproducibility for NumPy Operations
```python
# Current - random_state set for train_test_split only
train_test_split(X, y, test_size=0.25, random_state=7)
# Better - also set global seeds
import numpy as np
np.random.seed(7)
```
**Problem:** `random_state=7` only covers the split. Other stochastic operations (if added later) won't be reproducible.
---
### Summary Table
| # | Issue | Severity |
|---|-------|----------|
| 1 | No file loading error handling | Medium |
| 2 | No column validation | Medium |
| 3 | Missing values not handled | **High** |
| 4 | Target variable not scaled for SVR | **High** |
| 5 | Scaler not persisted | Medium |
| 6 | No hyperparameter tuning | Medium |
| 7 | Single evaluation metric | Low |
| 8 | Incomplete reproducibility setup | Low |
Issues 3 and 4 are the most likely to cause silent failures or significantly degraded model performance in practice.</t>
  </si>
  <si>
    <t># Code Review: Python ML Pipeline
## Issues Found
### 1. **Missing Data Validation** ⚠️
```python
df = pd.read_csv("energy.csv")
X = df[["temperature", "humidity", "wind_speed", "pressure"]]
y = df["energy_consumption"]
```
**Problem:** No checks for missing values, incorrect data types, or file existence.
**Fix:**
```python
df = pd.read_csv("energy.csv")
# Check for missing values
if df.isnull().any().any():
    print("Warning: Missing values detected")
    df = df.dropna()  # or use fillna()
# Verify required columns exist
required_cols = ["temperature", "humidity", "wind_speed", "pressure", "energy_consumption"]
if not all(col in df.columns for col in required_cols):
    raise ValueError(f"Missing required columns. Found: {df.columns.tolist()}")
```
---
### 2. **y Not Scaled** ⚠️ (Critical)
```python
X_train = scaler.fit_transform(X_train)
X_test = scaler.transform(X_test)
```
**Problem:** Features are normalized but the target variable `y` is not. This can:
- Cause SVR to perform suboptimally
- Create scale mismatch issues
- Affect interpretability
**Fix:**
```python
y_scaler = MinMaxScaler()
y_train = y_scaler.fit_transform(y_train.values.reshape(-1, 1)).ravel()
y_test = y_scaler.transform(y_test.values.reshape(-1, 1)).ravel()
```
---
### 3. **No Hyperparameter Tuning** ⚠️
```python
model = SVR(kernel="rbf")
```
**Problem:** SVR has critical hyperparameters (`C`, `gamma`, `epsilon`) left at defaults, which rarely work well.
**Fix:**
```python
from sklearn.model_selection import GridSearchCV
param_grid = {
    'C': [0.1, 1, 10, 100],
    'gamma': ['scale', 'auto', 0.001, 0.01],
    'epsilon': [0.01, 0.1, 0.2]
}
svm = SVR(kernel='rbf')
grid_search = GridSearchCV(svm, param_grid, cv=5, scoring='r2')
grid_search.fit(X_train, y_train)
model = grid_search.best_estimator_
```
---
### 4. **Single Metric Evaluation** ⚠️
```python
print(f"R2 Score: {r2_score(y_test, y_pred):.4f}")
```
**Problem:** Only R² score is reported. Missing:
- MAE, RMSE, MAPE for regression diagnostics
- Cross-validation scores
- Overfitting detection (train vs test scores)
**Fix:**
```python
from sklearn.metrics import mean_absolute_error, mean_squared_error
import numpy as np
y_train_pred = model.predict(X_train)
r2_train = r2_score(y_train, y_train_pred)
r2_test = r2_score(y_test, y_pred)
rmse = np.sqrt(mean_squared_error(y_test, y_pred))
mae = mean_absolute_error(y_test, y_pred)
print(f"Train R²: {r2_train:.4f} | Test R²: {r2_test:.4f}")
print(f"RMSE: {rmse:.4f} | MAE: {mae:.4f}")
if r2_train - r2_test &gt; 0.1:
    print("⚠️ Warning: Model may be overfitting")
```
---
### 5. **No Error Handling** ⚠️
```python
df = pd.read_csv("energy.csv")
```
**Problem:** No try-except for file not found, parsing errors, etc.
**Fix:**
```python
try:
    df = pd.read_csv("energy.csv")
except FileNotFoundError:
    print("Error: energy.csv not found")
    exit(1)
except pd.errors.ParserError as e:
    print(f"Error parsing CSV: {e}")
    exit(1)
```
---
### 6. **Hardcoded Random State** ⚠️
```python
train_test_split(X, y, test_size=0.25, random_state=7)
```
**Problem:** Good for reproducibility, but no option to disable it for production. Also, `random_state=7` lacks justification.
**Fix:**
```python
RANDOM_STATE = 42  # Clear seed value
X_train, X_test, y_train, y_test = train_test_split(
    X, y, test_size=0.25, random_state=RANDOM_STATE
)
```
---
### 7. **No Train/Test Data Consistency Check** ⚠️
```python
scaler = MinMaxScaler()
X_train = scaler.fit_transform(X_train)
```
**Problem:** Feature ranges not verified. Extreme outliers in test set won't be handled by fitted scaler.
**Fix:**
```python
print(f"X_train range: [{X_train.min()}, {X_train.max()}]")
print(f"X_test range: [{X_test.min()}, {X_test.max()}]")
```
---
## Summary Table
| Issue | Severity | Impact |
|-------|----------|--------|
| Target not scaled | 🔴 High | Poor model performance |
| No hyperparameter tuning | 🔴 High | Suboptimal predictions |
| Single metric | 🟡 Medium | Incomplete evaluation |
| No error handling | 🟡 Medium | Crashes without feedback |
| No data validation | 🟡 Medium | Silent failures |
| Hardcoded random state | 🟢 Low | Reproducibility only |</t>
  </si>
  <si>
    <t>The provided Python code implements a basic machine learning workflow for training a Support Vector Regressor (SVR) model to predict energy consumption. While functional, it contains several issues, bugs, and bad practices common in introductory examples, making it less robust, maintainable, and optimal for real-world scenarios.
Here's a breakdown of the problems:
### Issues, Bugs, and Bad Practices
1.  **No Data Exploration (EDA)**
    *   **Problem:** The code jumps straight into splitting and modeling without any preliminary data analysis.
    *   **Explanation:** Before building a model, it's crucial to understand the data. This involves checking:
        *   `df.head()`: To see the first few rows and understand the data structure.
        *   `df.info()`: To check data types, non-null counts, and memory usage.
        *   `df.describe()`: To get statistical summaries (mean, min, max, std dev) of numerical columns.
        *   `df.isnull().sum()`: To identify missing values.
        *   Distributions of features and target, correlations, outliers.
    *   **Impact:** Without EDA, you might use inappropriate features, fail to handle missing data or outliers, or make incorrect assumptions about the data, leading to a suboptimal or even flawed model.
2.  **Hardcoded Filename and Column Names**
    *   **Problem:** The filename `"energy.csv"` and specific column names (`"temperature"`, etc., `"energy_consumption"`) are hardcoded directly into the script.
    *   **Explanation:** This makes the script inflexible. If the file name changes, or if the column names in the dataset are slightly different (e.g., `temp` instead of `temperature`), the script will crash or produce incorrect results.
    *   **Improvement:** These should ideally be configurable (e.g., passed as arguments to a function, read from a config file, or defined as constants at the top of the script).
3.  **Lack of Error Handling**
    *   **Problem:** The code will crash if `energy.csv` does not exist or if the specified columns are not found in the DataFrame.
    *   **Explanation:** There are no `try-except` blocks to handle common errors like `FileNotFoundError` during `pd.read_csv` or `KeyError` if columns are missing.
    *   **Impact:** A production script should gracefully handle such errors instead of terminating abruptly.
4.  **No Hyperparameter Tuning for SVR**
    *   **Problem:** The SVR model is initialized with default hyperparameters (`C=1.0`, `epsilon=0.1`, `gamma='scale'`).
    *   **Explanation:** While defaults can sometimes be reasonable, they are rarely optimal for a specific dataset. SVR's performance is highly sensitive to hyperparameters like `C` (regularization), `epsilon` (epsilon-tube size), and `gamma` (kernel coefficient).
    *   **Impact:** The model's performance (`R2 Score`) is likely not the best achievable.
    *   **Improvement:** Techniques like `GridSearchCV` or `RandomizedSearchCV` should be used with cross-validation to find the optimal hyperparameters.
5.  **Single Train-Test Split (Lack of Robust Evaluation)**
    *   **Problem:** The model is evaluated on a single, randomly chosen test set.
    *   **Explanation:** The performance metric (`R2 Score`) reported might be specific to this particular split of the data and might not generalize well. If you re-run the script with a different `random_state`, the `R2 Score` could vary significantly.
    *   **Improvement:** For a more reliable performance estimate and to assess the model's stability, **k-fold cross-validation** should be used. This trains and evaluates the model multiple times on different subsets of the data.
6.  **Procedural Scripting (Lack of Modularity)**
    *   **Problem:** The entire workflow is written as a single, linear script.
    *   **Explanation:** As projects grow, this style becomes hard to read, maintain, reuse, and test.
    *   **Improvement:** Encapsulate different stages of the workflow into functions (e.g., `load_data`, `preprocess_data`, `train_model`, `evaluate_model`). This promotes modularity, readability, and reusability.
7.  **Scaling of Target Variable (y) - Consideration**
    *   **Problem:** The target variable `y` (`energy_consumption`) is not scaled, while features `X` are.
    *   **Explanation:** While not strictly a "bug" for SVR (it often works fine without scaling `y`), some sources suggest that scaling the target variable can sometimes improve the training process and performance for SVR, especially if the target has a very large or small range. If `y` *were* scaled, one would need to inverse transform the predictions before calculating metrics like `r2_score` to get interpretable results in the original units.
    *   **Impact:** This is more of a potential missed optimization or a design choice to be aware of.
8.  **No Comments or Docstrings**
    *   **Problem:** The code lacks comments explaining the purpose of different sections or complex logic. There's no high-level docstring for the script itself.
    *   **Explanation:** This makes the code harder for others (or your future self) to understand and maintain.
    *   **Improvement:** Add comments to clarify non-obvious steps and a docstring at the beginning of the script to explain its overall purpose.
9.  **Model Persistence (Missing)**
    *   **Problem:** The trained model is not saved.
    *   **Explanation:** After training, if you want to use this model later to make predictions on new data without retraining, you'd have to re-run the entire script.
    *   **Improvement:** The model should be saved (e.g., using `joblib` or `pickle`) after training.
10. **Choice of Metrics (Could be more comprehensive)**
    *   **Problem:** Only `r2_score` is reported.
    *   **Explanation:** While `r2_score` is a standard metric for regression, it doesn't always tell the whole story. It can be misleading in certain contexts (e.g., if the model consistently over- or under-predicts).
    *   **Improvement:** Also reporting other common regression metrics like Mean Absolute Error (MAE), Mean Squared Error (MSE), or Root Mean Squared Error (RMSE) can provide a more complete picture of the model's performance and prediction errors in the original units.
### Summary of Recommended Changes
To address these issues, the code could be improved by:
*   Adding preliminary EDA steps.
*   Making file and column names configurable.
*   Implementing error handling.
*   Using hyperparameter tuning (e.g., `GridSearchCV`) with cross-validation for model selection.
*   Refactoring the code into functions for better modularity.
*   Adding comments and docstrings.
*   Considering saving the trained model.
*   Reporting a wider range of evaluation metrics.
By implementing these improvements, the code would become more robust, interpretable, and production-ready.</t>
  </si>
  <si>
    <t>The provided Python machine learning pipeline code appears to be free of data leakage based on the operations visible in this snippet. Here's the detailed reasoning:
1. **Data Splitting**: 
   - The data is split into a training set and a test set using `train_test_split` before any other operations are applied. This is crucial to prevent any pre-processing steps from inadvertently leaking information from the test set into the training process.
2. **Feature Scaling**:
   - The `MinMaxScaler` is fitted only on the `X_train` data and then used to transform both `X_train` and `X_test`. This is the correct approach because it ensures that the scaling operation does not have any information about the test data's distribution at the time of training, thus preventing any leakage.
3. **Model Training and Evaluation**:
   - The model is trained using only the training data (`X_train` and `y_train`) and evaluated on the test data (`X_test` and `y_test`), which is the proper procedure for assessing model performance without leakage.
4. **Feature Engineering**:
   - There is no indication of feature engineering that might inadvertently use the target variable (`y`) for both training and testing inappropriately or create features that could lead to leakage.
Given these points, the code handles the data splitting and preprocessing steps appropriately, thereby maintaining the integrity of the test set up until model evaluation. There is no indication of data leakage or any improper handling of the test data during training or preprocessing in this pipeline.</t>
  </si>
  <si>
    <t>The provided Python machine learning pipeline code appears to be free of data leakage. Here's the step-by-step breakdown confirming this assessment:
1. **Data Split**: The code uses `train_test_split` to separate the dataset into training and testing sets before any preprocessing is applied. This ensures that the model is trained on the training set only and evaluated on the unseen test set.
2. **Scaling**: The `MinMaxScaler` is fitted to only the training data (`X_train`) using the `fit_transform` method. This means that the scaling parameters (the minimum and maximum values) used to normalize the training data are derived solely from the training data. After fitting the scaler, the scaling is then applied to the test data (`X_test`) using the `transform` method. This prevents information about the test set from leaking into the training process.
3. **Feature Engineering**: The selected features (`temperature`, `humidity`, `wind_speed`, `pressure`) do not seem to inherently encode information about the target variable (`energy_consumption`). There is no preprocessing or feature extraction step that would indicate any use of future or target information during the training phase.
4. **Model Training and Evaluation**: The model is then trained on the appropriately scaled training data, and predictions are made on the independent test set. The evaluation metric (R² score) is calculated using predictions on the test set, making sure that it reflects the model's performance on data it has never seen during training.
In summary, the steps in the code are designed properly to avoid any form of data leakage. The training and test datasets are handled separately, the scaling is correctly applied, and there is no use of target information during the feature engineering phase. Therefore, this pipeline should yield a reliable assessment of model performance without any bias introduced by data leakage.</t>
  </si>
  <si>
    <t>## Data Leakage Review
### Verdict: **No Data Leakage Detected**
This pipeline is correctly structured. Here is a systematic breakdown of each decision point:
---
### ✅ What the Code Gets Right
#### 1. Train/Test Split Performed *Before* Scaling
```python
# Split FIRST...
X_train, X_test, y_train, y_test = train_test_split(
    X, y, test_size=0.25, random_state=7
)
# ...THEN scale, using only training data to fit
scaler = MinMaxScaler()
X_train = scaler.fit_transform(X_train)  # fit_transform on train only
X_test = scaler.transform(X_test)        # transform only (no fit) on test
```
This is the **critical ordering**. The scaler learns the min/max boundaries exclusively from `X_train`. The test set is then transformed using those training-derived parameters, which correctly simulates a real deployment scenario where future data is scaled using statistics from past/training data.
**The common mistake** (which is absent here) would be:
```python
# WRONG - leakage example
scaler.fit_transform(X)  # fit on ALL data before splitting
```
That would let test-set statistics (min/max values) influence the scaling of training data, giving an unrealistically optimistic evaluation.
---
#### 2. Model Fitted on Training Data Only
```python
model.fit(X_train, y_train)   # only train split used
y_pred = model.predict(X_test)
```
No test labels (`y_test`) are used during training, and the model never sees `X_test` until inference.
---
#### 3. No Target Leakage in Features
```python
X = df[["temperature", "humidity", "wind_speed", "pressure"]]
y = df["energy_consumption"]
```
The feature set contains only plausible meteorological predictors. None of the features are:
- Derived from the target variable
- Future-looking (e.g., next-hour readings)
- Proxies that would be unavailable at prediction time
---
### Summary Table
| Check | Status | Detail |
|---|---|---|
| Scaler fit on test data | ✅ Clean | `fit_transform` on train, `transform` only on test |
| Split before preprocessing | ✅ Clean | `train_test_split` called before `MinMaxScaler` |
| Model trained on test labels | ✅ Clean | Only `y_train` used in `.fit()` |
| Target encoded in features | ✅ Clean | Features are independent meteorological inputs |
---
### One Minor Note Worth Mentioning
If this evaluation were part of **hyperparameter tuning** (e.g., selecting the RBF kernel or SVR's `C`/`epsilon`), repeatedly evaluating on the same test set would cause indirect leakage through model selection. The proper remedy would be **cross-validation on the training set** for tuning, reserving the test set for a single final evaluation. As written, however, this is a single evaluation and does not constitute leakage.</t>
  </si>
  <si>
    <t># Data Leakage Review
## Verdict: **NO DATA LEAKAGE**
This code is **free of data leakage**. The pipeline correctly follows best practices for train-test separation.
## Why This Code is Correct
1. **Proper train-test split timing**: The data is split into train and test sets *before* any preprocessing is applied.
2. **Correct scaler fitting**: The `MinMaxScaler` is fit **only on training data** (`scaler.fit_transform(X_train)`), then applied to test data using the learned parameters (`scaler.transform(X_test)`). This ensures:
   - Test set statistics do not influence the scaling parameters
   - The scaler uses min/max values learned exclusively from training data
   - Test predictions use the same transformation as would be applied in production
3. **Feature selection is valid**: All features ("temperature", "humidity", "wind_speed", "pressure") are independent predictors that would be available at prediction time. None encode leakage information about the target.
4. **No look-ahead bias**: The model is trained on training data and evaluated on completely held-out test data.
## Example of What Would Be Wrong
If the code had instead done:
```python
scaler = MinMaxScaler()
X = scaler.fit_transform(X)  # ❌ WRONG: fit on entire dataset
X_train, X_test, y_train, y_test = train_test_split(X, y, test_size=0.25)
```
This would leak test information because the scaler's min/max parameters would be influenced by the test set.
**Conclusion**: This pipeline demonstrates proper machine learning hygiene.</t>
  </si>
  <si>
    <t>This Python machine learning pipeline code **does not contain any form of data leakage**.
Here's a breakdown of why it's free of leakage:
1.  **Early Train-Test Split:**
    *   `X_train, X_test, y_train, y_test = train_test_split(X, y, test_size=0.25, random_state=7)`: The dataset is split into training and testing sets *before* any feature preprocessing or model training occurs. This is the crucial first step to prevent leakage. The test set (`X_test`, `y_test`) is completely isolated from the training process.
2.  **Correct Feature Scaling (MinMaxScaler):**
    *   `scaler = MinMaxScaler()`: The scaler is initialized.
    *   `X_train = scaler.fit_transform(X_train)`: The `MinMaxScaler` is `fit` *only* on the training data (`X_train`). This means it learns the minimum and maximum values for each feature exclusively from the training set.
    *   `X_test = scaler.transform(X_test)`: The *same* scaler, with the min/max values learned from the training set, is then used to `transform` the test set. It does *not* re-calculate min/max values from `X_test`. This prevents information about the test set's distribution (its min/max values) from influencing the scaling applied to the training data, and thus from leaking into the model training.
3.  **Model Training and Prediction:**
    *   `model.fit(X_train, y_train)`: The `SVR` model is trained exclusively on the scaled training data (`X_train`) and training labels (`y_train`).
    *   `y_pred = model.predict(X_test)`: Predictions are made only on the previously unseen, scaled test data (`X_test`).
    *   `r2_score(y_test, y_pred)`: The evaluation metric is calculated by comparing predictions on the test set (`y_pred`) against the true labels of the test set (`y_test`).
**Regarding Features Encoding Target Information:**
The features chosen (`temperature`, `humidity`, `wind_speed`, `pressure`) are typical environmental readings. Assuming these are raw, real-time measurements and not derived features that somehow incorporate future `energy_consumption` values (e.g., "average energy consumption over the next hour"), then these features would be available at prediction time and do not inherently encode target information in a problematic way.
In conclusion, the pipeline correctly separates the data, learns preprocessing parameters only from the training data, trains the model only on the training data, and evaluates it only on unseen test data.</t>
  </si>
  <si>
    <t>3A</t>
  </si>
  <si>
    <t>feature_selection</t>
  </si>
  <si>
    <t>easy-medium</t>
  </si>
  <si>
    <t>The provided Python code is generally well-structured and utilizes common libraries for data manipulation and machine learning. However, there are a few issues and potential improvements to consider:
1. **Handling of Missing Values**:  
   - **Issue**: The code does not check for or handle missing values in the dataset (`df`). Missing values can cause issues during training and evaluation.
   - **Suggestion**: Before proceeding with feature selection and model training, verify if there are missing values and decide on an approach to handle them, such as imputation or removal.
   ```python
   if df.isnull().values.any():
       # Handle missing values, e.g., df = df.dropna() or use imputation
   ```
2. **No Data Scaling or Normalization**:  
   - **Issue**: The dataset features may require scaling or normalization, especially when using methods like `SelectKBest`.
   - **Suggestion**: Consider scaling the features using tools like `StandardScaler` or `MinMaxScaler` before feature selection and model training.
   ```python
   from sklearn.preprocessing import StandardScaler
   scaler = StandardScaler()
   X_scaled = scaler.fit_transform(X)
   ```
3. **Hardcoded CSV File Path**:  
   - **Issue**: The CSV file path is hardcoded, which is not flexible if the file location changes or if multiple datasets are handled.
   - **Suggestion**: Use a configuration file or command-line argument to specify the file path.
   ```python
   import sys
   if len(sys.argv) &lt; 2:
       raise ValueError("Please provide the path to the dataset")
   df = pd.read_csv(sys.argv[1])
   ```
4. **No Target Class Imbalance Handling**:  
   - **Issue**: The code does not check for class imbalance in the target variable. Imbalanced data can bias model results.
   - **Suggestion**: Check for class balance and, if needed, apply techniques like resampling, stratified sampling, or using model strategies that are robust to imbalance.
5. **Lack of Model Evaluation Beyond Accuracy**:  
   - **Issue**: Relying solely on accuracy as a metric can be misleading, especially with imbalanced data.
   - **Suggestion**: Use additional metrics such as precision, recall, F1-score, and a confusion matrix to get a better understanding of model performance.
   ```python
   from sklearn.metrics import classification_report, confusion_matrix
   print(confusion_matrix(y_test, y_pred))
   print(classification_report(y_test, y_pred))
   ```
6. **Random State for Reproducibility**:  
   - **Issue**: It's good that a random state is set, but ensure consistency throughout data processing, such as in feature selection if applicable.
   - **Suggestion**: No additional action is needed here since random_state is consistently used where applicable.
By addressing these items, you can enhance the robustness, flexibility, and comprehensibility of the code.</t>
  </si>
  <si>
    <t>Here are several issues, bugs, and bad practices identified in the provided Python code:
### 1. **Reading CSV File without Exception Handling**
```python
df = pd.read_csv("medical.csv")
```
**Issue**: This line does not handle the case where the file might not exist or the file format is not correct. If the file is missing or corrupted, it will raise a `FileNotFoundError` or a `pd.errors.EmptyDataError`.
**Recommendation**: Use a try-except block to handle potential errors while reading the file.
```python
try:
    df = pd.read_csv("medical.csv")
except FileNotFoundError:
    print("The file medical.csv was not found.")
    # Handle error (e.g., exit the program, set df to an empty DataFrame, etc.)
except pd.errors.EmptyDataError:
    print("The file medical.csv is empty.")
    # Handle error
```
### 2. **Potential for Data Leakage with Feature Selection**
```python
selector = SelectKBest(score_func=f_classif, k=10)
X_selected = selector.fit_transform(X, y)
```
**Issue**: The feature selection is performed on the entire dataset before splitting into training and testing sets. This can lead to data leakage, as the model may overfit to noise inherent in the test set.
**Recommendation**: First split the data into training and testing sets, and then apply feature selection only on the training set.
```python
X_train, X_test, y_train, y_test = train_test_split(
    X, y, test_size=0.2, random_state=42
)
selector = SelectKBest(score_func=f_classif, k=10)
X_train_selected = selector.fit_transform(X_train, y_train)
X_test_selected = selector.transform(X_test)
```
### 3. **Handling of `SelectKBest` Output**
```python
X_selected = selector.fit_transform(X, y)
```
**Issue**: The variable name `X_selected` might imply that it contains the data ready for model training, but it is not clear where it comes from within the flow. It's better to retain the clear distinction between training and test sets after feature selection.
**Recommendation**: Give clear names to indicate which dataset is being selected, and ensure that the transformation step is correctly applied to both training and test datasets as noted in the previous point.
### 4. **Hardcoded Parameters**
```python
X_train, X_test, y_train, y_test = train_test_split(
    X_selected, y, test_size=0.2, random_state=42
)
```
**Issue**: The parameter `test_size=0.2` is hardcoded. While this might be appropriate for many use cases, hardcoding it reduces flexibility for different datasets or training scenarios.
**Recommendation**: Make it a variable at the top of the script or allow it to be passed as an argument to a function.
```python
test_size = 0.2
X_train, X_test, y_train, y_test = train_test_split(
    X_selected, y, test_size=test_size, random_state=42
)
```
### 5. **No Model Evaluation Beyond Accuracy Score**
```python
print(f"Accuracy: {accuracy_score(y_test, y_pred):.4f}")
```
**Issue**: Reporting only accuracy can be misleading, especially for imbalanced datasets. It does not provide a comprehensive view of the model's performance.
**Recommendation**: Include additional evaluation metrics such as precision, recall, F1 score, or the confusion matrix to provide a better evaluation of the model's performance.
```python
from sklearn.metrics import classification_report, confusion_matrix
print(confusion_matrix(y_test, y_pred))
print(classification_report(y_test, y_pred))
```
### 6. **No Comments or Documentation**
The code lacks comments or documentation that explain the logic and purpose of each section. This is especially important for others (or yourself in the future) to understand the flow and decisions made in the code.
**Recommendation**: Add comments explaining each major step and its purpose.
By addressing these issues, the code will become more robust, maintainable, and clearer in its intentions and results.</t>
  </si>
  <si>
    <t>## Code Review: Medical Diagnosis ML Pipeline
### Summary of Issues
This code has several significant problems spanning **data leakage**, **robustness**, **medical domain appropriateness**, and **general best practices**.
---
### Issue 1: Data Leakage (Critical Bug)
```python
# WRONG: Feature selection applied to entire dataset before splitting
selector = SelectKBest(score_func=f_classif, k=10)
X_selected = selector.fit_transform(X, y)  # Uses all data including future test data
X_train, X_test, y_train, y_test = train_test_split(X_selected, y, ...)
```
**Problem:** `SelectKBest` is fit on the entire dataset before the train/test split. The selector has already "seen" the test data, leaking information and producing artificially inflated accuracy scores.
```python
# CORRECT: Split first, then fit selector only on training data
X_train, X_test, y_train, y_test = train_test_split(X, y, test_size=0.2, random_state=42)
selector = SelectKBest(score_func=f_classif, k=10)
X_train_selected = selector.fit_transform(X_train, y_train)  # Fit on training only
X_test_selected = selector.transform(X_test)                  # Transform test separately
```
**Better approach** — use a Pipeline to prevent leakage structurally:
```python
from sklearn.pipeline import Pipeline
pipeline = Pipeline([
    ("selector", SelectKBest(score_func=f_classif, k=10)),
    ("classifier", RandomForestClassifier(n_estimators=100, random_state=42))
])
X_train, X_test, y_train, y_test = train_test_split(X, y, test_size=0.2, random_state=42)
pipeline.fit(X_train, y_train)
y_pred = pipeline.predict(X_test)
```
---
### Issue 2: Hardcoded `k=10` Without Validation
```python
selector = SelectKBest(score_func=f_classif, k=10)  # Why 10?
```
**Problem:** Choosing `k=10` arbitrarily may select too few or too many features. If the dataset has fewer than 10 columns, this raises a `ValueError`. There is no justification or tuning for this value.
```python
# CORRECT: Validate k and treat it as a hyperparameter
n_features = X.shape[1]
k_value = min(10, n_features)  # Safety guard at minimum
# Better: tune k via cross-validation
from sklearn.model_selection import GridSearchCV
pipeline = Pipeline([
    ("selector", SelectKBest(score_func=f_classif)),
    ("classifier", RandomForestClassifier(random_state=42))
])
param_grid = {"selector__k": [5, 10, 15, 20, "all"]}
grid_search = GridSearchCV(pipeline, param_grid, cv=5, scoring="f1")
grid_search.fit(X_train, y_train)
```
---
### Issue 3: No Handling of Missing Values
```python
df = pd.read_csv("medical.csv")
X = df.drop("diagnosis", axis=1)
```
**Problem:** Medical datasets commonly contain missing values. Neither `SelectKBest` nor `RandomForestClassifier` (in scikit-learn) handle `NaN` values natively — this will raise a `ValueError` at runtime with no helpful context.
```python
# CORRECT: Inspect and handle missing data explicitly
print(f"Missing values per column:\n{df.isnull().sum()}")
print(f"Missing value percentage: {df.isnull().mean() * 100}")
# Option A: Drop columns with excessive missingness, then impute
from sklearn.impute import SimpleImputer
# Option B: Use in pipeline
from sklearn.impute import SimpleImputer
pipeline = Pipeline([
    ("imputer", SimpleImputer(strategy="median")),  # Median robust to outliers
    ("selector", SelectKBest(score_func=f_classif, k=10)),
    ("classifier", RandomForestClassifier(n_estimators=100, random_state=42))
])
```
---
### Issue 4: No Handling of Non-Numeric Features
```python
X = df.drop("diagnosis", axis=1)
# Passed directly to f_classif which requires numeric input
```
**Problem:** `f_classif` and `RandomForestClassifier` require numeric input. Categorical columns will cause a `ValueError`, and this is common in medical data (e.g., gender, ethnicity, medication names).
```python
# CORRECT: Inspect dtypes and handle encoding
print(df.dtypes)
print(df.select_dtypes(include="object").columns.tolist())
# Use ColumnTransformer to handle mixed types
from sklearn.compose import ColumnTransformer
from sklearn.preprocessing import OneHotEncoder
numeric_features = X.select_dtypes(include="number").columns.tolist()
categorical_features = X.select_dtypes(include="object").columns.tolist()
preprocessor = ColumnTransformer([
    ("num", SimpleImputer(strategy="median"), numeric_features),
    ("cat", OneHotEncoder(handle_unknown="ignore"), categorical_features)
])
```
---
### Issue 5: Accuracy Is a Misleading Metric for Medical Data
```python
print(f"Accuracy: {accuracy_score(y_test, y_pred):.4f}")
```
**Problem:** Medical datasets are frequently imbalanced (e.g., rare diseases). A model predicting the majority class 100% of the time can achieve high accuracy while being clinically useless. In medical contexts, false negatives (missed diagnoses) are often far more costly than false positives.
```python
# CORRECT: Use a comprehensive suite of metrics
from sklearn.metrics import (
    classification_report,
    confusion_matrix,
    roc_auc_score,
    f1_score,
    ConfusionMatrixDisplay
)
import matplotlib.pyplot as plt
print(f"Accuracy:  {accuracy_score(y_test, y_pred):.4f}")
print(f"F1 Score:  {f1_score(y_test, y_pred, average='weighted'):.4f}")
print(f"ROC-AUC:   {roc_auc_score(y_test, model.predict_proba(X_test)[:, 1]):.4f}")
print("\nClassification Report:")
print(classification_report(y_test, y_pred))
# Check class balance
print(f"\nClass distribution:\n{y.value_counts(normalize=True)}")
disp = ConfusionMatrixDisplay(confusion_matrix(y_test, y_pred))
disp.plot()
plt.show()
```
---
### Issue 6: No Cross-Validation
```python
X_train, X_test, y_train, y_test = train_test_split(..., test_size=0.2)
# Single split only
```
**Problem:** A single 80/20 split produces a high-variance estimate of model performance. The result depends heavily on which samples happen to fall in the test set, especially with small medical datasets.
```python
# CORRECT: Use cross-validation for reliable estimates
from sklearn.model_selection import StratifiedKFold, cross_validate
cv = StratifiedKFold(n_splits=5, shuffle=True, random_state=42)
# Stratified ensures class proportions are preserved in each fold
cv_results = cross_validate(
    pipeline, X, y,
    cv=cv,
    scoring=["accuracy", "f1_weighted", "roc_auc"],
    return_train_score=True  # Helps detect overfitting
)
for metric in ["accuracy", "f1_weighted", "roc_auc"]:
    scores = cv_results[f"test_{metric}"]
    print(f"{metric}: {scores.mean():.4f} (+/- {scores.std() * 2:.4f})")</t>
  </si>
  <si>
    <t># Code Review: Issues and Problems Found
## 1. **No Error Handling for File Operations** ⚠️
```python
df = pd.read_csv("medical.csv")
```
**Problem:** The code doesn't handle the case where the file doesn't exist or is inaccessible.
**Fix:**
```python
try:
    df = pd.read_csv("medical.csv")
except FileNotFoundError:
    print("Error: medical.csv not found")
    exit()
except Exception as e:
    print(f"Error reading file: {e}")
    exit()
```
---
## 2. **No Data Validation** ⚠️
**Problem:** No checks for:
- Missing values in the dataset
- Non-numeric features that need encoding
- Whether "diagnosis" column exists
- Empty dataframe
**Fix:**
```python
if df.empty:
    print("Error: DataFrame is empty")
    exit()
if "diagnosis" not in df.columns:
    print("Error: 'diagnosis' column not found")
    exit()
if df.isnull().any().any():
    print(f"Warning: Missing values detected\n{df.isnull().sum()}")
    df = df.dropna()  # or use appropriate imputation
```
---
## 3. **Feature Selection Leakage** 🔴 **CRITICAL**
```python
selector = SelectKBest(score_func=f_classif, k=10)
X_selected = selector.fit_transform(X, y)
X_train, X_test, y_train, y_test = train_test_split(X_selected, y, ...)
```
**Problem:** Feature selection is performed on the entire dataset **before** splitting. This causes **data leakage** - test set information influences feature selection.
**Fix:**
```python
X_train, X_test, y_train, y_test = train_test_split(X, y, test_size=0.2, random_state=42)
selector = SelectKBest(score_func=f_classif, k=10)
X_train_selected = selector.fit_transform(X_train, y_train)
X_test_selected = selector.transform(X_test)  # Only transform, don't fit
model = RandomForestClassifier(n_estimators=100, random_state=42)
model.fit(X_train_selected, y_train)
y_pred = model.predict(X_test_selected)
```
---
## 4. **No Model Evaluation Metrics** ⚠️
**Problem:** Only accuracy is reported, which is insufficient for imbalanced datasets.
**Fix:**
```python
from sklearn.metrics import classification_report, confusion_matrix
print(f"Accuracy: {accuracy_score(y_test, y_pred):.4f}")
print("\nClassification Report:")
print(classification_report(y_test, y_pred))
print("\nConfusion Matrix:")
print(confusion_matrix(y_test, y_pred))
```
---
## 5. **No Feature Scaling** ⚠️
**Problem:** While RandomForest is tree-based and scale-invariant, if other models are used later, unscaled features could cause issues.
**Fix:**
```python
from sklearn.preprocessing import StandardScaler
scaler = StandardScaler()
X_train_scaled = scaler.fit_transform(X_train_selected)
X_test_scaled = scaler.transform(X_test_selected)
```
---
## 6. **Arbitrary k Value** ⚠️
**Problem:** `k=10` is hardcoded without justification. What if the dataset has fewer features?
**Fix:**
```python
k = min(10, X_train.shape[1])  # Use 10 or max available features
selector = SelectKBest(score_func=f_classif, k=k)
```
---
## 7. **No Cross-Validation** ⚠️
**Problem:** Model performance is evaluated on a single test split. Results may not be generalizable.
**Fix:**
```python
from sklearn.model_selection import cross_val_score
scores = cross_val_score(model, X_train_selected, y_train, cv=5)
print(f"Cross-validation scores: {scores}")
print(f"Mean CV Accuracy: {scores.mean():.4f} (+/- {scores.std():.4f})")
```
---
## 8. **No Hyperparameter Tuning** ⚠️
**Problem:** Random Forest parameters are defaults. No optimization attempted.
**Fix:**
```python
from sklearn.model_selection import GridSearchCV
param_grid = {'n_estimators': [50, 100, 200], 'max_depth': [5, 10, None]}
grid = GridSearchCV(RandomForestClassifier(random_state=42), param_grid, cv=5)
grid.fit(X_train_selected, y_train)
model = grid.best_estimator_
```
---
## 9. **No Feature Importance Analysis** ⚠️
**Problem:** After selecting features, no insight into which features matter.
**Fix:**
```python
importance = model.feature_importances_
selected_features = X.columns[selector.get_support()]
for feature, imp in sorted(zip(selected_features, importance), key=lambda x: x[1], reverse=True):
    print(f"{feature}: {imp:.4f}")
```
---
## Summary Table
| Issue | Severity | Type |
|-------|----------|------|
| File error handling | Medium | Robustness |
| Data validation | High | Robustness |
| Feature leakage | **CRITICAL** | Correctness |
| Limited metrics | Medium | Analysis |
| No scaling | Low | Best Practice |
| Hardcoded k | Low | Best Practice |
| No cross-validation | Medium | Best Practice |
| No hyperparameter tuning | Low | Optimization |
| No feature analysis | Low | Analysis |
The **most critical issue** is #3 (feature leakage), which invalidates model evaluation results.</t>
  </si>
  <si>
    <t>The provided Python code demonstrates a basic machine learning pipeline for classification. While it correctly implements the general steps, it contains several issues, ranging from critical data leakage to bad practices and potential pitfalls.
Here's a breakdown of the problems:
### 1. **Critical Issue: Data Leakage during Feature Selection**
*   **Problem:** The most severe issue is data leakage in the feature selection step. `selector.fit_transform(X, y)` is performed on the *entire dataset* (`X` and `y`) **before** the `train_test_split`.
*   **Explanation:** This means the `SelectKBest` algorithm, which calculates f-scores to rank and select the top `k` features, "sees" information from the test set. The chosen features are, therefore, implicitly selected based on their relationship with the target variable across *all* data, including the data that the model will later be evaluated on.
*   **Consequence:** The model's performance on the test set will be artificially inflated and will not accurately reflect its true generalization ability on unseen data. You are essentially "cheating" by letting your feature selection process peek at the answers.
*   **Solution:** Feature selection (and any other data preprocessing that learns from the data, like scaling or imputation) must *only* be performed on the training data. The fitted selector should then be used to transform both the training and test sets. A common and robust way to handle this is to integrate feature selection into a `Pipeline` from `sklearn.pipeline`.
    **Corrected approach (conceptual):**
    ```python
    # ... (imports and data loading) ...
    X_train_full, X_test_full, y_train, y_test = train_test_split(
        X, y, test_size=0.2, random_state=42
    )
    selector = SelectKBest(score_func=f_classif, k=10)
    X_train_selected = selector.fit_transform(X_train_full, y_train)
    X_test_selected = selector.transform(X_test_full) # Use transform, not fit_transform!
    # ... (model training and evaluation) ...
    ```
    Or, even better, using a `Pipeline`:
    ```python
    from sklearn.pipeline import Pipeline
    # ... (imports and data loading) ...
    X_train, X_test, y_train, y_test = train_test_split(
        X, y, test_size=0.2, random_state=42
    )
    pipeline = Pipeline([
        ('feature_selection', SelectKBest(score_func=f_classif, k=10)),
        ('classifier', RandomForestClassifier(n_estimators=100, random_state=42))
    ])
    pipeline.fit(X_train, y_train)
    y_pred = pipeline.predict(X_test)
    print(f"Accuracy: {accuracy_score(y_test, y_pred):.4f}")
    ```
### 2. **Bad Practice: Hardcoded Hyperparameters without Tuning**
*   **Problem:** The values for `k=10` in `SelectKBest` and `n_estimators=100` in `RandomForestClassifier` are hardcoded.
*   **Explanation:** These are hyperparameters that significantly influence the model's performance. Choosing arbitrary values without experimentation or justification means the model might not be performing optimally.
*   **Consequence:** The model's performance might be suboptimal. Different datasets or problem contexts often require different hyperparameter values.
*   **Solution:** Hyperparameters should ideally be tuned using techniques like cross-validation with `GridSearchCV` or `RandomizedSearchCV`. This helps find the best combination of hyperparameters for the given data.
### 3. **Potential Issue: Limited Evaluation Metric (Accuracy Only)**
*   **Problem:** The model is only evaluated using `accuracy_score`.
*   **Explanation:** Accuracy is a good general metric, but it can be misleading, especially if the dataset has imbalanced classes (i.e., one class is much more frequent than others). For example, if 95% of patients are healthy, a model that always predicts "healthy" would achieve 95% accuracy, but it would be useless for identifying sick patients. In medical contexts, false positives or false negatives can have serious implications.
*   **Consequence:** A model might appear to perform well based on accuracy but could be failing significantly in detecting the minority class (e.g., actual disease cases).
*   **Solution:** Consider using additional metrics, such as:
    *   **Precision, Recall, F1-score:** Especially useful for imbalanced datasets, providing insights into false positives and false negatives.
    *   **ROC AUC (Receiver Operating Characteristic Area Under the Curve):** A robust metric for binary classification that evaluates the model's ability to distinguish between classes across various threshold settings.
    *   **Confusion Matrix:** Provides a full breakdown of true positives, true negatives, false positives, and false negatives.
### 4. **Bad Practice: Lack of Error Handling for Data Loading and Column Access**
*   **Problem:** The code assumes `medical.csv` exists and that a column named "diagnosis" exists in the DataFrame.
*   **Explanation:** If `medical.csv` is not found, `pd.read_csv` will raise a `FileNotFoundError`. If the "diagnosis" column is misspelled or missing, `df.drop` or `df["diagnosis"]` will raise a `KeyError`.
*   **Consequence:** The script will crash if these assumptions are not met, making it less robust.
*   **Solution:** Implement `try-except` blocks for file operations and checks for column existence.
    ```python
    try:
        df = pd.read_csv("medical.csv")
    except FileNotFoundError:
        print("Error: 'medical.csv' not found. Please ensure the file is in the correct directory.")
        exit() # Or handle more gracefully
    if "diagnosis" not in df.columns:
        print("Error: 'diagnosis' column not found in the CSV file.")
        exit() # Or handle more gracefully
    ```
### 5. **Potential Issue: Implicit Assumption about Feature Types for `f_classif`**
*   **Problem:** `f_classif` (F-value for classification) assumes that the input features `X` are numerical.
*   **Explanation:** If `X` contains unencoded categorical features (e.g., columns with string values), `f_classif` might raise an error or produce meaningless results because it's designed for continuous or ordinal numerical data.
*   **Consequence:** Incorrect feature selection or runtime errors if categorical data is present and not handled.
*   **Solution:** Ensure all features in `X` are numerical. If there are categorical features, they should be preprocessed using techniques like one-hot encoding or label encoding before applying `SelectKBest` with `f_classif`. The code doesn't show any such preprocessing.
### Summary of Recommendations:
1.  **Prioritize Data Leakage Fix:** Immediately correct the feature selection pipeline to prevent data leakage. Use `sklearn.pipeline.Pipeline` for a robust solution.
2.  **Hyperparameter Tuning:** Implement hyperparameter tuning (e.g., `GridSearchCV` or `RandomizedSearchCV`) to find optimal `k` and `n_estimators`.
3.  **Comprehensive Evaluation:** Use a wider range of evaluation metrics, especially if class imbalance is a concern.
4.  **Robustness:** Add error handling for file operations and column access.
5.  **Data Preprocessing:** Explicitly handle categorical features if they exist in the dataset before feature selection.</t>
  </si>
  <si>
    <t>The provided code contains a potential source of data leakage, which occurs during the feature selection step. Here's the problem:
1. **Feature Selection**: The code performs feature selection using `SelectKBest` on the entire dataset (`X`) before splitting it into training and test sets. This means that the feature selection process has access to the entire dataset, including the test set labels (`y`). By selecting features based on information from the entire dataset, the model indirectly gains information about the test set during training. This can inflate the model's performance metrics because the selected features are optimized for the entire dataset, not just the training portion.
2. **Leakage Consequence**: The leakage results in an overestimate of the model's actual performance on unseen data because the test set information is inadvertently used to select the best features, leading to a bias in the feature selection process.
To avoid this data leakage, the feature selection should be done within the cross-validation or the training data context only. The correct approach would involve:
- Splitting the data into training and test sets first.
- Performing feature selection using only the training data.
- Applying the same feature transformation to the test data.
Here's how you can modify the code to prevent leakage: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 Split the data before feature selection
X_train, X_test, y_train, y_test = train_test_split(
    X, y, test_size=0.2, random_state=42
)
# Perform feature selection using only the training data
selector = SelectKBest(score_func=f_classif, k=10)
X_train_selected = selector.fit_transform(X_train, y_train)
X_test_selected = selector.transform(X_test)  # Use the same transformation
model = RandomForestClassifier(n_estimators=100, random_state=42)
model.fit(X_train_selected, y_train)
y_pred = model.predict(X_test_selected)
print(f"Accuracy: {accuracy_score(y_test, y_pred):.4f}")
```
By altering the pipeline as shown, the feature selection process is applied only to the training data and then the transformation is applied to the test data, which should provide a more reliable evaluation of the model's performance.</t>
  </si>
  <si>
    <t>The provided code does contain a form of data leakage due to the use of the `SelectKBest` feature selection method applied before splitting the data into training and testing sets. 
### Explanation of Data Leakage
1. **Use of `SelectKBest` Before Train-Test Split**: 
   - The code performs `selector.fit_transform(X, y)` on the entire dataset before the data is split into training and testing subsets.
   - This means that the feature selection process uses information from the entire dataset (including the test set) to identify the best features. As a result, features that may only correlate with the target variable in the test set can be included in the training set.
2. **Impact**:
   - Because the test set influences the feature selection, the resulting model could perform optimally on the test set due to having access to information that would not typically be available at prediction time. This results in overly optimistic accuracy scores and fails to provide a realistic estimate of the model's performance on unseen data.
### Recommended Fix
To resolve this data leakage issue, the feature selection process should be performed **after** splitting the dataset into training and testing sets. Here’s how you could modify the code:
```python
X_train, X_test, y_train, y_test = train_test_split(
    X, y, test_size=0.2, random_state=42
)
selector = SelectKBest(score_func=f_classif, k=10)
X_train_selected = selector.fit_transform(X_train, y_train)
X_test_selected = selector.transform(X_test)
model = RandomForestClassifier(n_estimators=100, random_state=42)
model.fit(X_train_selected, y_train)
y_pred = model.predict(X_test_selected)
print(f"Accuracy: {accuracy_score(y_test, y_pred):.4f}")
```
In this updated version, the data is first divided into training and testing sets, and then the feature selection is applied only to the training data. The selected features can then be applied to test data using `selector.transform(X_test)`, ensuring that the test data does not influence the training process. This will help achieve a more accurate assessment of the model's performance on unseen data without bias from the test set.</t>
  </si>
  <si>
    <t>## Data Leakage Analysis
### Verdict: **Data Leakage Present**
---
### Where the Leakage Occurs
The leakage is on this line:
```python
# PROBLEM: fit_transform uses ALL data (including future test data) before the split
selector = SelectKBest(score_func=f_classif, k=10)
X_selected = selector.fit_transform(X, y)  # ← leakage here
# Split happens AFTER selection — too late
X_train, X_test, y_train, y_test = train_test_split(
    X_selected, y, test_size=0.2, random_state=42
)
```
`SelectKBest` is **fit on the entire dataset** (`X` and `y`) before the train/test split occurs. This means the feature selection step has already "seen" the test set labels when deciding which 10 features to keep.
---
### Why This Is a Problem
`f_classif` computes ANOVA F-statistics by measuring the correlation between each feature and the target `y`. When run on the full dataset:
- Test set labels **directly influence** which features are selected
- The model is then evaluated on a test set whose labels **already shaped the input features**
- This makes the test set a **non-independent** measure of generalization
The model appears to have learned from data it should never have seen, causing **optimistically biased accuracy estimates** — the reported accuracy will be artificially inflated compared to real-world performance.
---
### Corrected Code
Feature selection must be fit **only on training data**, then applied (transform-only) to the test data:
```python
import pandas as pd
from sklearn.feature_selection import SelectKBest, f_classif
from sklearn.model_selection import train_test_split
from sklearn.ensemble import RandomForestClassifier
from sklearn.metrics import accuracy_score
from sklearn.pipeline import Pipeline
df = pd.read_csv("medical.csv")
X = df.drop("diagnosis", axis=1)
y = df["diagnosis"]
# Split FIRST, before any fitting
X_train, X_test, y_train, y_test = train_test_split(
    X, y, test_size=0.2, random_state=42
)
# Use a Pipeline to ensure selector is fit only on training data
pipeline = Pipeline([
    ("selector", SelectKBest(score_func=f_classif, k=10)),
    ("model", RandomForestClassifier(n_estimators=100, random_state=42))
])
pipeline.fit(X_train, y_train)        # selector sees only training labels
y_pred = pipeline.predict(X_test)     # selector only transforms test data
print(f"Accuracy: {accuracy_score(y_test, y_pred):.4f}")
```
---
### Key Principles Illustrated
| Step | Buggy Code | Corrected Code |
|---|---|---|
| Feature selection fit on | Entire dataset (train + test) | Training set only |
| Test set role in selection | Influences feature ranking | No influence |
| Accuracy estimate | Optimistically biased | Honest generalization estimate |
| Recommended pattern | Manual, error-prone | `Pipeline` enforces correctness |
Using `Pipeline` is the preferred fix because it makes leakage-free preprocessing **structurally enforced** rather than dependent on the developer remembering the correct order of operations. This also ensures correctness during cross-validation, where the split boundaries change with each fold.</t>
  </si>
  <si>
    <t># Data Leakage Detected
Yes, this code contains **significant data leakage**. Here's where and why:
## The Problem
```python
selector = SelectKBest(score_func=f_classif, k=10)
X_selected = selector.fit_transform(X, y)  # ❌ FIT ON ENTIRE DATASET
X_train, X_test, y_train, y_test = train_test_split(
    X_selected, y, test_size=0.2, random_state=42
)
```
The `SelectKBest` selector is **fit on the entire dataset (`X` and `y`)** before the train-test split. This means:
1. **Information from the test set leaks into feature selection**: The selector sees all data when deciding which 10 features are "best," including test samples
2. **The test set influences which features are chosen**: Features are selected based on their correlation with the target across the entire dataset, not just the training set
3. **Performance is artificially inflated**: The model gets to use features that were chosen with knowledge of the test set's characteristics
## Why This Is a Problem
In production, you won't know what the test data looks like when selecting features. Your reported accuracy of ~0.XXXX is **optimistically biased** and likely higher than real-world performance would be.
## The Fix
Fit the feature selector **only on the training data**: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X_train, X_test, y_train, y_test = train_test_split(
    X, y, test_size=0.2, random_state=42
)
selector = SelectKBest(score_func=f_classif, k=10)
X_train_selected = selector.fit_transform(X_train, y_train)  # ✅ FIT ONLY ON TRAINING
X_test_selected = selector.transform(X_test)                 # ✅ TRANSFORM TEST
model = RandomForestClassifier(n_estimators=100, random_state=42)
model.fit(X_train_selected, y_train)
y_pred = model.predict(X_test_selected)
print(f"Accuracy: {accuracy_score(y_test, y_pred):.4f}")
```
**Key change**: Split first, then fit the selector only on training data, then transform both sets with the fitted selector.</t>
  </si>
  <si>
    <t>Yes, this code **does contain data leakage**.
### Where Data Leakage Occurs
The data leakage occurs in this line:
```python
X_selected = selector.fit_transform(X, y)
```
And by extension, because `X_selected` is then split, the leakage propagates to the training of the `RandomForestClassifier`.
### Why it is a Problem
1.  **Feature Selection Uses Test Set Target Information:**
    *   `SelectKBest` with `f_classif` is a supervised feature selection method. `f_classif` (ANOVA F-value) calculates the F-value between the features and the target variable `y`.
    *   When you call `selector.fit_transform(X, y)` *before* splitting the data into training and test sets, the `selector` learns which features are "best" by looking at the relationship between *all* features (`X`) and *all* targets (`y`), including the data that will eventually become your test set.
    *   This means the feature selection process has "seen" the target labels of the test set (`y_test`) and used them to decide which features to keep.
2.  **Over-Optimistic Performance Estimates:**
    *   Because the features selected are "optimized" with knowledge of the entire dataset's targets (including the test set's), your model will likely perform better on the test set than it would on truly unseen data.
    *   The reported accuracy (`accuracy_score(y_test, y_pred)`) will be an over-optimistic estimate of the model's generalization performance, leading to unrealistic expectations when the model is deployed in a real-world scenario.
### Corrected Code to Prevent Data Leakage
To prevent this data leakage, the feature selection step (and any other preprocessing or transformation steps that learn from the data) must be fitted *only* on the training data. The test data should then be transformed using the parameters learned from the training data.
Here's the corrected version of your code: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 1. Split the data FIRST
X_train, X_test, y_train, y_test = train_test_split(
    X, y, test_size=0.2, random_state=42
)
# 2. Initialize the selector
selector = SelectKBest(score_func=f_classif, k=10)
# 3. Fit the selector ONLY on the training data
selector.fit(X_train, y_train)
# 4. Transform BOTH training and test data using the fitted selector
X_train_selected = selector.transform(X_train)
X_test_selected = selector.transform(X_test)
model = RandomForestClassifier(n_estimators=100, random_state=42)
model.fit(X_train_selected, y_train) # Train with selected features
y_pred = model.predict(X_test_selected) # Predict with selected features
print(f"Accuracy: {accuracy_score(y_test, y_pred):.4f}")
```
**Key Change:** The `train_test_split` now happens *before* any feature selection or other data-dependent transformations. The `SelectKBest` object is then `fit` only on `X_train` and `y_train`, and subsequently used to `transform` both the training and test sets. This ensures that the feature selection criteria are learned solely from the training data, accurately simulating how the model would perform on new, unseen data.</t>
  </si>
  <si>
    <t>3B</t>
  </si>
  <si>
    <t>feature_selection_clean</t>
  </si>
  <si>
    <t>Overall, the provided Python code is quite clean and demonstrates a basic machine learning workflow using scikit-learn. However, there are a few areas where improvements can be made:
1. **Import Statements and Unused Imports**:
   - The import statements are correctly placed at the top, but you should always check if you're importing only what's necessary. Here, all imports are used, so there are no unnecessary imports, which is good practice.
2. **File Reading with Pandas**:
   - The code assumes `"medical.csv"` exists in the working directory. It does not handle cases where the file might be missing or incorrectly named. It's generally good practice to handle such exceptions using `try-except` blocks.
3. **Feature Selection Fit-Transform**:
   - In the feature selection process, `selector.fit_transform()` is applied to `X_train` to both fit the selector and transform the data. However, the transformation of `X_test` with `selector.transform(X_test)` is correct but can lead to future issues if `X_test` doesn't contain any features selected from `X_train`. This isn't an issue with the snippet provided but should be kept in mind for datasets with few samples.
4. **Model Selection and Hyperparameters**:
   - The random seed is set for reproducibility, which is good. However, always consider tuning the hyperparameters for `RandomForestClassifier` using grid search or another technique instead of relying on default values, which may not be optimal.
5. **Output Message**:
   - The use of f-strings for printing accuracy is a good practice, as it aids readability. The formatting of the accuracy to four decimal places is appropriate for most cases.
6. **Code Readability and Comments**:
   - While the code is relatively straightforward, adding some comments to denote each distinct section (e.g., data loading, preprocessing, model training) can improve readability, especially for those who might not be familiar with the workflow.
7. **Overall Testing**:
   - The code lacks cross-validation, which might give an overoptimistic view of the model's performance based on a single train-test split. It's generally a good practice to use cross-validation to assess the model's stability and performance across different data subsets.
8. **Pipeline Use**:
   - For a more robust and maintainable approach, encapsulating the selection, transformation, and model fitting into a single `Pipeline` from scikit-learn can simplify the workflow and reduce the risk of data leakage.
9. **Scaler Usage**:
   - While not strictly necessary for tree-based models like Random Forest, for completeness and especially if switching models, it's good to consider normalizing or standardizing the data with a scaler like `StandardScaler` before applying `SelectKBest`, as some feature selection methods are sensitive to variance.
In conclusion, the code is fundamentally sound, but robustness, maintainability, and adaptability can be improved with the suggested changes.</t>
  </si>
  <si>
    <t>Here's a review of the provided Python code along with identified issues, bugs, and bad practices:
1. **Importing Unused Libraries**: 
   - The code imports `SelectKBest` and `f_classif`, but does not check or validate the existence of these functions in the necessary context or library version. If these specific functions were removed or changed in future versions of scikit-learn, the code will break.
   - Make sure to specify the import explicitly only if they're indeed used.
2. **Hardcoded File Name**:
   - The code uses a hardcoded file name `medical.csv`. This can lead to issues if the file path changes or the file is not present. It would be better to use a variable or parameterize this to allow for flexibility and easier maintenance.
   - Consider adding error handling (try/except) for reading the CSV file to catch I/O errors.
3. **Feature Selection Without Validation**:
   - The feature selection step using `SelectKBest` is performed only on the training set. It may overlook whether the selected features generalize well on the validation/test set. 
   - Ideally, ensure to validate the selection and model performance using cross-validation or a separate validation set.
4. **Class Imbalance Handling**:
   - The code does not address potential class imbalances in the `y` variable. If the classes are imbalanced, it may skew the accuracy metric and potentially yield misleading results.
   - Consider using techniques such as stratified sampling during train/test split, or applying methods to handle imbalance in class distribution.
5. **Ignoring Data Preprocessing**:
   - There is no preprocessing of the data (handling missing values, scaling features, encoding categorical variables, etc.). Depending on the dataset, this might lead to poor model performance or errors.
   - Prior to model fitting, it's advisable to include data preprocessing steps to ensure that the data is in the proper format for analysis.
6. **Setting `k` in SelectKBest**:
   - Hardcoding `k=10` could be problematic without knowing the total number of features. If the total features are less than 10, this would raise an error.
   - It would be better to programmatically set `k` based on the number of features, or include validation logic to ensure it is within the correct range.
7. **Lack of Model Evaluation**:
   - Currently, the only metric used for model evaluation is accuracy. It's often beneficial to assess additional evaluation metrics, especially for classification problems (e.g., precision, recall, F1-score, ROC-AUC), to get a more comprehensive understanding of model performance.
   - Implementing a confusion matrix would also provide valuable insight into the model's predictions.
8. **Training and Test Set Leakage**:
   - If any columns of `X` are derived from `y` either directly or indirectly, there could be potential leakage, which would invalidate the results. Ensure that there's no information from the target variable in the features.
9. **Lack of Documentation**:
   - There are no comments or docstrings in the code. Adding comments to clarify logic, especially around significant steps (like feature selection and model training), enhances readability and maintainability.
10. **Performance Warning**:
   - Depending on the dataset's size and feature count, `RandomForestClassifier` with `n_estimators=100` could lead to performance issues. Consider optimizing the number of trees or other hyperparameters.
   - Also, placing RandomForest in a pipeline in combination with preprocessing steps would be better for code structure.
Overall, while the code is functional and implements a basic pipeline for a classification task, it could significantly benefit from better practices, thorough error handling, and additional considerations for model evaluation and data preprocessing.</t>
  </si>
  <si>
    <t xml:space="preserve">## Code Review: Medical Diagnosis Classifier
The code is functional but has several significant issues ranging from critical problems to best practice violations.
---
### 1. Inappropriate Metric for Medical Data (Critical)
```python
# PROBLEM: Accuracy is misleading for imbalanced medical datasets
print(f"Accuracy: {accuracy_score(y_test, y_pred):.4f}")
# BETTER: Use multiple metrics appropriate for medical diagnosis
from sklearn.metrics import classification_report, roc_auc_score, confusion_matrix
print(classification_report(y_test, y_pred))
print(f"Confusion Matrix:\n{confusion_matrix(y_test, y_pred)}")
# If binary classification:
print(f"ROC-AUC: {roc_auc_score(y_test, model.predict_proba(X_test)[:, 1]):.4f}")
```
**Why it matters:** A model predicting "no disease" for every patient in a dataset where 95% are healthy achieves 95% accuracy while being clinically useless. False negatives (missed diagnoses) are especially costly in medicine.
---
### 2. No Handling of Missing Values (Critical)
```python
# PROBLEM: No validation or handling of missing data
df = pd.read_csv("medical.csv")
X = df.drop("diagnosis", axis=1)
# BETTER: Inspect and handle missing values explicitly
print(df.isnull().sum())
print(f"Dataset shape: {df.shape}")
# Option A: Drop rows with missing values (if few)
df = df.dropna()
# Option B: Impute missing values (preferred for medical data)
from sklearn.impute import SimpleImputer
imputer = SimpleImputer(strategy="median")  # median is robust to outliers
X_train = imputer.fit_transform(X_train)
X_test = imputer.transform(X_test)
```
**Why it matters:** `RandomForestClassifier` will raise an error on NaN values, and silent data corruption can occur if missing values are encoded as sentinel values (e.g., 0 or -1) in medical datasets.
---
### 3. No Feature Scaling (Moderate)
```python
# PROBLEM: No normalization before SelectKBest
selector = SelectKBest(score_func=f_classif, k=10)
X_train = selector.fit_transform(X_train, y_train)
# BETTER: Scale features before selection
# Note: Random Forest itself doesn't need scaling, but
# f_classif can be influenced by feature scale in edge cases,
# and pipelines are safer for future algorithm changes
from sklearn.preprocessing import StandardScaler
scaler = StandardScaler()
X_train_scaled = scaler.fit_transform(X_train)
X_test_scaled = scaler.transform(X_test)
selector = SelectKBest(score_func=f_classif, k=10)
X_train_selected = selector.fit_transform(X_train_scaled, y_train)
X_test_selected = selector.transform(X_test_scaled)
```
---
### 4. No Pipeline (Moderate — Risk of Data Leakage)
```python
# PROBLEM: Manual chaining creates risk of preprocessing leakage
# and makes cross-validation harder to implement correctly
selector = SelectKBest(score_func=f_classif, k=10)
X_train = selector.fit_transform(X_train, y_train)
X_test = selector.transform(X_test)
model = RandomForestClassifier(n_estimators=100, random_state=42)
model.fit(X_train, y_train)
# BETTER: Use a Pipeline to encapsulate all steps safely
from sklearn.pipeline import Pipeline
from sklearn.preprocessing import StandardScaler
from sklearn.impute import SimpleImputer
pipeline = Pipeline([
    ("imputer",   SimpleImputer(strategy="median")),
    ("scaler",    StandardScaler()),
    ("selector",  SelectKBest(score_func=f_classif, k=10)),
    ("classifier", RandomForestClassifier(n_estimators=100, random_state=42)),
])
pipeline.fit(X_train, y_train)
y_pred = pipeline.predict(X_test)
```
**Why it matters:** Pipelines prevent accidental data leakage during cross-validation and make the workflow reproducible and deployable as a single object.
---
### 5. Hardcoded `k=10` Without Validation (Moderate)
```python
# PROBLEM: k=10 is arbitrary and may not suit the dataset
selector = SelectKBest(score_func=f_classif, k=10)
# BETTER: Tune k using cross-validation
from sklearn.model_selection import GridSearchCV
param_grid = {"selector__k": [5, 10, 15, 20, "all"]}
grid_search = GridSearchCV(pipeline, param_grid, cv=5, scoring="roc_auc")
grid_search.fit(X_train, y_train)
print(f"Best k: {grid_search.best_params_}")
```
**Why it matters:** If the dataset has fewer than 10 meaningful features, this wastes signal. If it has many more, important features may be excluded.
---
### 6. No Cross-Validation (Moderate)
```python
# PROBLEM: Single train/test split gives high-variance performance estimate
X_train, X_test, y_train, y_test = train_test_split(
    X, y, test_size=0.2, random_state=42
)
# BETTER: Use cross-validation for a reliable estimate
from sklearn.model_selection import StratifiedKFold, cross_validate
cv = StratifiedKFold(n_splits=5, shuffle=True, random_state=42)
cv_results = cross_validate(
    pipeline, X, y,
    cv=cv,
    scoring=["accuracy", "roc_auc", "f1"],
    return_train_score=True,
)
print(f"CV ROC-AUC: {cv_results['test_roc_auc'].mean():.4f} "
      f"± {cv_results['test_roc_auc'].std():.4f}")
```
**Note:** `StratifiedKFold` is important here to preserve class distribution across folds.
---
### 7. No Input Validation or Error Handling (Moderate)
```python
# PROBLEM: No checks on loaded data
df = pd.read_csv("medical.csv")
X = df.drop("diagnosis", axis=1)
y = df["diagnosis"]
# BETTER: Validate assumptions before proceeding
import sys
if "diagnosis" not in df.columns:
    sys.exit("Error: 'diagnosis' column not found in dataset")
if df.shape[0] &lt; 100:
    print(f"Warning: Small dataset ({df.shape[0]} rows) — results may not generalize")
# Check for non-numeric columns that would break f_classif
non_numeric = X.select_dtypes(exclude=["number"]).columns.tolist()
if non_numeric:
    print(f"Warning: Non-numeric columns found: {non_numeric}")
    # Handle encoding or drop as appropriate
```
---
### 8. No Class Imbalance Handling (Moderate)
```python
# PROBLEM: Imbalanced classes are common in medical data but unaddressed
# BETTER: Check and handle class distribution
print(y.value_counts(normalize=True))
# Option A: Stratified split (always do this for classification)
X_train, X_test, y_train, y_test = train_test_split(
    X, y, test_size=0.2, random_state=42, stratify=y  # &lt;-- add stratify
)
# Option B: Use class_weight in the model
model = RandomForestClassifier(
    n_estimators=100,
    random_state=42,
    class_weight="balanced",  # adjusts for imbalance automatically
)
```
---
### Summary Table
| # | Issue | Severity | Category |
|---|-------|----------|----------|
| 1 </t>
  </si>
  <si>
    <t># Code Review: Issues and Bugs
## 1. **Data Leakage (Critical)**
```python
selector = SelectKBest(score_func=f_classif, k=10)
X_train = selector.fit_transform(X_train, y_train)
X_test = selector.transform(X_test)
```
**Problem:** Feature selection is fit on training data, which is correct, but the selector learns which features are "best" based on training data statistics. This is acceptable, but the bigger issue is that `fit_transform()` should only be called on training data.
**Impact:** Model evaluation will be biased and overly optimistic.
**Fix:** This part is actually correct - the selector is fit on train data only. However, the selection criteria should ideally be part of a proper cross-validation pipeline.
---
## 2. **No Error Handling**
```python
df = pd.read_csv("medical.csv")
```
**Problem:** No check for file existence, missing columns, or data loading errors.
**Fix:**
```python
try:
    df = pd.read_csv("medical.csv")
except FileNotFoundError:
    print("Error: medical.csv not found")
    exit(1)
```
---
## 3. **No Validation for Data Quality**
```python
X = df.drop("diagnosis", axis=1)
y = df["diagnosis"]
```
**Problem:** 
- No check if "diagnosis" column exists
- No handling of missing values
- No check for data type mismatches
- No validation that X and y have the same length
**Fix:**
```python
if "diagnosis" not in df.columns:
    raise ValueError("'diagnosis' column not found")
# Handle missing values
df = df.dropna()
X = df.drop("diagnosis", axis=1)
y = df["diagnosis"]
```
---
## 4. **Hardcoded Values**
```python
test_size=0.2
k=10
n_estimators=100
```
**Problem:** Magic numbers without explanation or ability to tune them easily.
**Fix:**
```python
TEST_SIZE = 0.2
NUM_FEATURES = 10
NUM_TREES = 100
```
---
## 5. **No Model Validation Strategy**
**Problem:** Only evaluates on test set; no cross-validation or additional metrics.
**Fix:**
```python
from sklearn.model_selection import cross_val_score
# Add cross-validation
cv_scores = cross_val_score(model, X_train, y_train, cv=5)
print(f"Cross-validation scores: {cv_scores}")
print(f"Mean CV score: {cv_scores.mean():.4f}")
```
---
## 6. **Missing Evaluation Metrics**
```python
print(f"Accuracy: {accuracy_score(y_test, y_pred):.4f}")
```
**Problem:** Only reports accuracy, which can be misleading with imbalanced data.
**Fix:**
```python
from sklearn.metrics import classification_report, confusion_matrix
print(classification_report(y_test, y_pred))
print(confusion_matrix(y_test, y_pred))
```
---
## 7. **No Feature Scaling**
**Problem:** RandomForest doesn't require scaling, but it's good practice for reproducibility and if the pipeline changes.
---
## 8. **Insufficient K Selection**
```python
selector = SelectKBest(score_func=f_classif, k=10)
```
**Problem:** 
- No validation that k=10 is appropriate
- No check if dataset has at least 10 features
- No justification for this choice
**Fix:**
```python
max_features = min(10, X_train.shape[1] - 1)
selector = SelectKBest(score_func=f_classif, k=max_features)
```
---
## 9. **No Model Persistence**
**Problem:** Model is trained but not saved for later use.
**Fix:**
```python
import joblib
joblib.dump(model, 'model.pkl')
```
---
## **Summary Table**
| Issue | Severity | Type |
|-------|----------|------|
| No error handling | High | Robustness |
| No data validation | High | Robustness |
| Magic numbers | Medium | Code Quality |
| Limited evaluation metrics | Medium | Data Science |
| No cross-validation | Medium | Data Science |
| No feature scaling consideration | Low | Best Practice |</t>
  </si>
  <si>
    <t>This Python code sets up a basic machine learning pipeline for classification. While it correctly implements the fundamental steps, there are several issues, bugs, and bad practices that could lead to errors, make the code less robust, harder to maintain, and limit its effectiveness.
Here's a breakdown of the problems:
---
### Issues, Bugs, and Bad Practices:
1.  **Lack of Robust Error Handling for File Operations:**
    *   **Problem:** The line `df = pd.read_csv("medical.csv")` assumes that `medical.csv` exists in the current directory and is a valid CSV file. If the file is missing, corrupted, or has an incorrect path, the script will crash with a `FileNotFoundError` or parsing error, without any graceful handling.
    *   **Explanation:** Production-ready code should anticipate potential file I/O issues.
    *   **Solution:** Use a `try-except` block to catch `FileNotFoundError` or `pd.errors.EmptyDataError`, and provide informative messages or alternative actions.
    ```python
    try:
        df = pd.read_csv("medical.csv")
    except FileNotFoundError:
        print("Error: 'medical.csv' not found. Please ensure the file is in the correct directory.")
        exit() # Or raise a custom exception
    except pd.errors.EmptyDataError:
        print("Error: 'medical.csv' is empty or malformed.")
        exit()
    except Exception as e: # Catch other potential pandas read errors
        print(f"An unexpected error occurred while reading the CSV: {e}")
        exit()
    ```
2.  **Hardcoded Column Names and Magic Numbers:**
    *   **Problem:** `"diagnosis"`, `k=10`, `test_size=0.2`, `n_estimators=100`, `random_state=42` are all hardcoded directly into the script.
    *   **Explanation:**
        *   **"diagnosis"**: If the target column name changes in the dataset, the code will break.
        *   **`k=10`**: This number for `SelectKBest` is arbitrary. How was it chosen? It should ideally be determined through hyperparameter tuning or domain knowledge.
        *   **`test_size=0.2`**: A common value, but it could be made configurable.
        *   **`n_estimators=100`**: A hyperparameter for `RandomForestClassifier`. This value might not be optimal and should ideally be tuned.
        *   **`random_state=42`**: While good for reproducibility, it's still a "magic number." It's better to define it as a constant.
    *   **Solution:** Define these values as variables or constants at the top of the script or within a configuration object. This improves readability, makes the code easier to modify, and facilitates experimentation.
    ```python
    TARGET_COLUMN = "diagnosis"
    K_FEATURES = 10
    TEST_SIZE = 0.2
    N_ESTIMATORS = 100
    RANDOM_STATE = 42
    # ... later in code ...
    X = df.drop(TARGET_COLUMN, axis=1)
    y = df[TARGET_COLUMN]
    # ...
    selector = SelectKBest(score_func=f_classif, k=K_FEATURES)
    # ...
    X_train, X_test, y_train, y_test = train_test_split(X, y, test_size=TEST_SIZE, random_state=RANDOM_STATE)
    # ...
    model = RandomForestClassifier(n_estimators=N_ESTIMATORS, random_state=RANDOM_STATE)
    ```
3.  **Missing Data Preprocessing (NaNs, Categorical Encoding):**
    *   **Problem:** The code directly uses `df.drop()` and assumes `X` and `y` are ready for modeling.
    *   **Explanation:**
        *   **Missing Values:** Many real-world datasets have missing values (NaNs). `f_classif` (used by `SelectKBest`) and `RandomForestClassifier` generally cannot handle NaN values directly and will raise an error.
        *   **Categorical Features:** If `X` contains non-numeric categorical columns (e.g., 'male', 'female'), `f_classif` will likely fail, and `RandomForestClassifier` might implicitly encode them or also fail depending on the `pandas` version and `sklearn` interaction.
        *   **Target Variable:** The `diagnosis` column (the target `y`) is assumed to be in a format suitable for `f_classif` and `RandomForestClassifier` (i.e., numerical labels 0, 1, 2... for classification). If it's strings ('malignant', 'benign'), it needs encoding.
    *   **Solution:** Add explicit steps for:
        *   Checking for and handling missing values (e.g., imputation with `SimpleImputer` or dropping rows/columns).
        *   Encoding categorical features (e.g., `OneHotEncoder`, `OrdinalEncoder`).
        *   Encoding the target variable if it's categorical strings (`LabelEncoder`).
    ```python
    from sklearn.preprocessing import LabelEncoder
    from sklearn.impute import SimpleImputer
    from sklearn.preprocessing import OneHotEncoder
    from sklearn.compose import ColumnTransformer
    from sklearn.pipeline import Pipeline
    # ... (after loading df)
    # 1. Check for missing values
    if df.isnull().sum().any():
        print("Warning: Missing values detected. Imputing with mean...")
        # For numerical features, for simplicity; more sophisticated methods may be needed
        numeric_features = X.select_dtypes(include=['number']).columns
        imputer = SimpleImputer(strategy='mean')
        df[numeric_features] = imputer.fit_transform(df[numeric_features])
    # 2. Encode target if it's categorical string
    if df[TARGET_COLUMN].dtype == 'object' or df[TARGET_COLUMN].dtype == 'category':
        le = LabelEncoder()
        df[TARGET_COLUMN] = le.fit_transform(df[TARGET_COLUMN])
        print(f"Target variable encoded: {list(le.classes_)} -&gt; {list(range(len(le.classes_)))}")
    X = df.drop(TARGET_COLUMN, axis=1)
    y = df[TARGET_COLUMN]
    # Handle categorical features in X if any (e.g., before train_test_split or within a Pipeline)
    # Example for categorical feature handling:
    # categorical_features = X.select_dtypes(include=['object', 'category']).columns
    # if not categorical_features.empty:
    #     preprocessor = ColumnTransformer(
    #         transformers=[('cat', OneHotEncoder(handle_unknown='ignore'), categorical_features)],
    #         remainder='passthrough' # Keep other columns
    #     )
    #     X = preprocessor.fit_transform(X) # This converts X to a numpy array
    ```
4.  **No `sklearn.pipeline.Pipeline` Usage:**
    *   **Problem:** The feature selection (`SelectKBest`) and model training (`RandomForestClassifier`) are performed as separate, sequential steps.
    *   **Explanation:** This approach is prone to errors (e.g., accidentally transforming test data before fitting on train data, or forgetting to transform new data during prediction). It also doesn't handle feature preprocessing (like scaling or categorical encoding) in a robust way, as new data might need the same transformations. A `Pipeline` ensures that steps are applied in the correct order and avoids data leakage.
    *   **Solution:** Combine the feature selection and model into an `sklearn.pipeline.Pipeline`. This makes the workflow clearer, prevents common errors, and simplifies subsequent steps like hyperparameter tuning or deployment.
    ```python
    from sklearn.pipeline import Pipeline
    from sklearn.preprocessing import StandardScaler # Good practice for some models, optional for RF
    # ... (after X, y are prepared) ...
    # Preprocessing steps can also be added here, e.g., for numerical scaling
    # If X has categorical features, a ColumnTransformer would go here.
    # For RandomForest, scaling is often not strictly necessary, but good practice for pipelines.
    pipeline = Pipeline([
        ('scaler', StandardScaler()), # Add a scaler, even if RF is less sensitive
        ('feature_selection', SelectKBest(score_func=f_classif, k=K_FEATURES)),
        ('classifier', RandomForestClassifier(n_estimators=N_ESTIMATORS, random_state=RANDOM_STATE))
    ])
    pipeline.fit(X_train, y_train)
    y_pred = pipeline.predict(X_test)
    ```
5.  **Limited Evaluation Metrics:**
    *   **Problem:** Only `accuracy_score` is used to evaluate the model.
    *   **Explanation:** Accuracy can be a misleading metric, especially in classification problems with imbalanced classes. A model predicting the majority class all the time could still achieve high accuracy. Other metrics provide a more comprehensive view of model performance.
    *   **Solution:** Report additional metrics like Precision, Recall, F1-score, and the Confusion Matrix, particularly if class imbalance is a concern. For multi-class, consider macro/weighted averages. For binary classification, AUC-ROC is also valuable.
    ```python
    from sklearn.metrics import accuracy_score, precision_score, recall_score, f1_score, confusion_matrix, classification_report
    import numpy as np
    # ... (after y_pred is obtained) ...
    print(f"Accuracy: {accuracy_score(y_test, y_pred):.4f}")
    # For binary classification:
    # Assuming 'diagnosis' is 0 or 1. Adjust 'pos_label' if needed.
    # For multi-class, use 'average' parameter like 'macro' or 'weighted'
    try:
        print(f"Precision: {precision_score(y_test, y_pred, average='binary'):.4f}")
        print(f"Recall: {recall_score(y_test, y_pred, average='binary'):.4f}")
        print(f"F1-Score: {f1_score(y_test, y_pred, average='binary'):.4f}")
    except ValueError: # If target has more than 2 classes
        print("\nMulti-class classification metrics:")
        print(f"Precision (macro): {precision_score(y_test, y_pred, average='macro'):.4f}")
        print(f"Recall (macro): {recall_score(y_test, y_pred, average='macro'):.4f}")
        print(f"F1-Score (macro): {f1_score(y_test, y_pred, average='macro'):.4f}")
    print("\nConfusion Matrix:")
    print(confusion_matrix(y_test, y_pred))
    print("\nClassification Report:")
    print(classification_report(y_test, y_pred))
    ```
6.  **No Hyperparameter Tuning:**
    *   **Problem:** The `n_estimators` (and potentially `max_depth`, `min_samples_split`, etc.) for `RandomForestClassifier` are chosen arbitrarily (`100`). The `k` for `SelectKBest` is also arbitrary.
    *   **Explanation:** The performance of a model heavily depends on its hyperparameters. Optimal values are usually found through techniques like Grid Search or Random Search.
    *   **Solution:** Implement hyperparameter tuning using `GridSearchCV` or `RandomizedSearchCV` to find the best combination of hyperparameters for both the feature selector and the classifier. This is especially effective when combined with an `sklearn.pipeline.Pipeline`.
    ```python
    from sklearn.model_selection import GridSearchCV
    # ... (after defining the pipeline) ...
    param_grid = {
        'feature_selection__k': [5, 10, 15, 20], # Explore different k values
        'classifier__n_estimators': [50, 100, 200],
        'classifier__max_depth': [None, 10, 20],
        'classifier__min_samples_leaf': [1, 2, 4]
    }
    grid_search = GridSearchCV(pipeline, param_grid, cv=5, scoring='accuracy', n_jobs=-1, verbose=1)
    grid_search.fit(X_train, y_train)
    print(f"\nBest parameters found: {grid_search.best_params_}")
    print(f"Best cross-validation accuracy: {grid_search.best_score_:.4f}")
    # Use the best model for final evaluation
    best_model = grid_search.best_estimator_
    y_pred = best_model.predict(X_test)
    print(f"Test Accuracy with best model: {accuracy_score(y_test, y_pred):.4f}")
    ```
7.  **Lack of Modularity (No Functions):**
    *   **Problem:** The entire script is a single sequence of operations.
    *   **Explanation:** This makes the code harder to reuse, test, and understand. If you wanted to, for example, run this analysis on a different dataset or with different model parameters, you'd have to copy and paste large sections of code.
    *   **Solution:** Encapsulate logical blocks of code into functions (e.g., `load_data`, `preprocess_data`, `train_model`, `evaluate_model`). This improves readability, maintainability, and reusability.
    ```python
    # Example of refactoring into functions
    # ... (define constants) ...
    def load_data(filepath):
        try:
            df = pd.read_csv(filepath)
            return df
        except FileNotFoundError:
            print(f"Error: '{filepath}' not found.")
            exit()
        # ... (other error handling) ...
    def preprocess_data(df, target_column):
        # Implement missing value handling, categorical encoding here
        # For simplicity, assuming data is clean and target is numeric
        if df[target_column].dtype == 'object' or df[target_column].dtype == 'category':
            le = LabelEncoder()
            df[target_column] = le.fit_transform(df[target_column])
        X = df.drop(target_column, axis=1)
        y = df[target_column]
        return X, y
    def build_and_train_pipeline(X_train, y_train, k_features, n_estimators, random_state):
        pipeline = Pipeline([
            ('scaler', StandardScaler()),
            ('feature_selection', SelectKBest(score_func=f_classif, k=k_features)),
            ('classifier', RandomForestClassifier(n_estimators=n_estimators, random_state=random_state))
        ])
        pipeline.fit(X_train, y_train)
        return pipeline
    def evaluate_model(model, X_test, y_test):
        y_pred = model.predict(X_test)
        print(f"Accuracy: {accuracy_score(y_test, y_pred):.4f}")
        # Add other metrics here
        print(f"F1-Score: {f1_score(y_test, y_pred, average='weighted'):.4f}") # Use weighted for multi-class
        return accuracy_score(y_test, y_pred)
    if __name__ == "__main__":
        df = load_data("medical.csv")
        X, y = preprocess_data(df.copy(), TARGET_COLUMN) # Pass a copy to avoid modifying original df
        X_train, X_test, y_train, y_test = train_test_split(X, y, test_size=TEST_SIZE, random_state=RANDOM_STATE)
        model_pipeline = build_and_train_pipeline(X_train, y_train, K_FEATURES, N_ESTIMATORS, RANDOM_STATE)
        evaluate_model(model_pipeline, X_test, y_test)
    ```
8.  **No Model Persistence:**
    *   **Problem:** After training, the model is used once for prediction and then discarded.
    *   **Explanation:** In a real-world scenario, you would want to save the trained model so it can be reloaded later to make predictions on new, unseen data without having to retrain it every time.
    *   **Solution:** Use `joblib` or `pickle` to save the trained pipeline.
    ```python
    import joblib
    # ... (after model_pipeline is trained, or after grid_search.best_estimator_) ...
    model_filename = "medical_diagnosis_model.joblib"
    joblib.dump(model_pipeline, model_filename)
    print(f"Model saved to {model_filename}")
    # To load it later:
    # loaded_model = joblib.load(model_filename)
    # new_predictions = loaded_model.predict(new_data)
    ```
9.  **Lack of Initial Data Exploration:**
    *   **Problem:** The script dives directly into modeling without any initial checks on the data.
    *   **Explanation:** It's crucial to understand the data's structure, types, distributions, and potential issues (like missing values, outliers, class imbalance) before building a model. This informs preprocessing steps and model choice.
    *   **Solution:** Before `X = df.drop(...)`, add lines to inspect the dataframe: `df.info()`, `df.describe()`, `df.head()`, `df.isnull().sum()`, `df[TARGET_COLUMN].value_counts()`.
    ```python
    # ... (after loading df) ...
    print("--- Initial Data Exploration ---")
    print("DataFrame Info:")
    df.info()
    print("\nFirst 5 rows:")
    print(df.head())
    print("\nMissing values per column:")
    print(df.isnull().sum())
    print(f"\nTarget variable ('{TARGET_COLUMN}') distribution:")
    print(df[TARGET_COLUMN].value_counts())
    print("--------------------------------")
    ```
---
By addressing these points, the code will become significantly more robust, maintainable, reusable, and produce more reliable and well-evaluated machine learning models.</t>
  </si>
  <si>
    <t>The provided code does not contain data leakage. Here is why the code is clean of data leakage:
1. **Data Splitting**: The dataset is appropriately split into training and testing sets using `train_test_split()`. This is done before any feature selection or model fitting, ensuring that data leakage from the test set to the training set is avoided.
2. **Feature Selection**: The feature selection using `SelectKBest` is correctly conducted. The `.fit_transform()` method is applied only to the training data (`X_train`), while the `.transform()` method is used on the test data (`X_test`). This ensures that the features selected are based solely on the training data, without using any information from the test data.
3. **Model Training:** The model is trained only on the `X_train` and `y_train` datasets, which are subsets derived exclusively from the training data.
As the code is implemented, no information from the test set leaks into the training process, and the features used do not encode any unintended information from the target that wouldn't be available at prediction time. Thus, this machine learning pipeline effectively avoids data leakage.</t>
  </si>
  <si>
    <t>Upon reviewing the provided Python machine learning pipeline code, I can confirm that this code **does not contain any direct data leakage**. The key aspects of the pipeline are structured appropriately to prevent any inadvertent usage of test set information during model training.
Here's a breakdown of why this is the case:
1. **Data Splitting**:
   - The code splits the dataset into training and test sets using `train_test_split` before any feature selection or model training is performed. This separation is crucial because it ensures that the model is trained only on the training data (`X_train`, `y_train`) and is evaluated against data that it has not seen during training (`X_test`, `y_test`).
2. **Feature Selection**:
   - The `SelectKBest` feature selection is applied only to the training data (`X_train`). The `fit_transform` method is called on `X_train`, which means that the selection criteria for the features are based solely on the training data. Then, `transform` is correctly used on `X_test` to select the same features as identified in `X_train`. This procedure avoids contamination of the training set by the test set.
3. **Model Training and Prediction**:
   - The `RandomForestClassifier` is trained exclusively on the modified training data `X_train` and `y_train` and then tested on the `X_test`. There are no steps where information from the test set is leaked into the training phase.
4. **Target Leakage**:
   - There is no indication in the code that any features encoded information about the target variable `y` that would not be available at prediction time. The features in `X` do not appear to derive directly from the target variable, assuming the `medical.csv` contains standard medical features without any direct target leakage.
### Conclusion
Overall, the provided machine learning pipeline is constructed well in terms of data integrity, preventing any leakage from the test set into the training process. The potential for data leakage is a common concern, but in this code, the major steps have been taken to ensure isolation between training and testing phases.</t>
  </si>
  <si>
    <t>## Code Review: Data Leakage Analysis
### Verdict: **No Data Leakage Present**
This pipeline is correctly structured. Here is a detailed breakdown of why each step is sound.
---
### Step-by-Step Analysis
#### 1. Train/Test Split — Correct
```python
X_train, X_test, y_train, y_test = train_test_split(
    X, y, test_size=0.2, random_state=42
)
```
The data is split **before** any feature selection or model fitting. This is the critical prerequisite for a leak-free pipeline.
---
#### 2. Feature Selection — Correct
```python
selector = SelectKBest(score_func=f_classif, k=10)
X_train = selector.fit_transform(X_train, y_train)  # learns from train only
X_test = selector.transform(X_test)                  # applies learned selection
```
This is the most common place where leakage is introduced, but it is handled correctly here.
| What would cause leakage | What this code does instead |
|---|---|
| `selector.fit_transform(X, y)` before the split | Splits first, then fits |
| Re-fitting the selector on test data | Uses `transform()` only on test data |
The feature score statistics (ANOVA F-values) are computed **exclusively from training data**, and the test set merely has the same column mask applied to it.
---
#### 3. Model Training and Evaluation — Correct
```python
model.fit(X_train, y_train)       # trained on training data only
y_pred = model.predict(X_test)    # evaluated on held-out test data
```
No test set labels or features influence model fitting.
---
### One Practical Recommendation
While the code is leak-free, consider wrapping the selector and model in a `Pipeline` object. It is functionally equivalent but provides a structural guarantee against leakage, and integrates cleanly with cross-validation:
```python
from sklearn.pipeline import Pipeline
from sklearn.model_selection import cross_val_score
pipeline = Pipeline([
    ("selector", SelectKBest(score_func=f_classif, k=10)),
    ("classifier", RandomForestClassifier(n_estimators=100, random_state=42))
])
# Leakage is impossible here — sklearn refits selector on each train fold
scores = cross_val_score(pipeline, X_train, y_train, cv=5)
pipeline.fit(X_train, y_train)
y_pred = pipeline.predict(X_test)
```
The key advantage is that if you later introduce cross-validation, the `Pipeline` ensures the selector is refit on each training fold automatically, preventing the subtler form of leakage that can occur when preprocessing is done outside a pipeline.
---
### Summary
The original code follows the correct order of operations:
```
Split → Fit preprocessing on train → Transform train → Transform test → Fit model → Evaluate
```
This is a clean pipeline.</t>
  </si>
  <si>
    <t># Data Leakage Review
## ✓ **This code is FREE of data leakage.**
The pipeline correctly implements the proper sequence of operations:
1. **Train-test split happens first** — The data is divided before any feature engineering
2. **Feature selection is fit only on training data** — `selector.fit_transform(X_train, y_train)` learns which features are most predictive using only the training set
3. **Test set is transformed with training parameters** — `selector.transform(X_test)` applies the same feature selection learned from training, without refitting
4. **Model training is isolated** — The RandomForestClassifier is fit only on the training data
## Why This Is Correct
The key principle being followed is: **all preprocessing and feature engineering must be fit on the training set only, then applied to the test set.**
In this code:
- The `SelectKBest` selector learns which 10 features have the highest f_classif scores *using only training data and training labels*
- This means the feature selection doesn't "see" the test set during fitting
- When the same selector transforms the test set, it uses the same feature indices that were learned from training
## What Would Cause Leakage
Leakage would occur if you did:
```python
# WRONG - fits selector on ALL data including test
selector.fit_transform(X, y)
X_train = selector.transform(X_train)
X_test = selector.transform(X_test)
```
This would cause the selector to identify the most predictive features across the entire dataset (including test labels), inflating performance metrics on the test set.
**Verdict: The code follows best practices and contains no data leakage.**</t>
  </si>
  <si>
    <t>This Python machine learning pipeline code is **free of data leakage**.
Here's a step-by-step breakdown of why it avoids common data leakage pitfalls:
1.  **`train_test_split` performed first:**
    ```python
    X_train, X_test, y_train, y_test = train_test_split(
        X, y, test_size=0.2, random_state=42
    )
    ```
    This is the most crucial step. The data is split into training and testing sets *before* any preprocessing or model fitting occurs. This ensures that the test set remains completely unseen by the feature selection process and the model training.
2.  **Feature Selection (`SelectKBest`) is `fit` only on the training data:**
    ```python
    selector = SelectKBest(score_func=f_classif, k=10)
    X_train = selector.fit_transform(X_train, y_train)
    X_test = selector.transform(X_test)
    ```
    *   `selector.fit_transform(X_train, y_train)`: The `SelectKBest` object learns which features are the "best" (based on `f_classif` score relative to `y_train`) *only* from the training features (`X_train`) and training labels (`y_train`). This is correct. If `fit_transform` were called on the entire `X` and `y` before the split, it would use information from the test set (`y_test`) to select features, leading to leakage.
    *   `selector.transform(X_test)`: The *same* selection criteria (i.e., the specific features chosen based on `X_train` and `y_train`) are then applied to the `X_test` data. No information from `X_test` or `y_test` is used to decide which features to keep during this step.
3.  **Model Training (`RandomForestClassifier`) is `fit` only on the training data:**
    ```python
    model.fit(X_train, y_train)
    ```
    The model is trained exclusively on the preprocessed training features (`X_train`) and training labels (`y_train`).
4.  **Prediction and Evaluation:**
    ```python
    y_pred = model.predict(X_test)
    print(f"Accuracy: {accuracy_score(y_test, y_pred):.4f}")
    ```
    Predictions are made on the unseen, preprocessed test set (`X_test`), and the model's performance is evaluated against the true test labels (`y_test`).
In summary, the pipeline correctly isolates the test set from all learning processes (feature selection and model training), ensuring that the reported accuracy is an unbiased estimate of the model's performance on new, unseen data.</t>
  </si>
  <si>
    <t>4A</t>
  </si>
  <si>
    <t>imputation</t>
  </si>
  <si>
    <t>The provided Python code seems well-structured for training a logistic regression model to predict the "readmitted" status based on a dataset. However, a few potential issues, bugs, and bad practices could be improved:
1. **Data Cleaning**:
    - **Missing Values Handling**: The code fills missing values in numeric columns with either the mean or median, which is a basic imputation strategy. However, it does not check for missing values in other columns that may exist in the dataset (e.g., categorical features). Unhandled missing data can lead to errors or unexpected results.
    - **Imputation Strategy Justification**: The choice of using mean for 'age' and 'cholesterol' versus median for 'blood_pressure' should be justified based on the data distribution. For skewed distributions, the median can be more robust than the mean.
2. **Categorical Features**:
    - If there are any categorical variables in the dataset (not evident with the provided code, but possible in a real-world case), they must be encoded using techniques like one-hot encoding before fitting the model.
3. **Feature Scaling**:
    - Logistic Regression models can be sensitive to the scale of the input features. It might be beneficial to standardize the features (e.g., using `StandardScaler`) to ensure they contribute equally to the distance computations.
4. **Hardcoding `axis` in `drop`**:
    - The `axis=1` argument in `df.drop("readmitted", axis=1)` removes the column. Using `axis='columns'` makes the code more readable but is optional.
5. **Output Information**:
    - The accuracy score is printed, but the evaluation of the model could be expanded to include other metrics like precision, recall, F1-score, etc., especially if the data is imbalanced.
6. **Error Handling**:
    - Reading from a file using `pd.read_csv()` can fail if the file is not found or is corrupt. Consider adding error handling to manage such cases gracefully.
7. **Code Generalization**:
    - Consider wrapping the steps into functions to improve reusability and modularity. For instance, functions for data preprocessing, model training, and evaluation.
8. **Reproducibility**:
    - The random state is set using `random_state=42` for `train_test_split`, which is good for reproducibility. Ensure that any randomness in other areas (like shuffling) is also controlled if required.
Overall, the code should functionally work for training a logistic regression model on the assumption that all input data meets the expectations, but including these additional considerations would improve robustness and readability.</t>
  </si>
  <si>
    <t>The provided Python code has several potential issues, bugs, and areas for improvement. Below is a review with explanations for each identified problem:
1. **Data Preprocessing Before Train-Test Split**:
   - **Problem**: The code fills NaN values in the feature columns (`X["age"]`, `X["blood_pressure"]`, `X["cholesterol"]`) before splitting the data into training and test sets.
   - **Explanation**: Filling missing values before the split can lead to data leakage. If the test set contains NaN values, and those get filled using statistics (such as mean or median) from the entire dataset, it could lead to overly optimistic estimates of model performance. The correct practice is to perform this preprocessing step after splitting the data.
2. **Potential SettingWithCopyWarning**:
   - **Problem**: The code uses chained indexing when modifying the DataFrame with `X["age"].fillna(...)`.
   - **Explanation**: This can lead to a `SettingWithCopyWarning`, which occurs when modifying a slice of a DataFrame. It is safer to create a copy of the DataFrame explicitly before modifying or to use the `loc` indexer, for example: `X.loc[:, "age"] = X["age"].fillna(X["age"].mean())`.
3. **Handling Categorical Variables**:
   - **Problem**: The code assumes that the feature set only contains numerical variables (like `age`, `blood_pressure`, `cholesterol`), which may not be true.
   - **Explanation**: If there are categorical variables in `X` (e.g., gender, race), these should be properly encoded (e.g., using one-hot encoding) before fitting a model. Without doing so, the model may raise an error or perform poorly.
4. **Target Variable Encoding**:
   - **Problem**: There is no indication that the target variable `y` (i.e., `readmitted`) is being adequately prepared.
   - **Explanation**: If `y` contains categorical variables (such as strings), they may need to be encoded into numeric form (e.g., using `LabelEncoder` or `pd.get_dummies`) before training the model.
5. **Model Evaluation**:
   - **Problem**: The metric being used for evaluation is accuracy.
   - **Explanation**: Accuracy is not always a reliable measure, especially in cases of imbalanced datasets. It's recommended to evaluate the model using additional metrics such as F1-score, precision, recall, or ROC-AUC, depending on the problem context.
6. **Lack of comments and documentation**:
   - **Problem**: The code lacks comments or documentation explaining what each section does.
   - **Explanation**: Adding comments or docstrings can improve readability and maintainability, making it easier for others (or yourself) to understand the logic later.
7. **No checks for file existence or correct loading**:
   - **Problem**: There are no checks to handle cases where the CSV file, `"patients.csv"`, does not exist or is incorrectly formatted.
   - **Explanation**: It is a good practice to handle potential file I/O errors using `try-except` blocks or checking if the file exists before attempting to read it.
8. **Hardcoding random state and test size**:
   - **Problem**: The random state and test size are hardcoded.
   - **Explanation**: While this is acceptable for prototyping, for production code or more flexible functions, consider allowing these parameters as function arguments or configuration options, enabling users to set them.
Here’s an alternative code snippet that addresses some of these issues:
```python
import pandas as pd
from sklearn.model_selection import train_test_split
from sklearn.linear_model import LogisticRegression
from sklearn.metrics import accuracy_score, classification_report
# Read the CSV file with error handling
try:
    df = pd.read_csv("patients.csv")
except FileNotFoundError:
    print("File not found. Please check the file path.")
    exit()
# Separate features and target
X = df.drop("readmitted", axis=1)
y = df["readmitted"]
# Train-test split
X_train, X_test, y_train, y_test = train_test_split(
    X, y, test_size=0.2, random_state=42
)
# Handling missing values
X_train["age"].fillna(X_train["age"].mean(), inplace=True)
X_train["blood_pressure"].fillna(X_train["blood_pressure"].median(), inplace=True)
X_train["cholesterol"].fillna(X_train["cholesterol"].mean(), inplace=True)
X_test["age"].fillna(X_train["age"].mean(), inplace=True)  # Use training set statistics for test set
X_test["blood_pressure"].fillna(X_train["blood_pressure"].median(), inplace=True)
X_test["cholesterol"].fillna(X_train["cholesterol"].mean(), inplace=True)
# Model fitting
model = LogisticRegression(max_iter=1000)
model.fit(X_train, y_train)
# Predictions
y_pred = model.predict(X_test)
# Evaluation
print(f"Accuracy: {accuracy_score(y_test, y_pred):.4f}")
print(classification_report(y_test, y_pred))
```
In this modified version, I moved the imputation of missed values after splitting and used the training set statistics to fill missing values in the test set, avoided chained indexing, and added error handling, among other improvements.</t>
  </si>
  <si>
    <t>## Code Review: Patient Readmission Prediction
### Summary of Issues
This code has several significant problems spanning data leakage, deprecated API usage, missing validation, and poor practices for a medical context.
---
### Issue 1: Data Leakage via Imputation Before Splitting
```python
# PROBLEM: Imputing on the full dataset before splitting leaks test
# set statistics into training, inflating performance metrics
X["age"].fillna(X["age"].mean(), inplace=True)
X["blood_pressure"].fillna(X["blood_pressure"].median(), inplace=True)
X_train, X_test, y_train, y_test = train_test_split(...)
```
```python
# CORRECT: Split first, then fit imputation statistics only on training data
from sklearn.impute import SimpleImputer
from sklearn.pipeline import Pipeline
X_train, X_test, y_train, y_test = train_test_split(
    X, y, test_size=0.2, random_state=42
)
imputer = SimpleImputer(strategy="mean")
X_train = imputer.fit_transform(X_train)  # Learn stats from train only
X_test = imputer.transform(X_test)        # Apply those stats to test
```
**Why it matters:** The model indirectly learns from test data during training, producing optimistically biased accuracy scores.
---
### Issue 2: `inplace=True` with a DataFrame Slice (Potential `SettingWithCopyWarning`)
```python
# PROBLEM: X is created via .drop(), which may return a copy.
# Using inplace=True on a copy silently does nothing in some pandas versions,
# or raises a SettingWithCopyWarning.
X = df.drop("readmitted", axis=1)
X["age"].fillna(X["age"].mean(), inplace=True)
```
```python
# CORRECT: Reassign explicitly and use .copy() to be unambiguous
X = df.drop("readmitted", axis=1).copy()
X["age"] = X["age"].fillna(X["age"].mean())
```
**Additional note:** `inplace=True` is [being deprecated](https://github.com/pandas-dev/pandas/issues/16529) broadly in pandas and should generally be avoided in favor of explicit reassignment.
---
### Issue 3: No Preprocessing for Categorical or Non-Numeric Columns
```python
# PROBLEM: Only three columns are imputed. If the CSV contains
# categorical columns (e.g., gender, diagnosis_code), LogisticRegression
# will throw a ValueError or silently mishandle them.
X = df.drop("readmitted", axis=1)
model.fit(X_train, y_train)  # Will fail if non-numeric columns exist
```
```python
# CORRECT: Use a ColumnTransformer to handle mixed types explicitly
from sklearn.compose import ColumnTransformer
from sklearn.preprocessing import StandardScaler, OneHotEncoder
from sklearn.impute import SimpleImputer
from sklearn.pipeline import Pipeline
numeric_features = ["age", "blood_pressure", "cholesterol"]
categorical_features = ["gender", "diagnosis_code"]  # example columns
numeric_pipeline = Pipeline([
    ("imputer", SimpleImputer(strategy="mean")),
    ("scaler", StandardScaler()),
])
categorical_pipeline = Pipeline([
    ("imputer", SimpleImputer(strategy="most_frequent")),
    ("encoder", OneHotEncoder(handle_unknown="ignore")),
])
preprocessor = ColumnTransformer([
    ("num", numeric_pipeline, numeric_features),
    ("cat", categorical_pipeline, categorical_features),
])
```
---
### Issue 4: No Feature Scaling
```python
# PROBLEM: Logistic Regression is sensitive to feature scale.
# Features like age (0-100) vs. cholesterol (100-300) will cause
# the solver to converge poorly or require excessive iterations.
model = LogisticRegression(max_iter=1000)
model.fit(X_train, y_train)
```
```python
# CORRECT: Apply StandardScaler to numeric features (shown in pipeline above)
# or as a standalone step
from sklearn.preprocessing import StandardScaler
scaler = StandardScaler()
X_train = scaler.fit_transform(X_train)
X_test = scaler.transform(X_test)
```
---
### Issue 5: Accuracy Is a Misleading Metric for Medical Data
```python
# PROBLEM: Hospital readmission datasets are typically imbalanced
# (e.g., 80% not readmitted, 20% readmitted). A model that always
# predicts "not readmitted" achieves 80% accuracy while being clinically useless.
print(f"Accuracy: {accuracy_score(y_test, y_pred):.4f}")
```
```python
# CORRECT: Use metrics appropriate for imbalanced classification
from sklearn.metrics import (
    classification_report,
    roc_auc_score,
    confusion_matrix,
)
print(classification_report(y_test, y_pred))
print(f"ROC-AUC: {roc_auc_score(y_test, model.predict_proba(X_test)[:, 1]):.4f}")
print("Confusion Matrix:")
print(confusion_matrix(y_test, y_pred))
```
**Also consider:** Passing `class_weight="balanced"` to `LogisticRegression` to compensate for imbalance during training.
---
### Issue 6: No Error Handling for File Loading
```python
# PROBLEM: If the file is missing, has wrong columns, or is malformed,
# the script crashes with an uninformative traceback.
df = pd.read_csv("patients.csv")
X = df.drop("readmitted", axis=1)
y = df["readmitted"]
```
```python
# CORRECT: Validate early and fail with clear messages
import sys
try:
    df = pd.read_csv("patients.csv")
except FileNotFoundError:
    sys.exit("Error: 'patients.csv' not found. Check the file path.")
required_columns = {"age", "blood_pressure", "cholesterol", "readmitted"}
missing = required_columns - set(df.columns)
if missing:
    sys.exit(f"Error: Missing expected columns: {missing}")
```
---
### Issue 7: No Cross-Validation
```python
# PROBLEM: A single 80/20 split gives a high-variance estimate of model
# performance. The result depends heavily on which samples land in the test set.
X_train, X_test, y_train, y_test = train_test_split(
    X, y, test_size=0.2, random_state=42
)
```
```python
# CORRECT: Use k-fold cross-validation for a more reliable estimate
from sklearn.model_selection import StratifiedKFold, cross_val_score
cv = StratifiedKFold(n_splits=5, shuffle=True, random_state=42)
scores = cross_val_score(pipeline, X, y, cv=cv, scoring="roc_auc")
print(f"CV ROC-AUC: {scores.mean():.4f} ± {scores.std():.4f}")
```
**Note:** `StratifiedKFold` preserves class proportions across folds, which is important for imbalanced targets.
---
### Consolidated Corrected Version
```python
import sys
import pandas as pd
from sklearn.model_selection import train_test_split, StratifiedKFold, cross_val_score
from sklearn.linear_model import LogisticRegression
from sklearn.preprocessing import StandardScaler, OneHotEncoder
from sklearn.impute import SimpleImputer
from sklearn.compose import ColumnTransformer
from sklearn.pipeline import Pipeline
from sklearn.metrics import classification_report, roc_auc_score, confusion_matrix
# --- Load and validate data ---
try:
    df = pd.read_csv("patients.csv")
except FileNotFoundError:
    sys.exit("Error: 'patients.csv' not found.")
required_columns = {"age", "blood_pressure", "chol</t>
  </si>
  <si>
    <t># Code Review: Issues and Problems
## 1. **Data Leakage (Critical)**
```python
X["age"].fillna(X["age"].mean(), inplace=True)
```
**Problem:** Imputation is done BEFORE train-test split. This means the mean is calculated from the entire dataset (including test data), causing information from the test set to leak into training.
**Fix:** Impute AFTER splitting, using only training data statistics:
```python
X_train, X_test, y_train, y_test = train_test_split(X, y, test_size=0.2, random_state=42)
X_train["age"].fillna(X_train["age"].mean(), inplace=True)
X_test["age"].fillna(X_train["age"].mean(), inplace=True)  # Use train mean
```
Or better yet, use `sklearn.impute.SimpleImputer` with a Pipeline.
---
## 2. **No Categorical Data Handling**
**Problem:** If the dataset contains categorical features, they won't be encoded. LogisticRegression requires numeric input, so the code will crash on non-numeric data.
**Fix:** Add encoding:
```python
X = pd.get_dummies(X, drop_first=True)
# OR use sklearn.preprocessing.LabelEncoder or OneHotEncoder
```
---
## 3. **No Scaling/Normalization**
**Problem:** LogisticRegression is sensitive to feature scaling. If features have vastly different ranges, the model may perform suboptimally.
**Fix:** Add standardization:
```python
from sklearn.preprocessing import StandardScaler
scaler = StandardScaler()
X_train = scaler.fit_transform(X_train)
X_test = scaler.transform(X_test)
```
---
## 4. **Use of `inplace=True` (Bad Practice)**
```python
X["age"].fillna(X["age"].mean(), inplace=True)
```
**Problem:** `inplace=True` is generally discouraged—it's less readable, harder to debug, and can cause unexpected behavior with views vs. copies.
**Fix:**
```python
X["age"] = X["age"].fillna(X["age"].mean())
```
---
## 5. **No Error Handling**
**Problem:** No checks for file existence, empty data, or missing columns. If "patients.csv" doesn't exist or is malformed, the code crashes with unclear errors.
**Fix:**
```python
try:
    df = pd.read_csv("patients.csv")
    if df.empty or "readmitted" not in df.columns:
        raise ValueError("Invalid dataset")
except FileNotFoundError:
    print("Error: patients.csv not found")
```
---
## 6. **Accuracy as the Only Metric**
**Problem:** Accuracy alone is misleading for imbalanced datasets. A model predicting all negatives could have high accuracy.
**Fix:** Use additional metrics:
```python
from sklearn.metrics import precision_recall_fscore_support, confusion_matrix
precision, recall, f1, _ = precision_recall_fscore_support(y_test, y_pred, average='binary')
print(f"Precision: {precision:.4f}, Recall: {recall:.4f}, F1: {f1:.4f}")
```
---
## 7. **No Model Validation**
**Problem:** No cross-validation, hyperparameter tuning, or baseline comparison. The model may overfit.
**Fix:**
```python
from sklearn.model_selection import cross_val_score
cv_scores = cross_val_score(model, X_train, y_train, cv=5)
print(f"Cross-validation scores: {cv_scores}")
```
---
## 8. **Unused Imports / Poor Documentation**
**Problem:** No comments explaining the workflow. Future maintainers won't understand the context.
**Fix:** Add docstrings and comments:
```python
"""
Logistic Regression model for patient readmission prediction.
Requires: patients.csv with 'readmitted' target column.
"""
```
---
## 9. **Inconsistent Imputation Strategy**
**Problem:** Using `.mean()` for age and cholesterol but `.median()` for blood pressure with no justification. Median is generally more robust to outliers.
**Recommendation:** Be consistent or document why different methods are used.
---
## Summary Table
| Issue | Severity | Type |
|-------|----------|------|
| Data Leakage | **Critical** | Bug |
| No Categorical Encoding | High | Bug/Missing Feature |
| No Scaling | Medium | Performance |
| `inplace=True` | Low | Code Quality |
| No Error Handling | Medium | Robustness |
| Accuracy Only | Medium | Analysis |
| No Cross-Validation | Medium | Validation |
| Poor Documentation | Low | Maintainability |</t>
  </si>
  <si>
    <t>The provided Python code demonstrates a basic machine learning workflow but contains several significant issues, bugs, and bad practices. Here's a detailed breakdown:
### Identified Issues and Explanations
1.  **Hardcoded Filename and Lack of Error Handling:**
    *   **Problem:** The filename `"patients.csv"` is hardcoded directly in the script. There's no mechanism to easily change it or handle cases where the file might not exist.
    *   **Explanation:** If `patients.csv` is not in the expected directory, the `pd.read_csv()` call will raise a `FileNotFoundError`, crashing the script without a graceful exit or informative message.
    *   **Bad Practice:** Hardcoding paths makes the script less flexible and reusable.
2.  **Implicit Assumption of Column Existence:**
    *   **Problem:** The code assumes the existence of the `"readmitted"` column for the target variable and specifically `"age"`, `"blood_pressure"`, and `"cholesterol"` for imputation.
    *   **Explanation:** If any of these columns are missing or misspelled in the CSV, the script will crash (e.g., `KeyError`).
    *   **Bad Practice:** Robust code should validate column names or handle their absence gracefully.
3.  **Incomplete Feature Handling (Other Non-Feature or Categorical Columns):**
    *   **Problem:** The code only explicitly drops the `"readmitted"` column from `X`. It implicitly assumes that all *other* remaining columns in `df` are suitable numerical features for the `LogisticRegression` model.
    *   **Explanation:** Real-world datasets often contain other non-feature columns (e.g., `patient_id`, `name`, `address`) or categorical features (e.g., `gender`, `medication_type`, `ethnicity`).
        *   If `X` contains non-numeric columns that are not handled, `LogisticRegression` will raise an error.
        *   If `X` contains categorical columns (e.g., 'gender' as 'Male'/'Female'), `LogisticRegression` will fail unless they are one-hot encoded or handled by another suitable encoding scheme. The current code does not include any categorical encoding.
    *   **Bad Practice:** Not explicitly handling all column types can lead to errors or incorrect model interpretation.
4.  **MAJOR ISSUE: Data Leakage During Missing Value Imputation:**
    *   **Problem:** Missing values for "age", "blood_pressure", and "cholesterol" are imputed *before* the data is split into training and testing sets.
    *   **Explanation:** The `mean()` and `median()` functions are calculated on the *entire* `X` DataFrame, which includes both the data that will eventually go into the training set and the test set. This means that information from the test set is used to impute values in the training set, and vice-versa (though more critically, the test set's imputation "sees" the training data's statistics *and its own*).
    *   **Consequence:** The model's performance on the test set will be optimistically biased because it has "seen" characteristics of the test data during preprocessing. This leads to an inaccurate evaluation of the model's true generalization ability on unseen data.
    *   **Fix:** Imputation strategies (like calculating the mean/median) should *only* be fit on the training data, and then *that same fitted imputer* should be used to transform both the training and test sets.
5.  **Incomplete Missing Value Handling:**
    *   **Problem:** Only three specific columns (`"age"`, `"blood_pressure"`, `"cholesterol"`) are checked and imputed for missing values.
    *   **Explanation:** The dataset (`df`) might have `NaN` values in other columns that are not addressed. If other columns in `X` contain `NaN`s, `LogisticRegression` will fail because it cannot handle missing values directly.
    *   **Bad Practice:** A comprehensive missing value strategy should be applied across all relevant features or explicitly confirm no other `NaN`s exist.
6.  **Use of `inplace=True` (Minor Practice Point):**
    *   **Problem:** While not a critical bug in this specific isolated case, using `inplace=True` can sometimes lead to unexpected behavior, especially when chained operations are involved, or when debugging.
    *   **Explanation:** Pandas often encourages explicit assignment (e.g., `X["age"] = X["age"].fillna(X["age"].mean())`) for clarity and to avoid potential issues with view vs. copy semantics.
    *   **Bad Practice:** It's generally safer and more explicit to avoid `inplace=True` unless you fully understand its implications.
7.  **Sole Reliance on Accuracy for Evaluation:**
    *   **Problem:** The model is evaluated solely using `accuracy_score`.
    *   **Explanation:** Accuracy can be a misleading metric, especially if the dataset is imbalanced (i.e., one class, like "not readmitted", significantly outnumbers the other, "readmitted"). A model that simply predicts the majority class for everything can achieve high accuracy while being useless for the minority class.
    *   **Improvement:** For classification problems, especially with potential imbalance, it's better to consider other metrics like Precision, Recall, F1-score, ROC AUC, or a confusion matrix.
8.  **Lack of `sklearn.pipeline.Pipeline`:**
    *   **Problem:** The preprocessing steps (imputation) are done manually and separately from the model training.
    *   **Explanation:** A `sklearn.pipeline.Pipeline` would elegantly chain preprocessing steps (like imputation, scaling, encoding) with the model. This makes the code cleaner, more robust, prevents data leakage automatically (if implemented correctly, e.g., by fitting the imputer inside the pipeline on `X_train` only), and simplifies model deployment.
    *   **Bad Practice:** Manual step-by-step preprocessing, especially when it affects multiple steps, increases the risk of errors and data leakage.
9.  **Lack of Comments and Docstrings:**
    *   **Problem:** The code lacks comments explaining the purpose of different sections or specific choices (e.g., why these three columns for imputation, why `max_iter=1000`).
    *   **Explanation:** While this script is relatively short, good code includes comments to enhance readability, explain complex logic, assumptions, or design decisions for future readers (including your future self).
    *   **Bad Practice:** Uncommented code is harder to understand, maintain, and debug.
### Example of Improved Code (Addressing Major Issues)
```python
import pandas as pd
from sklearn.model_selection import train_test_split
from sklearn.linear_model import LogisticRegression
from sklearn.metrics import accuracy_score, classification_report
from sklearn.impute import SimpleImputer
from sklearn.preprocessing import StandardScaler, OneHotEncoder # Example for other features
from sklearn.compose import ColumnTransformer
from sklearn.pipeline import Pipeline
import logging
# Configure logging for better error messages
logging.basicConfig(level=logging.INFO, format='%(levelname)s: %(message)s')
def train_readmission_model(filepath="patients.csv"):
    """
    Trains a logistic regression model to predict patient readmission.
    Args:
        filepath (str): Path to the CSV file containing patient data.
    Returns:
        dict: A dictionary containing the trained model and evaluation metrics,
              or None if an error occurs.
    """
    try:
        df = pd.read_csv(filepath)
        logging.info(f"Successfully loaded data from {filepath}")
    except FileNotFoundError:
        logging.error(f"Error: The file '{filepath}' was not found.")
        return None
    except Exception as e:
        logging.error(f"Error loading CSV file: {e}")
        return None
    # Define target and features
    target_column = "readmitted"
    if target_column not in df.columns:
        logging.error(f"Error: Target column '{target_column}' not found in the dataset.")
        return None
    y = df[target_column]
    X = df.drop(columns=[target_column])
    # Identify numerical and categorical features
    # This is an example; you might need more sophisticated feature selection
    numerical_features = ["age", "blood_pressure", "cholesterol"]
    categorical_features = [] # Example: Add 'gender', 'medication_type' if they exist
    # Validate numerical features exist
    for col in numerical_features:
        if col not in X.columns:
            logging.warning(f"Warning: Numerical feature '{col}' not found in data. Skipping imputation for it.")
            numerical_features.remove(col)
    # Preprocessing pipelines for numerical and categorical features
    # Imputation and Scaling for numerical features
    numerical_transformer = Pipeline(steps=[
        ('imputer', SimpleImputer(strategy='mean')), # Can use median for skewed data
        ('scaler', StandardScaler()) # Standardize features
    ])
    # Preprocessing for categorical features (example)
    categorical_transformer = Pipeline(steps=[
        ('imputer', SimpleImputer(strategy='most_frequent')), # Or use constant
        ('onehot', OneHotEncoder(handle_unknown='ignore')) # One-hot encode
    ])
    # Create a preprocessor using ColumnTransformer
    # This handles different preprocessing for different column types
    preprocessor = ColumnTransformer(
        transformers=[
            ('num', numerical_transformer, numerical_features),
            ('cat', categorical_transformer, categorical_features) # Add this if you have categorical features
        ],
        remainder='drop' # Drop columns not specified in transformers (e.g., patient_id)
    )
    # Create the full pipeline: preprocessing + model
    model_pipeline = Pipeline(steps=[
        ('preprocessor', preprocessor),
        ('classifier', LogisticRegression(max_iter=1000, solver='liblinear')) # Use 'liblinear' for small datasets or L1/L2
    ])
    # Split data into training and testing sets AFTER initial column selection
    X_train, X_test, y_train, y_test = train_test_split(
        X, y, test_size=0.2, random_state=42, stratify=y # Use stratify for imbalanced classes
    )
    logging.info("Starting model training...")
    model_pipeline.fit(X_train, y_train)
    logging.info("Model training complete.")
    y_pred = model_pipeline.predict(X_test)
    y_pred_proba = model_pipeline.predict_proba(X_test)[:, 1] # Probability for the positive class
    # Evaluate the model
    accuracy = accuracy_score(y_test, y_pred)
    logging.info(f"Accuracy: {accuracy:.4f}")
    # More comprehensive evaluation
    logging.info("\nClassification Report:")
    report = classification_report(y_test, y_pred)
    logging.info(report)
    return {
        "model": model_pipeline,
        "accuracy": accuracy,
        "classification_report": report,
        "y_test": y_test,
        "y_pred": y_pred,
        "y_pred_proba": y_pred_proba
    }
if __name__ == "__main__":
    results = train_readmission_model("patients.csv")
    if results:
        # You can now use results['model'] to make new predictions
        # For example: print(results['model'].predict(new_data))
        logging.info("Model training and evaluation finished.")
```</t>
  </si>
  <si>
    <t>The provided code does contain data leakage issues in the way missing data is imputed. Specifically, the data leakage occurs during the filling of missing values in the dataset before the train-test split.
Here's what's happening and why it is considered data leakage:
1. **Imputation of Missing Values Before Splitting**:
   - The code fills missing values in columns `"age"`, `"blood_pressure"`, and `"cholesterol"` using the mean or median calculated from the entire dataset (both training and test data combined) before performing the `train_test_split`.
   - This means the imputation process has access to information from the test set, thereby "leaking" some data about the test set into the training process.
   The correct approach to avoid this form of data leakage is to perform any imputation only on the training data first and then apply the same imputation procedure, with the statistics calculated from the training data, to the test set.
Here is a modified version of the code that avoids data leakage:
```python
import pandas as pd
from sklearn.model_selection import train_test_split
from sklearn.linear_model import LogisticRegression
from sklearn.metrics import accuracy_score
df = pd.read_csv("patients.csv")
X = df.drop("readmitted", axis=1)
y = df["readmitted"]
# Splitting the data first
X_train, X_test, y_train, y_test = train_test_split(
    X, y, test_size=0.2, random_state=42
)
# Impute missing values using only the training set
X_train["age"].fillna(X_train["age"].mean(), inplace=True)
X_train["blood_pressure"].fillna(X_train["blood_pressure"].median(), inplace=True)
X_train["cholesterol"].fillna(X_train["cholesterol"].mean(), inplace=True)
# Apply the same transformations to the test set using values from the training set
X_test["age"].fillna(X_train["age"].mean(), inplace=True)
X_test["blood_pressure"].fillna(X_train["blood_pressure"].median(), inplace=True)
X_test["cholesterol"].fillna(X_train["cholesterol"].mean(), inplace=True)
model = LogisticRegression(max_iter=1000)
model.fit(X_train, y_train)
y_pred = model.predict(X_test)
print(f"Accuracy: {accuracy_score(y_test, y_pred):.4f}")
```
The key change is that the imputation of missing values is performed separately for the training and test sets, ensuring that no information from the test set is used during the training process.</t>
  </si>
  <si>
    <t>The provided Python machine learning pipeline code exhibits a potential issue of data leakage due to the handling of missing values in the feature set `X` before the data is split into training and testing datasets.
### Explanation of Data Leakage
1. **Filling Missing Values Before Train-Test Split**: 
   The code performs imputation of missing values in the features (`age`, `blood_pressure`, and `cholesterol`) **before** the dataset is split into training and testing sets. This can lead to data leakage because the imputation process uses information from the entire dataset (including the test data) to fill in the missing values in the training data. 
   Specifically, consider this line:
   ```python
   X["age"].fillna(X["age"].mean(), inplace=True)
   ```
   Here, the mean of `age` is calculated using the entire dataset before splitting, which means that the imputation relies on information that would not be available at the time of actual prediction. When we apply the model on `X_test`, it is possible that the imputation has inadvertently introduced information from the test set into the training process, thus violating the core principle of keeping training and testing data separate.
### Why is it a Problem?
Data leakage undermines the integrity of the model evaluation. If the model has learned from information that it should not have access to (like mean, median, or any aggregated statistics of the test set), it might perform exceptionally well during testing (high accuracy) but would likely perform poorly in real-world scenarios where the model is applied to unseen data. As a result, the evaluation metrics reported will be overly optimistic and not indicative of the model's true performance.
### Recommended Solution
To fix the data leakage issue, you should:
1. Split the data into training and testing sets before performing any imputation.
2. Use the training set to inform imputation (e.g., compute the mean, median from the training data) and then apply that imputation to both training and testing data.
Here's how you might restructure that part of the code to prevent leakage:
```python
X_train, X_test, y_train, y_test = train_test_split(
    X, y, test_size=0.2, random_state=42
)
# Impute missing values after splitting
X_train["age"].fillna(X_train["age"].mean(), inplace=True)
X_test["age"].fillna(X_train["age"].mean(), inplace=True)
X_train["blood_pressure"].fillna(X_train["blood_pressure"].median(), inplace=True)
X_test["blood_pressure"].fillna(X_train["blood_pressure"].median(), inplace=True)
X_train["cholesterol"].fillna(X_train["cholesterol"].mean(), inplace=True)
X_test["cholesterol"].fillna(X_train["cholesterol"].mean(), inplace=True)
```
This ensures that the imputation is based solely on the training data, thereby safeguarding against data leakage.</t>
  </si>
  <si>
    <t>## Data Leakage Analysis
### Verdict: **Data Leakage Present**
---
### Where the Leakage Occurs
The leakage is in the imputation step, which happens **before** the train/test split:
```python
# LEAKAGE: Imputation happens on the full dataset X
X["age"].fillna(X["age"].mean(), inplace=True)
X["blood_pressure"].fillna(X["blood_pressure"].median(), inplace=True)
X["cholesterol"].fillna(X["cholesterol"].mean(), inplace=True)
# Split happens AFTER — too late to prevent leakage
X_train, X_test, y_train, y_test = train_test_split(
    X, y, test_size=0.2, random_state=42
)
```
---
### Why This Is a Problem
When you compute `X["age"].mean()` on the full dataset, that mean is calculated using values from **both future training rows and future test rows**. The test set has therefore influenced how missing values in the training set are filled.
Concretely:
- The imputed mean/median values are **slightly shifted** toward the test set's true distribution
- In a real deployment scenario, you would only know statistics derived from training data — the incoming patient records whose values you need to predict would not be available ahead of time to compute statistics from
- This produces an **optimistically biased accuracy estimate**, because the model was effectively trained with a subtle hint about the test data's statistical properties
---
### Corrected Code
The fix is to compute imputation statistics **only on training data**, then apply those same statistics to the test data:
```python
import pandas as pd
from sklearn.model_selection import train_test_split
from sklearn.linear_model import LogisticRegression
from sklearn.metrics import accuracy_score
from sklearn.impute import SimpleImputer
from sklearn.pipeline import Pipeline
df = pd.read_csv("patients.csv")
X = df.drop("readmitted", axis=1)
y = df["readmitted"]
# Split FIRST, before any statistics are computed
X_train, X_test, y_train, y_test = train_test_split(
    X, y, test_size=0.2, random_state=42
)
# Use a Pipeline so imputation is fit only on training data
# and the learned statistics are applied to test data
pipeline = Pipeline([
    ("imputer", SimpleImputer(strategy="mean")),  # fit on X_train only
    ("model", LogisticRegression(max_iter=1000))
])
pipeline.fit(X_train, y_train)
y_pred = pipeline.predict(X_test)
print(f"Accuracy: {accuracy_score(y_test, y_pred):.4f}")
```
**Key changes:**
| Change | Reason |
|---|---|
| Split moved before imputation | Test data cannot influence training-time statistics |
| `SimpleImputer` inside a `Pipeline` | `fit()` only sees `X_train`; `transform()` applies those learned statistics to `X_test` |
| Removed per-column manual imputation | The pipeline handles it cleanly and consistently |
&gt; **Note:** If your columns require different strategies (e.g., mean for `age`, median for `blood_pressure`), use `sklearn.compose.ColumnTransformer` to apply different `SimpleImputer` strategies per column — while still keeping everything inside the pipeline to prevent leakage.</t>
  </si>
  <si>
    <t># Data Leakage Review: **CRITICAL ISSUE FOUND**
## The Problem
This code contains **significant data leakage** in the imputation step. Here's exactly where and why:
### Where It Occurs
```python
X["age"].fillna(X["age"].mean(), inplace=True)
X["blood_pressure"].fillna(X["blood_pressure"].median(), inplace=True)
X["cholesterol"].fillna(X["cholesterol"].mean(), inplace=True)
# THEN the split happens:
X_train, X_test, y_train, y_test = train_test_split(X, y, ...)
```
### Why It's a Problem
The imputation statistics (mean/median) are **calculated on the entire dataset** (`X`), which includes both training and test data. This means:
1. **Test set statistics leak into training**: The imputation values are computed using information from the test set, which the model should never "see" during training.
2. **Unrealistic performance**: When you evaluate on `X_test`, the missing values have been filled using statistics that include the test set itself. This inflates performance metrics because the test set is slightly less "unknown" than it should be.
3. **Doesn't reflect real-world usage**: In production, you won't have access to future data to compute statistics. Your model will perform worse on truly unseen data.
## The Fix
Compute imputation statistics **only on the training set**, then apply them to both train and test:
```python
import pandas as pd
from sklearn.model_selection import train_test_split
from sklearn.linear_model import LogisticRegression
from sklearn.metrics import accuracy_score
df = pd.read_csv("patients.csv")
X = df.drop("readmitted", axis=1)
y = df["readmitted"]
# Split FIRST
X_train, X_test, y_train, y_test = train_test_split(
    X, y, test_size=0.2, random_state=42
)
# Compute statistics ONLY on training data
age_mean = X_train["age"].mean()
bp_median = X_train["blood_pressure"].median()
chol_mean = X_train["cholesterol"].mean()
# Apply to both sets using the training statistics
X_train["age"].fillna(age_mean, inplace=True)
X_train["blood_pressure"].fillna(bp_median, inplace=True)
X_train["cholesterol"].fillna(chol_mean, inplace=True)
X_test["age"].fillna(age_mean, inplace=True)
X_test["blood_pressure"].fillna(bp_median, inplace=True)
X_test["cholesterol"].fillna(chol_mean, inplace=True)
model = LogisticRegression(max_iter=1000)
model.fit(X_train, y_train)
y_pred = model.predict(X_test)
print(f"Accuracy: {accuracy_score(y_test, y_pred):.4f}")
```
**Better yet, use `sklearn.pipeline` or `sklearn.preprocessing.SimpleImputer` within a pipeline** to automate this correctly and avoid manual errors.</t>
  </si>
  <si>
    <t>Yes, this code **does contain data leakage**.
### Where Data Leakage Occurs and Why It's a Problem
The data leakage occurs in the **imputation steps**, specifically when calculating the mean and median values for `age`, `blood_pressure`, and `cholesterol`:
```python
X["age"].fillna(X["age"].mean(), inplace=True)
X["blood_pressure"].fillna(X["blood_pressure"].median(), inplace=True)
X["cholesterol"].fillna(X["cholesterol"].mean(), inplace=True)
```
**Explanation:**
1.  **Calculation on Full Dataset:** These lines calculate the mean or median for each feature using the *entire dataset* (`X`), which includes both the data that will eventually become the training set and the data that will become the test set.
2.  **Imputation Before Split:** This imputation happens *before* the `train_test_split`.
3.  **Information Leakage:** When `X["age"].mean()` (or `median` for `blood_pressure`, etc.) is calculated on the full dataset, it implicitly incorporates information from the test set. When these calculated values are then used to fill missing values in `X` (which will then be split into `X_train` and `X_test`), the training set (`X_train`) is being prepared using statistics that contain knowledge from the test set (`X_test`).
4.  **Over-Optimistic Evaluation:** This means your model is being trained on data that has "seen" a glimpse of the test set's distribution. As a result, the reported accuracy on the test set (`accuracy_score(y_test, y_pred)`) will likely be an over-optimistic estimate of how the model would perform on truly unseen, new data in a real-world scenario. The model might appear to generalize better than it actually does.
### Corrected Code to Prevent Data Leakage
To prevent this type of leakage, you must calculate any statistics (like mean, median, standard deviation, etc., used for imputation or scaling) **only on the training data** and then apply those *same* calculated statistics to both the training and test data.
The best practice for this in scikit-learn is to use `sklearn.impute.SimpleImputer` and integrate it into a `Pipeline`.
```python
import pandas as pd
from sklearn.model_selection import train_test_split
from sklearn.linear_model import LogisticRegression
from sklearn.metrics import accuracy_score
from sklearn.impute import SimpleImputer
from sklearn.pipeline import Pipeline
from sklearn.compose import ColumnTransformer
# Load data
df = pd.read_csv("patients.csv")
X = df.drop("readmitted", axis=1)
y = df["readmitted"]
# Split data into training and testing sets FIRST
X_train, X_test, y_train, y_test = train_test_split(
    X, y, test_size=0.2, random_state=42
)
# Define which columns need which type of imputation
# Identify columns for mean and median imputation based on the original code
age_cols = ["age"]
bp_cols = ["blood_pressure"]
cholesterol_cols = ["cholesterol"]
# Create preprocessors for numerical features
# Impute 'age' and 'cholesterol' with the mean of the training set
mean_imputer = SimpleImputer(strategy='mean')
# Impute 'blood_pressure' with the median of the training set
median_imputer = SimpleImputer(strategy='median')
# Create a preprocessor using ColumnTransformer to apply different transformations
# to different columns. 'remainder='passthrough'' ensures other columns are kept.
preprocessor = ColumnTransformer(
    transformers=[
        ('age_imputer', mean_imputer, age_cols),
        ('bp_imputer', median_imputer, bp_cols),
        ('chol_imputer', mean_imputer, cholesterol_cols)
    ],
    remainder='passthrough' # Keep other columns as they are (assuming no NaNs or other processing needed)
)
# Create a pipeline that first preprocesses (imputes) the data, then trains the model
model_pipeline = Pipeline(steps=[
    ('preprocessor', preprocessor),
    ('classifier', LogisticRegression(max_iter=1000))
])
# Fit the pipeline on the training data.
# The imputer's fit method will calculate means/medians ONLY on X_train.
# The transform method will then use these calculated means/medians to fill NaNs in X_train.
model_pipeline.fit(X_train, y_train)
# Predict on the test data.
# The imputer's transform method will use the means/medians learned from X_train
# to fill NaNs in X_test. This prevents data leakage.
y_pred = model_pipeline.predict(X_test)
print(f"Accuracy: {accuracy_score(y_test, y_pred):.4f}")
```
In the corrected code:
1.  The `train_test_split` is performed *first*.
2.  `SimpleImputer` objects are defined.
3.  A `ColumnTransformer` is used to apply specific imputers to specific columns. This is more robust as it can handle mixed data types and different imputation strategies for different columns.
4.  A `Pipeline` is created that chains the preprocessing (`preprocessor`) with the `LogisticRegression` model.
5.  When `model_pipeline.fit(X_train, y_train)` is called, the `preprocessor`'s `fit` method is called on `X_train`, meaning the mean/median statistics are calculated *only from the training data*. Then, `transform` is called to apply these statistics to `X_train`.
6.  When `model_pipeline.predict(X_test)` is called, the `preprocessor`'s `transform` method is called on `X_test`, using the *same statistics* (means/medians) learned from `X_train` to fill missing values in `X_test`. This ensures no information from the test set leaks into the training process.</t>
  </si>
  <si>
    <t>4B</t>
  </si>
  <si>
    <t>imputation_clean</t>
  </si>
  <si>
    <t>Here are several issues, bugs, and bad practices identified in the given Python code:
1. **Chained Assignment Warning:**
   - The lines that fill missing values in `X_train` and `X_test` use pandas `fillna` with `inplace=True`. This could potentially lead to unexpected behavior due to a chained assignment, especially if warnings are treated as errors elsewhere in more strict environments. It's generally safer to avoid `inplace` and use explicit assignments: 
     ```python
     X_train["age"] = X_train["age"].fillna(train_age_mean)
     ```
2. **Missing Value Handling Consistency:**
   - While the code fills missing values with training set statistics on both the train and test sets (which is good practice), it does not account for new missing values or categories that could appear in future unseen data (i.e., during production). Consider wrapping missing value logic in functions to ensure consistency.
3. **`random_state` Usage:**
   - While using a `random_state` in `train_test_split` is good for reproducibility, you should use it consistently in other random/scalable operations (even if not present here, it’s a good practice).
4. **Assumptions About Data:**
   - The code assumes `age`, `blood_pressure`, and `cholesterol` columns exist. Error handling or assertions could be added to ensure these columns are present before operations are performed on them.
5. **No Validation Set:**
   - There is no validation set in this model training process. Including a validation set would be beneficial for hyperparameter tuning and avoiding overfitting (though not strictly necessary for a basic example).
6. **Model Evaluation:**
   - The code uses only accuracy as the evaluation metric. For imbalanced datasets, precision, recall, and F1-score should be calculated to provide a better understanding of model performance. 
7. **Data Handling for Preprocessing:**
   - Presently, only three numerical columns are filled for missing values. If there are additional numeric or categorical features, missing value strategies should be applied consistently. Consider scaling numeric features (like StandardScaler or MinMaxScaler) and encoding categorical features if there are any.
Adhering to clean code practices and considering these points could help improve this code's robustness and maintainability.</t>
  </si>
  <si>
    <t>The given Python code has several issues and areas for improvement, which I will outline below:
1. **Potential Data Leakage**:
    - The means and medians used to fill the missing values for `X_test` are calculated from `X_train`. This can lead to data leakage if `X_test` has a different distribution or if any of its features have a relationship to the target variable that is only apparent in `X_train`. It is recommended to use separate transformations for training and testing datasets, ensuring that `X_test` is kept entirely independent.
    **Solution**: Use a preprocessing pipeline or handle missing values separately, such as using methods like `SimpleImputer` from `sklearn`.
2. **Handling Missing Values**:
    - Utilizing `fillna` with `inplace=True` on a DataFrame can lead to unintended consequences since it modifies the original DataFrame. A better practice would be to create a new DataFrame, which can help prevent accidental changes to the training data.
    **Solution**: Instead of modifying `X_train` and `X_test` in place, create copies or reassign the result of `fillna()` to ensure variables reflect intended values.
3. **Hardcoding Column Names**:
    - The code references specific column names such as `"age"`, `"blood_pressure"`, and `"cholesterol"`. If the DataFrame structure changes (e.g., renaming columns), the code will break.
    **Solution**: Consider using a configuration scheme or constants to manage column names, or use a metadata file to handle changes to features.
4. **Feature Engineering**:
    - The code assumes that the input features in `X` are appropriate for the Logistic Regression model without any transformation. Logistic regression models can perform poorly if fields are not normalized or standardized, especially when the scales of the features vary significantly.
    **Solution**: Consider using preprocessing techniques such as normalization or standardization, particularly if the features vary widely in scale.
5. **Lack of Input Validation**:
    - The code does not include checks for the existence of the file "patients.csv", nor does it verify that important columns exist within the DataFrame after loading. This could lead to runtime errors if the file doesn’t exist or is improperly formatted.
    **Solution**: Add error handling using try-except blocks or check for the presence of files and columns, ensuring appropriate error messages are logged.
6. **Unclear Output**:
    - The model results are presented simply through a print statement. Depending on the context, this might not provide sufficient detail for diagnostics or further action.
    **Solution**: Consider employing logging mechanisms or more detailed metrics, such as confusion matrix, ROC-AUC scores, or classification reports as additional outputs.
7. **Model Interpretability**:
    - The model used (Logistic Regression) may require additional analysis to interpret results better. Visualizing coefficients could be valuable for understanding feature importance.
    **Solution**: Add functionality to interpret the output of the model, potentially visualizing coefficients or providing additional analysis on predictions.
8. **Unused Imports**:
    - The `train_test_split` import from `sklearn.model_selection` is properly used in the code, but it might be good to ensure that all imported libraries and functions are necessary throughout the script.
    **Solution**: Regularly clean up unused imports to maintain code clarity and efficiency.
By addressing these issues, the code can be made more robust, maintainable, and accurate for modeling purposes. Here’s a brief illustration of how you may want to modify the data imputation using `SimpleImputer`:
```python
from sklearn.impute import SimpleImputer
# Impute missing values
imputer = SimpleImputer(strategy='mean')  # or 'median' for blood_pressure
X_train[['age', 'blood_pressure', 'cholesterol']] = imputer.fit_transform(X_train[['age', 'blood_pressure', 'cholesterol']])
X_test[['age', 'blood_pressure', 'cholesterol']] = imputer.transform(X_test[['age', 'blood_pressure', 'cholesterol']])
``` 
This way, you can avoid data leakage and ensure the pipeline flows better.</t>
  </si>
  <si>
    <t>## Code Review: Patient Readmission Prediction
### Summary of Issues Found
---
### 1. **Chained Indexing with `inplace=True` on DataFrame Slices (Critical Bug)**
```python
# PROBLEMATIC - triggers SettingWithCopyWarning and may silently fail
X_train["age"].fillna(train_age_mean, inplace=True)
```
`X_train` is a slice of `df`, so `X_train["age"]` creates another slice. Using `inplace=True` on a slice of a slice produces unpredictable behavior — the fill may not actually be applied, and pandas raises a `SettingWithCopyWarning`.
```python
# CORRECT - assign back explicitly or use .loc
X_train = X_train.copy()  # make an explicit independent copy first
X_train["age"] = X_train["age"].fillna(train_age_mean)
X_train["blood_pressure"] = X_train["blood_pressure"].fillna(train_bp_median)
X_train["cholesterol"] = X_train["cholesterol"].fillna(train_chol_mean)
```
---
### 2. **No Feature Scaling for Logistic Regression (Correctness Issue)**
```python
# Missing normalization/standardization before fitting
model = LogisticRegression(max_iter=1000)
model.fit(X_train, y_train)
```
Logistic Regression is sensitive to feature scale. Without scaling, features like `cholesterol` (range: 100–300) will dominate `age` (range: 0–1 if encoded), leading to poor convergence and biased coefficients.
```python
from sklearn.preprocessing import StandardScaler
scaler = StandardScaler()
X_train_scaled = scaler.fit_transform(X_train)  # fit ONLY on train
X_test_scaled = scaler.transform(X_test)         # transform test with train stats
model = LogisticRegression(max_iter=1000)
model.fit(X_train_scaled, y_train)
y_pred = model.predict(X_test_scaled)
```
---
### 3. **No Handling of Categorical/Non-Numeric Features (Likely Runtime Error)**
```python
X = df.drop("readmitted", axis=1)
# No encoding of categorical columns
model.fit(X_train, y_train)  # will crash if any column is non-numeric
```
Medical datasets typically contain categorical fields (e.g., `gender`, `diagnosis_code`). Scikit-learn's `LogisticRegression` cannot handle string/object columns.
```python
# Option 1: One-hot encode categorical columns
X = pd.get_dummies(df.drop("readmitted", axis=1), drop_first=True)
# Option 2: Use a pipeline with ColumnTransformer for cleaner separation
from sklearn.compose import ColumnTransformer
from sklearn.preprocessing import OneHotEncoder
categorical_cols = X.select_dtypes(include="object").columns.tolist()
numeric_cols = X.select_dtypes(include="number").columns.tolist()
```
---
### 4. **Accuracy Is a Misleading Metric for Medical Data (Design Issue)**
```python
print(f"Accuracy: {accuracy_score(y_test, y_pred):.4f}")
```
Patient readmission datasets are typically **class-imbalanced** (e.g., 80% not readmitted, 20% readmitted). A model that always predicts "not readmitted" achieves 80% accuracy while being clinically useless. Missing actual readmissions (false negatives) has serious consequences.
```python
from sklearn.metrics import (
    classification_report,
    roc_auc_score,
    confusion_matrix
)
print(classification_report(y_test, y_pred))
print(f"ROC-AUC: {roc_auc_score(y_test, model.predict_proba(X_test_scaled)[:, 1]):.4f}")
print("Confusion Matrix:\n", confusion_matrix(y_test, y_pred))
```
---
### 5. **No Validation That the CSV Loaded Correctly (Robustness Issue)**
```python
df = pd.read_csv("patients.csv")
X = df.drop("readmitted", axis=1)  # crashes if column doesn't exist
```
There is no check that the file loaded successfully, has the expected columns, or has sufficient rows.
```python
import os
if not os.path.exists("patients.csv"):
    raise FileNotFoundError("patients.csv not found")
df = pd.read_csv("patients.csv")
assert "readmitted" in df.columns, "Target column 'readmitted' missing"
assert len(df) &gt; 100, f"Dataset too small: {len(df)} rows"
print(f"Loaded {len(df)} rows, {df.shape[1]} columns")
print(df.dtypes)
```
---
### 6. **No Cross-Validation — Single Split is Unreliable (Methodology Issue)**
```python
X_train, X_test, y_train, y_test = train_test_split(X, y, test_size=0.2, random_state=42)
```
A single 80/20 split gives a high-variance performance estimate that is sensitive to which samples land in the test set. The choice of `random_state=42` can inadvertently produce an optimistic or pessimistic split.
```python
from sklearn.model_selection import cross_val_score, StratifiedKFold
cv = StratifiedKFold(n_splits=5, shuffle=True, random_state=42)
scores = cross_val_score(model, X_scaled, y, cv=cv, scoring="roc_auc")
print(f"CV ROC-AUC: {scores.mean():.4f} ± {scores.std():.4f}")
```
`StratifiedKFold` also preserves class proportions across folds, which is critical for imbalanced data.
---
### Corrected Code
```python
import os
import pandas as pd
from sklearn.model_selection import train_test_split, StratifiedKFold, cross_val_score
from sklearn.linear_model import LogisticRegression
from sklearn.preprocessing import StandardScaler
from sklearn.metrics import classification_report, roc_auc_score, confusion_matrix
# 1. Load with validation
if not os.path.exists("patients.csv"):
    raise FileNotFoundError("patients.csv not found")
df = pd.read_csv("patients.csv")
assert "readmitted" in df.columns, "Missing target column"
print(f"Loaded dataset: {df.shape}")
print(df.dtypes)
# 2. Encode categoricals before splitting
df_encoded = pd.get_dummies(df, columns=df.select_dtypes("object").columns, drop_first=True)
X = df_encoded.drop("readmitted", axis=1)
y = df_encoded["readmitted"]
# 3. Split
X_train, X_test, y_train, y_test = train_test_split(
    X, y, test_size=0.2, random_state=42, stratify=y  # stratify preserves class balance
)
# 4. Impute using copies to avoid SettingWithCopyWarning
X_train = X_train.copy()
X_test = X_test.copy()
numeric_cols = ["age", "blood_pressure", "cholesterol"]
train_fill_values = {
    "age": X_train["age"].mean(),
    "blood_pressure": X_train["blood_pressure"].median(),
    "cholesterol": X_train["cholesterol"].mean(),
}
for col, val in train_fill_values.items():
    X_train[col] = X_train[col].fillna(val)
    X_test[col] = X_test[col].fillna(val)  # use train statistics only
# 5. Scale
scaler = StandardScaler()
X_train_scaled = scaler.fit_transform(X_train)
X</t>
  </si>
  <si>
    <t># Code Review: Issues Found
## 1. **Data Leakage (Critical)**
**Problem:** Statistics are computed from the training set and correctly applied to both sets, which is good. However, there's no check for whether the test set might have different feature distributions that weren't seen during training.
**Issue:** More critically, if `X_train` or `X_test` contain categorical variables or require scaling, this isn't handled, which can cause runtime errors or poor model performance.
## 2. **No Feature Scaling (High Priority)**
**Problem:** LogisticRegression is sensitive to feature scaling, but the code doesn't standardize features.
```python
# Should add:
from sklearn.preprocessing import StandardScaler
scaler = StandardScaler()
X_train = scaler.fit_transform(X_train)
X_test = scaler.transform(X_test)
```
## 3. **No Error Handling**
**Problem:** The code assumes:
- The CSV file exists and is readable
- The required columns exist
- No missing values exist in `y`
- Features are all numeric
**Fix:** Add try-except blocks and data validation.
## 4. **Categorical Variables Not Handled**
**Problem:** If the dataset contains categorical columns, LogisticRegression will crash. There's no encoding of categorical features.
```python
# Should handle categorical variables:
X = pd.get_dummies(X, drop_first=True)
```
## 5. **No Data Validation/Exploration**
**Problem:** Missing basic checks:
```python
print(df.info())           # Check data types and nulls
print(df.isnull().sum())   # Quantify missing values
print(df.describe())       # Check distributions
```
## 6. **Incomplete Imputation**
**Problem:** Only 3 columns are imputed. If other columns have missing values, they'll cause errors during model fitting.
```python
# Better approach:
from sklearn.impute import SimpleImputer
imputer = SimpleImputer(strategy='mean')
X_train = imputer.fit_transform(X_train)
X_test = imputer.transform(X_test)
```
## 7. **Inplace Operations (Minor)**
**Problem:** Using `inplace=True` is considered less Pythonic and can cause issues:
```python
# Better:
X_train["age"] = X_train["age"].fillna(train_age_mean)
```
## 8. **No Model Validation**
**Problem:** Only accuracy is reported. Should include:
- Precision, recall, F1-score (especially for imbalanced data)
- Confusion matrix
- Cross-validation scores
- ROC-AUC
```python
from sklearn.metrics import classification_report, confusion_matrix
print(classification_report(y_test, y_pred))
```
## 9. **No Class Imbalance Handling**
**Problem:** If "readmitted" is imbalanced, accuracy is misleading.
```python
print(y.value_counts())  # Check balance
```
## 10. **Hardcoded Parameters**
**Problem:** `test_size=0.2` and `max_iter=1000` are hardcoded. Should be configurable or justified.
---
## **Improved Version (Partial)**
```python
import pandas as pd
from sklearn.model_selection import train_test_split
from sklearn.linear_model import LogisticRegression
from sklearn.metrics import accuracy_score, classification_report
from sklearn.preprocessing import StandardScaler
from sklearn.impute import SimpleImputer
try:
    df = pd.read_csv("patients.csv")
    # Validation
    if "readmitted" not in df.columns:
        raise ValueError("'readmitted' column not found")
    X = df.drop("readmitted", axis=1)
    y = df["readmitted"]
    # Check for missing values in target
    if y.isnull().any():
        raise ValueError("Target variable contains missing values")
    X_train, X_test, y_train, y_test = train_test_split(
        X, y, test_size=0.2, random_state=42, stratify=y
    )
    # Imputation
    imputer = SimpleImputer(strategy='mean')
    X_train = imputer.fit_transform(X_train)
    X_test = imputer.transform(X_test)
    # Scaling
    scaler = StandardScaler()
    X_train = scaler.fit_transform(X_train)
    X_test = scaler.transform(X_test)
    # Model
    model = LogisticRegression(max_iter=1000)
    model.fit(X_train, y_train)
    y_pred = model.predict(X_test)
    print(f"Accuracy: {accuracy_score(y_test, y_pred):.4f}")
    print(classification_report(y_test, y_pred))
except FileNotFoundError:
    print("Error: patients.csv not found")
except Exception as e:
    print(f"Error: {e}")
```</t>
  </si>
  <si>
    <t>The provided Python code sets up a basic machine learning workflow for predicting patient readmission. While functional for a very specific and clean dataset, it has several issues, ranging from potential bugs that would halt execution to bad practices that compromise robustness, scalability, and model performance.
Here's a breakdown of the problems:
---
### Issues, Bugs, and Bad Practices
1.  **Untreated Missing Values in Other Columns (Potential Bug)**
    *   **Problem:** The code explicitly handles missing values (`fillna`) only for "age", "blood_pressure", and "cholesterol". If the `patients.csv` file contains `NaN` values in *any other* feature columns, the `model.fit(X_train, y_train)` or `model.predict(X_test)` calls will raise a `ValueError` because scikit-learn models cannot handle missing values directly.
    *   **Explanation:** Data imputation is crucial for all columns with missing data that are used as features.
    *   **How to Fix:**
        *   Identify all columns with NaNs (e.g., `X_train.isnull().sum()`).
        *   Apply an appropriate imputation strategy (mean, median, mode, or more advanced methods) to *all* such columns.
        *   A more robust approach would be to programmatically select numeric columns for imputation or use a more comprehensive imputer (see point 3).
2.  **Untreated Categorical Features (Potential Bug)**
    *   **Problem:** The code assumes all features in `X` are numerical after imputation. If the `df` contains categorical columns (e.g., `object` dtype or string representations) that are not "readmitted", the `model.fit(X_train, y_train)` call will raise a `ValueError` (e.g., `could not convert string to float`) because `LogisticRegression` expects numerical input.
    *   **Explanation:** Machine learning models, especially linear ones like Logistic Regression, cannot directly process non-numeric categorical data. These need to be converted into a numerical format, typically using one-hot encoding or label encoding.
    *   **How to Fix:**
        *   Identify categorical columns (e.g., `X.select_dtypes(include='object').columns`).
        *   Apply appropriate encoding techniques like `pd.get_dummies()` or `sklearn.preprocessing.OneHotEncoder`.
        *   Ensure these transformations are applied consistently to both `X_train` and `X_test`.
3.  **Manual and Hardcoded Imputation (Bad Practice)**
    *   **Problem:** The imputation logic is manually written for specific column names (`"age"`, `"blood_pressure"`, `"cholesterol"`) and explicitly applies `fillna` with `inplace=True`. This approach is:
        *   **Not scalable:** If you have many columns, or if the column names change, this code becomes cumbersome and error-prone to maintain.
        *   **Repetitive (violates DRY principle):** The same logic is repeated for train and test sets.
        *   **Less robust:** It's easy to forget to apply a step to the test set, leading to data inconsistencies.
    *   **Explanation:** Modern machine learning workflows encourage the use of `sklearn.pipeline.Pipeline` and dedicated transformers like `sklearn.impute.SimpleImputer`.
    *   **How to Fix:**
        *   Use `sklearn.impute.SimpleImputer` to encapsulate the imputation logic.
        *   Integrate this into an `sklearn.pipeline.Pipeline` or `sklearn.compose.ColumnTransformer` for a cleaner, more robust, and scalable preprocessing step.
    ```python
    from sklearn.impute import SimpleImputer
    from sklearn.pipeline import Pipeline
    from sklearn.compose import ColumnTransformer
    # Identify numerical columns for imputation
    numerical_cols = ["age", "blood_pressure", "cholesterol"] # and any other numerical columns with NaNs
    # Imputer for numerical columns
    numerical_transformer = Pipeline(steps=[
        ('imputer', SimpleImputer(strategy='mean')) # or 'median'
    ])
    # Preprocessor for all columns (if you also had categorical ones)
    preprocessor = ColumnTransformer(
        transformers=[
            ('num', numerical_transformer, numerical_cols),
            # Add ('cat', categorical_transformer, categorical_cols) if needed
        ],
        remainder='passthrough' # Keep other columns untouched, or 'drop'
    )
    # Now integrate into a full pipeline
    model_pipeline = Pipeline(steps=[
        ('preprocessor', preprocessor),
        ('classifier', LogisticRegression(max_iter=1000))
    ])
    model_pipeline.fit(X_train, y_train)
    y_pred = model_pipeline.predict(X_test)
    ```
4.  **No Feature Scaling (Bad Practice for Logistic Regression)**
    *   **Problem:** Features like "age", "blood_pressure", and "cholesterol" likely have very different scales and ranges. Logistic Regression, especially when regularization is involved (which it often is by default, though `max_iter` here only affects convergence steps), can be sensitive to feature scaling. While it might converge, the optimization process can be slower and the resulting coefficients harder to interpret directly without scaling.
    *   **Explanation:** Algorithms that calculate distances or gradients (like gradient descent used in Logistic Regression optimization) perform better and converge faster when features are on a similar scale.
    *   **How to Fix:**
        *   Apply a scaling transformation to numerical features, such as `StandardScaler` or `MinMaxScaler`.
        *   This should be done *after* imputation and *before* training the model.
        *   Crucially, fit the scaler *only* on the training data (`X_train`) and then transform both `X_train` and `X_test` with the *fitted* scaler. This is another prime candidate for inclusion in a `Pipeline`.
    ```python
    from sklearn.preprocessing import StandardScaler
    # ... (building on the pipeline from point 3) ...
    numerical_transformer = Pipeline(steps=[
        ('imputer', SimpleImputer(strategy='mean')),
        ('scaler', StandardScaler()) # Add scaler here
    ])
    # ... rest of the pipeline ...
    ```
5.  **Potential `SettingWithCopyWarning` (Minor Bad Practice/Warning)**
    *   **Problem:** Using `inplace=True` directly on `X_train["age"].fillna(...)` can sometimes lead to a `SettingWithCopyWarning` in pandas. This warning arises when you perform an operation on a DataFrame slice that might actually be a "view" of the original DataFrame, not a true copy. Modifying a view can have unintended side effects on the original DataFrame or might not modify it at all, leading to silent bugs.
    *   **Explanation:** While in this specific case it *might* work as intended because `X_train` is likely a copy created by `train_test_split`, it's generally safer and more explicit to reassign the modified column or use `.loc` for direct assignments.
    *   **How to Fix:**
        *   Reassign the column: `X_train["age"] = X_train["age"].fillna(train_age_mean)`
        *   Even better, use pipelines as described in point 3, which handle data manipulation more safely.
6.  **Limited Evaluation Metrics (Bad Practice)**
    *   **Problem:** The model is only evaluated using `accuracy_score`. For classification problems, especially those with imbalanced classes (readmission prediction often is, as readmissions might be rarer than non-readmissions), accuracy can be a misleading metric. A model that predicts "not readmitted" for everyone might achieve high accuracy if most patients are indeed not readmitted, but it would be useless for identifying at-risk patients.
    *   **Explanation:** More comprehensive metrics are needed to understand a classifier's performance across different aspects.
    *   **How to Fix:**
        *   Report additional metrics like `precision_score`, `recall_score`, `f1_score`, `roc_auc_score`, and possibly a `classification_report`.
        *   Consider the business context: Is it more important to correctly identify *all* readmitted patients (high recall) or to be very sure that a patient identified as readmitted *will actually be* readmitted (high precision)?
---
### Summary of Recommended Changes:
```python
import pandas as pd
from sklearn.model_selection import train_test_split
from sklearn.linear_model import LogisticRegression
from sklearn.metrics import accuracy_score, classification_report, roc_auc_score
from sklearn.impute import SimpleImputer
from sklearn.preprocessing import StandardScaler, OneHotEncoder
from sklearn.pipeline import Pipeline
from sklearn.compose import ColumnTransformer
# 1. Load data
df = pd.read_csv("patients.csv")
# Identify target and features
X = df.drop("readmitted", axis=1)
y = df["readmitted"]
# 2. Train-Test Split
X_train, X_test, y_train, y_test = train_test_split(
    X, y, test_size=0.2, random_state=42, stratify=y # Added stratify for imbalanced classes
)
# Identify feature types
numerical_cols = X.select_dtypes(include=['int64', 'float64']).columns
categorical_cols = X.select_dtypes(include=['object', 'category']).columns
# 3. Create preprocessing pipelines with ColumnTransformer
# Numerical pipeline: Imputation -&gt; Scaling
numerical_transformer = Pipeline(steps=[
    ('imputer', SimpleImputer(strategy='mean')), # Or 'median' based on distribution
    ('scaler', StandardScaler())
])
# Categorical pipeline: Imputation (if needed) -&gt; One-hot encoding
# For simplicity, assuming no NaNs in categorical, or they are handled by OneHotEncoder (mode for NaNs)
categorical_transformer = Pipeline(steps=[
    ('imputer', SimpleImputer(strategy='most_frequent')), # Impute categorical NaNs with mode
    ('onehot', OneHotEncoder(handle_unknown='ignore')) # handle_unknown='ignore' for unseen categories in test set
])
# Create a preprocessor using ColumnTransformer to apply different transformations to different columns
preprocessor = ColumnTransformer(
    transformers=[
        ('num', numerical_transformer, numerical_cols),
        ('cat', categorical_transformer, categorical_cols)
    ],
    remainder='passthrough' # Keep any other columns not specified (e.g., IDs), or 'drop' them
)
# 4. Create the full machine learning pipeline
model_pipeline = Pipeline(steps=[
    ('preprocessor', preprocessor),
    ('classifier', LogisticRegression(max_iter=1000, solver='liblinear', random_state=42)) # Added solver and random_state
])
# 5. Train the model
model_pipeline.fit(X_train, y_train)
# 6. Make predictions
y_pred = model_pipeline.predict(X_test)
y_proba = model_pipeline.predict_proba(X_test)[:, 1] # For ROC AUC
# 7. Evaluate the model with comprehensive metrics
print("--- Model Evaluation ---")
print(f"Accuracy: {accuracy_score(y_test, y_pred):.4f}")
print(f"ROC AUC Score: {roc_auc_score(y_test, y_proba):.4f}")
print("\nClassification Report:")
print(classification_report(y_test, y_pred))
```
This revised code addresses all the identified issues by introducing robust preprocessing steps using `Pipeline` and `ColumnTransformer`, handling different data types appropriately, applying feature scaling, and providing a more comprehensive evaluation of the model's performance. It also adds `stratify=y` to `train_test_split` which is good practice for imbalanced datasets.</t>
  </si>
  <si>
    <t>The provided code successfully avoids data leakage in terms of feature engineering and preprocessing. Let's go through the critical parts of the pipeline to confirm this:
1. **Train-test split**: The code properly splits the data into `X_train`, `X_test`, `y_train`, and `y_test` before any preprocessing, which is a good practice to prevent data leakage.
2. **Handling missing values**: 
   - The mean of the "age" feature, the median of the "blood_pressure" feature, and the mean of the "cholesterol" feature are calculated using only the training data (`X_train`). These values are then used to fill missing values in both `X_train` and `X_test`.
   - Importantly, the means/medians derived from `X_train` are applied to `X_test`, ensuring that information from the test set does not influence how missing values are filled. This approach prevents data leakage.
3. **Model training**:
   - The logistic regression model is trained only on the `X_train` and `y_train` data.
4. **Evaluation**:
   - The model's performance is evaluated using the separate test set (`X_test` and `y_test`), maintaining an unbiased assessment.
Given the above points, the code correctly handles the preprocessing of the data, ensuring no data leakage between the training and test datasets. There is no evidence of information from the test set being used during the training process, nor are any features encoding target information that would not be available at prediction time. 
Therefore, the code is free of data leakage.</t>
  </si>
  <si>
    <t>The provided Python machine learning pipeline code does contain forms of data leakage. Let's analyze the key parts of the code to identify where this occurs and explain the potential problems with it.
### Identification of Data Leakage:
1. **Imputation using Training Data Statistics**:
   - The code computes the mean and median of the `age`, `blood_pressure`, and `cholesterol` features using only the training set (`X_train`). This is a good practice and helps to ensure that you are not using any information from the test set during model training.
   However, the data leakage arises from the following:
2. **Filling Missing Values in the Test Set**:
   - The test set (`X_test`) is filled with the statistics (mean and median) calculated from the training set. While this is common practice in many workflows, it becomes a form of data leakage when it isn't done properly. If any operation or feature creation in the training set allows indirect access to the target variable or any future information, it can lead to skewed predictions.
### Specific Concerns:
- In this pipeline, assuming that there's no direct encoding or transformation of features in a way that would use target information or lead to leaks (for example, using future patient data), the method of filling missing values itself can introduce complications in some contexts. However, in traditional settings, calculating the mean and median from the training data and applying it to the test set is an expected step to avoid leakage.
### Conclusion:
The code appears to be implemented correctly in terms of standard practices, specifically regarding the method of imputing missing values. There is no direct data leakage involving the target feature because the test set is populated using summary statistics only from the training set.
### Final Statement:
The code is free of data leakage in terms of the specific operations performed, given that the imputation is done correctly based on the training data's statistics only. However, constant vigilance is necessary during feature engineering and when using time-series or sequential data, as incorrect transformations or access to future data could lead to data leakage in those contexts.</t>
  </si>
  <si>
    <t>## Data Leakage Analysis
**Verdict: No data leakage detected.** This code is handled correctly. Here is a detailed breakdown of why.
---
### What the Code Does Right
#### 1. Train/Test Split Happens First
```python
X_train, X_test, y_train, y_test = train_test_split(
    X, y, test_size=0.2, random_state=42
)
```
The split occurs **before** any statistics are computed. This is the critical ordering requirement, and it is satisfied here.
---
#### 2. Imputation Statistics Are Derived Only From Training Data
```python
train_age_mean = X_train["age"].mean()
train_bp_median = X_train["blood_pressure"].median()
train_chol_mean = X_train["cholesterol"].mean()
```
The mean and median values are calculated **exclusively on `X_train`**. The test set has no influence on these values.
---
#### 3. Those Same Statistics Are Applied (Not Recomputed) on the Test Set
```python
X_test["age"].fillna(train_age_mean, inplace=True)
X_test["blood_pressure"].fillna(train_bp_median, inplace=True)
X_test["cholesterol"].fillna(train_chol_mean, inplace=True)
```
The test set is imputed using the **training-derived** statistics, correctly simulating real deployment conditions where you would only have access to statistics learned during training.
---
#### 4. Model Is Fit Only on Training Data
```python
model.fit(X_train, y_train)
```
The model never sees `X_test` or `y_test` during training.
---
### A Minor Practical Concern (Not Leakage)
The use of `inplace=True` on DataFrame slices can trigger a `SettingWithCopyWarning` in pandas, which may silently fail to modify the data in some versions. This is a **correctness/reliability risk**, not a leakage risk. The safer pattern is:
```python
X_train = X_train.copy()
X_test = X_test.copy()
X_train["age"] = X_train["age"].fillna(train_age_mean)
X_test["age"] = X_test["age"].fillna(train_age_mean)
# etc.
```
---
### The Canonical Leaky Anti-Pattern (What This Code Avoids)
For reference, the common mistake this code correctly avoids would look like:
```python
# WRONG — computes stats on the full dataset before splitting
X["age"].fillna(X["age"].mean(), inplace=True)  # test data influences the mean
X_train, X_test, ... = train_test_split(X, y)
```
Or:
```python
# WRONG — computes separate stats from the test set itself
X_test["age"].fillna(X_test["age"].mean(), inplace=True)  # unrealistic at deploy time
```
---
### Summary
| Check | Status |
|---|---|
| Split before computing statistics | ✅ Correct |
| Imputation stats from training data only | ✅ Correct |
| Test set imputed with training stats | ✅ Correct |
| Model trained on training data only | ✅ Correct |
| Target variable used in feature engineering | ✅ Not present |
The pipeline is correctly structured with no data leakage.</t>
  </si>
  <si>
    <t># Data Leakage Review
**This code is FREE OF DATA LEAKAGE.** ✓
## Why This Code Is Correct
The pipeline properly handles imputation by:
1. **Computing statistics only from training data**: The mean and median values are calculated exclusively from `X_train`
   ```python
   train_age_mean = X_train["age"].mean()
   train_bp_median = X_train["blood_pressure"].median()
   train_chol_mean = X_train["cholesterol"].mean()
   ```
2. **Using training statistics on the test set**: These pre-computed values are then applied to fill missing values in `X_test`
   ```python
   X_test["age"].fillna(train_age_mean, inplace=True)
   ```
This is the correct approach because:
- The test set statistics are **never** computed
- The test set is imputed using only information available during training
- This mimics real-world prediction where you'd have no access to future test data when fitting the model
## What Would Be Data Leakage
If the code instead computed statistics from the entire dataset before splitting:
```python
# ❌ WRONG - Data Leakage!
X_full_mean = X["age"].mean()  # Includes test set!
X_train["age"].fillna(X_full_mean, inplace=True)
X_test["age"].fillna(X_full_mean, inplace=True)
```
This would leak information from the test set into the training process, producing inflated performance estimates.
---
**Verdict**: This is a well-implemented pipeline with proper handling of preprocessing.</t>
  </si>
  <si>
    <t>After reviewing the provided Python machine learning pipeline code, I can confidently state that **this code is free of the forms of data leakage described in your prompt.**
Here's a breakdown of why, focusing on the critical steps:
1.  **Early Train-Test Split:**
    *   The `train_test_split` function is called early in the pipeline (`X_train, X_test, y_train, y_test = train_test_split(X, y, test_size=0.2, random_state=42)`). This is crucial. It ensures that the test set is completely isolated and unseen by the model during the training phase, including any preprocessing steps.
2.  **Correct Imputation Strategy:**
    *   The missing value imputation is handled correctly to prevent leakage.
    *   **Statistics calculated on training data only:** The means and medians for imputation (`train_age_mean`, `train_bp_median`, `train_chol_mean`) are calculated **exclusively from `X_train`**. This means no information from the test set is used to determine these imputation values.
    *   **Applying training statistics to both sets:** These training-derived statistics are then correctly used to fill missing values in *both* `X_train` and `X_test`. This simulates what would happen in a real-world prediction scenario where you'd train a model and its preprocessing steps on historical data, and then apply those same learned steps to new, unseen data.
3.  **No Target-Encoding Features:**
    *   There is no code that creates new features based on the target variable (`readmitted`) before the train-test split, which could inadvertently encode information about the target that wouldn't be available at prediction time.
In summary, the pipeline correctly isolates the test set and performs all feature engineering/preprocessing steps (in this case, imputation) using only information from the training set, then applies those learned transformations to the test set. This is the standard and correct approach to prevent data leakage.</t>
  </si>
  <si>
    <t>5A</t>
  </si>
  <si>
    <t>This Python code performs a basic classification task using a Decision Tree Classifier. Below are some potential issues, bugs, and bad practices identified in the code:
1. **Missing Value Handling**: 
    - The code uses `SimpleImputer` with the "mean" strategy to handle missing values. While this is a simple and commonly used technique, it's worth reconsidering its effectiveness based on the distribution of the data. For categorical or skewed data, a different strategy like "median" or "most_frequent" might be more appropriate.
2. **Feature Types**:
    - The code does not handle categorical variables explicitly. If `X` contains categorical features, they need to be encoded into numerical form (e.g., using `pd.get_dummies` or `sklearn.preprocessing.OneHotEncoder`) before fitting the model.
3. **Data Leakage**:
    - There is no data leakage issue in terms of imputation since it has been applied before splitting the data, which is common practice. However, considering doing the imputation within a pipeline that includes data splitting might help in avoiding potential leakage in more complex workflows.
4. **Hard-Coded Values**:
    - The file name "credit.csv" is hard-coded. If you plan to reuse this code, consider making it a parameter or using `argparse` to allow flexibility.
5. **Model Evaluation**:
    - F1 score is used for model evaluation, which is fine if the task involves imbalanced classes. Ensure this is the appropriate metric for your goal. Additionally, it might be useful to compute and display other metrics (like precision, recall) to get a more comprehensive understanding of model performance.
6. **Model Complexity**:
    - Decision Tree Classifiers can overfit easily, especially if the tree is too deep or there are too many features compared to the number of observations. Consider setting parameters (like `max_depth`) to prevent this.
7. **Absence of Cross-Validation**:
    - The code only performs a single train-test split. To obtain a more robust measure of model performance, consider using cross-validation (e.g., `cross_val_score` from `sklearn.model_selection`).
8. **Logging and Monitoring**:
    - Currently, the code uses a print statement for output. Consider using a logging framework, like Python's `logging` module, for more flexible logging and debugging outputs, especially for more extensive applications.
9. **Import Statements**:
    - Generally fine, but it’s a good practice to import only necessary components. The imports here are specific enough but be mindful in larger scripts about importing entire libraries when they aren't fully used.
Improvements in these areas can enhance the robustness, accuracy, and maintainability of your code.</t>
  </si>
  <si>
    <t>The provided Python code implements a simple workflow for reading a CSV file, handling missing values, training a Decision Tree classifier, and evaluating its performance using the F1 score. However, there are several issues and bad practices. Below is a detailed review of the code:
1. **Lack of Error Handling for File Reading**:
   - **Issue**: The code does not handle potential errors when reading the CSV file (e.g., file not found, incorrect format).
   - **Solution**: Use a `try-except` block to catch potential exceptions while loading the data. This will make the code more robust.
   ```python
   try:
       df = pd.read_csv("credit.csv")
   except FileNotFoundError:
       print("Error: The file 'credit.csv' was not found.")
       exit()
   except pd.errors.EmptyDataError:
       print("Error: The file is empty.")
       exit()
   except pd.errors.ParserError:
       print("Error: There was a parsing error.")
       exit()
   ```
2. **Assumption of Feature Types**:
   - **Issue**: The code uses `SimpleImputer` with the strategy "mean" without checking the types of the columns in the DataFrame. This assumes all features are numerical, which may not be the case.
   - **Solution**: Check the column data types before applying mean imputation, and handle categorical columns appropriately (e.g., using a different imputation strategy or not imputing them at all).
   ```python
   numerical_cols = X.select_dtypes(include=['float64', 'int64']).columns
   categorical_cols = X.select_dtypes(include=['object', 'category']).columns
   imputer = SimpleImputer(strategy="mean")
   X_imputed = pd.DataFrame(imputer.fit_transform(X[numerical_cols]), columns=numerical_cols)
   # Handle categorical data if necessary, e.g., using OneHotEncoder or similar.
   ```
3. **Missing Value Handling for Categorical Features**:
   - **Issue**: If there are categorical features with missing values, they will be ignored during the fitting of the imputer which may lead to dropping these columns or producing NaNs in the output.
   - **Solution**: Handle missing categorical values separately, perhaps using a different imputer with a suitable strategy (e.g., `SimpleImputer(strategy="most_frequent")`).
4. **Model Evaluation Without Cross-Validation**:
   - **Issue**: The model is evaluated on a single train-test split, which can provide a misleading estimate of model performance. Depending on the partition, the model might perform poorly even if it's good.
   - **Solution**: Use cross-validation (e.g., `cross_val_score` from `sklearn`) to obtain a more reliable estimate of the model's performance.
   ```python
   from sklearn.model_selection import cross_val_score
   scores = cross_val_score(model, X_imputed, y, cv=5, scoring='f1')
   print(f"F1 Score (cross-validated): {scores.mean():.4f} ± {scores.std():.4f}")
   ```
5. **Hard Coding Random State**:
   - **Issue**: A fixed random state is set for reproducibility, but this may be seen as an inflexible practice, particularly in a production context.
   - **Solution**: It may be more appropriate to set the random state as a variable or a function argument, allowing for flexibility.
6. **Lack of Comments and Documentation**:
   - **Issue**: The code lacks comments or documentation, making it less readable and less understandable, especially for someone unfamiliar with the data or the overall process.
   - **Solution**: Add comments to explain steps and the reasoning behind the choices made in the code.
7. **Printing the F1 Score**:
   - **Issue**: The overall code structure could benefit from using logging instead of print statements for better control over the output.
   - **Solution**: Use the `logging` module to log outcomes instead.
Here’s a revised version of the code snippet with some of these issues addressed:
```python
import pandas as pd
from sklearn.impute import SimpleImputer
from sklearn.model_selection import train_test_split, cross_val_score
from sklearn.tree import DecisionTreeClassifier
from sklearn.metrics import f1_score
import logging
logging.basicConfig(level=logging.INFO)
# Load data with error handling
try:
    df = pd.read_csv("credit.csv")
except (FileNotFoundError, pd.errors.EmptyDataError, pd.errors.ParserError) as e:
    logging.error(f"Failed to read 'credit.csv': {e}")
    exit()
X = df.drop("default", axis=1)
y = df["default"]
# Handle missing values
numerical_cols = X.select_dtypes(include=['float64', 'int64']).columns
categorical_cols = X.select_dtypes(include=['object', 'category']).columns
imputer = SimpleImputer(strategy="mean")
X_imputed = pd.DataFrame(imputer.fit_transform(X[numerical_cols]), columns=numerical_cols)
# Train-test split
X_train, X_test, y_train, y_test = train_test_split(X_imputed, y, test_size=0.3, random_state=10)
# Model training and evaluation
model = DecisionTreeClassifier(random_state=10)
model.fit(X_train, y_train)
# Evaluate using cross-validation
scores = cross_val_score(model, X_imputed, y, cv=5, scoring='f1')
logging.info(f"F1 Score (cross-validated): {scores.mean():.4f} ± {scores.std():.4f}")
```
This revised code addresses the issues identified and follows better practices in exception handling, data processing, and evaluation.</t>
  </si>
  <si>
    <t>## Code Review
The code is reasonably structured but has several issues ranging from data leakage to poor practices. Here's a thorough breakdown:
---
### 1. Data Leakage — Imputer Fit on Full Dataset
```python
# PROBLEM: fit_transform sees the entire dataset including test data
imputer = SimpleImputer(strategy="mean")
X_imputed = pd.DataFrame(
    imputer.fit_transform(X), columns=X.columns
)
X_train, X_test, y_train, y_test = train_test_split(...)
```
**Problem:** The imputer is fit on the entire dataset *before* splitting. This means imputation statistics (the mean) are computed using test set values, leaking information into training.
```python
# CORRECT: Split first, then fit imputer only on training data
X_train, X_test, y_train, y_test = train_test_split(
    X, y, test_size=0.3, random_state=10
)
imputer = SimpleImputer(strategy="mean")
X_train_imputed = pd.DataFrame(
    imputer.fit_transform(X_train), columns=X_train.columns
)
X_test_imputed = pd.DataFrame(
    imputer.transform(X_test), columns=X_test.columns  # transform only, no fit
)
```
---
### 2. Mean Imputation Applied to Potentially Non-Numeric Columns
```python
imputer = SimpleImputer(strategy="mean")
X_imputed = pd.DataFrame(imputer.fit_transform(X), columns=X.columns)
```
**Problem:** `strategy="mean"` only works on numeric columns. If `X` contains categorical columns, this will raise an error or silently drop them. There's no check or handling for mixed data types.
```python
# BETTER: Separate handling for numeric and categorical columns
from sklearn.compose import ColumnTransformer
numeric_cols = X.select_dtypes(include="number").columns
categorical_cols = X.select_dtypes(exclude="number").columns
preprocessor = ColumnTransformer([
    ("num", SimpleImputer(strategy="mean"), numeric_cols),
    ("cat", SimpleImputer(strategy="most_frequent"), categorical_cols)
])
```
---
### 3. No Validation of Loaded Data
```python
df = pd.read_csv("credit.csv")
X = df.drop("default", axis=1)
y = df["default"]
```
**Problem:** There's no verification that the file loaded correctly, that the `"default"` column exists, or that the dataframe isn't empty. Silent failures here cause confusing downstream errors.
```python
# BETTER: Add basic validation
df = pd.read_csv("credit.csv")
assert not df.empty, "Loaded dataframe is empty"
assert "default" in df.columns, "Target column 'default' not found"
print(df.shape)
print(df.head())
```
---
### 4. F1 Score Without Specifying `average` Parameter
```python
print(f"F1 Score: {f1_score(y_test, y_pred):.4f}")
```
**Problem:** `f1_score` defaults to `average='binary'`, which assumes binary classification with positive label `1`. If the target has different labels or is multiclass, this will raise a warning or error. Being explicit communicates intent clearly.
```python
# BETTER: Always be explicit about the averaging strategy
print(f"F1 Score: {f1_score(y_test, y_pred, average='binary'):.4f}")
# For multiclass problems:
print(f"F1 Score: {f1_score(y_test, y_pred, average='weighted'):.4f}")
```
---
### 5. Unconstrained Decision Tree (Likely Overfitting)
```python
model = DecisionTreeClassifier(random_state=10)
```
**Problem:** No depth or complexity constraints are set. An unconstrained decision tree will grow until all leaves are pure, which almost always results in severe overfitting on training data.
```python
# BETTER: Constrain the tree's complexity
model = DecisionTreeClassifier(
    random_state=10,
    max_depth=5,           # Limit tree depth
    min_samples_leaf=10,   # Require minimum samples at leaves
    min_samples_split=20   # Require minimum samples to split
)
```
---
### 6. No Cross-Validation — Single Split is Unreliable
```python
X_train, X_test, y_train, y_test = train_test_split(
    X_imputed, y, test_size=0.3, random_state=10
)
```
**Problem:** A single train/test split gives a high-variance performance estimate that is highly dependent on which samples happen to land in the test set.
```python
# BETTER: Use cross-validation for a more reliable estimate
from sklearn.model_selection import cross_val_score
scores = cross_val_score(model, X_imputed, y, cv=5, scoring="f1")
print(f"CV F1 Score: {scores.mean():.4f} ± {scores.std():.4f}")
```
---
### 7. No Class Imbalance Check
**Problem:** Credit default datasets are typically heavily imbalanced (few defaults vs. many non-defaults). F1 score alone (especially binary) can be misleading. There's no check for imbalance and no strategy to handle it.
```python
# BETTER: Check balance and handle it
print(y.value_counts(normalize=True))
# Handle imbalance if needed
model = DecisionTreeClassifier(
    random_state=10,
    class_weight="balanced"  # Adjusts weights inversely proportional to class frequency
)
```
---
### Summary Table
| # | Issue | Severity |
|---|-------|----------|
| 1 | Data leakage from pre-split imputation | 🔴 Critical |
| 2 | Mean imputation on potentially non-numeric data | 🔴 Critical |
| 3 | No validation of loaded data | 🟡 Moderate |
| 4 | Implicit `f1_score` averaging strategy | 🟡 Moderate |
| 5 | Unconstrained decision tree (overfitting) | 🟡 Moderate |
| 6 | Single train/test split (unreliable estimate) | 🟡 Moderate |
| 7 | No class imbalance handling | 🟡 Moderate |
Issues 1 and 2 are the most critical as they silently corrupt results — everything else degrades reliability and robustness.</t>
  </si>
  <si>
    <t># Code Review: Issues and Problems
## 1. **Data Leakage (Critical)**
```python
imputer = SimpleImputer(strategy="mean")
X_imputed = pd.DataFrame(
    imputer.fit_transform(X), columns=X.columns
)
```
**Problem:** The imputer is fit on the entire dataset *before* splitting. This means statistics from the test set influence the training data.
**Fix:** Fit the imputer only on training data:
```python
X_train, X_test, y_train, y_test = train_test_split(
    X, y, test_size=0.3, random_state=10
)
imputer = SimpleImputer(strategy="mean")
X_train = pd.DataFrame(
    imputer.fit_transform(X_train), columns=X.columns
)
X_test = pd.DataFrame(
    imputer.transform(X_test), columns=X.columns
)
```
---
## 2. **Inappropriate Imputation Strategy**
```python
imputer = SimpleImputer(strategy="mean")
```
**Problem:** Using mean imputation on potentially categorical features (like credit defaults). The target variable `"default"` suggests categorical data that shouldn't be imputed with mean.
**Fix:** Separate numeric and categorical columns:
```python
numeric_cols = X.select_dtypes(include=['number']).columns
imputer = SimpleImputer(strategy="mean")
X[numeric_cols] = imputer.fit_transform(X[numeric_cols])
```
---
## 3. **No Input Validation**
```python
df = pd.read_csv("credit.csv")
```
**Problem:** No error handling if the file doesn't exist or is malformed.
**Fix:**
```python
try:
    df = pd.read_csv("credit.csv")
except FileNotFoundError:
    print("Error: credit.csv not found")
    exit()
except pd.errors.ParserError:
    print("Error: Invalid CSV format")
    exit()
```
---
## 4. **No Missing Value Inspection**
**Problem:** Code assumes missing values exist and blindly applies imputation without checking.
**Fix:**
```python
print(X.isnull().sum())  # Check missing values
if X.isnull().sum().sum() == 0:
    print("No missing values found")
    X_imputed = X.copy()
else:
    X_imputed = impute_data(X)
```
---
## 5. **Inappropriate Metric Choice**
```python
print(f"F1 Score: {f1_score(y_test, y_pred):.4f}")
```
**Problem:** F1 score alone doesn't reveal performance. For imbalanced datasets (common in credit defaults), this is incomplete.
**Fix:**
```python
from sklearn.metrics import classification_report, confusion_matrix
print(classification_report(y_test, y_pred))
print(f"F1 Score: {f1_score(y_test, y_pred):.4f}")
```
---
## 6. **No Cross-Validation**
**Problem:** Single train-test split doesn't assess model stability or variance.
**Fix:**
```python
from sklearn.model_selection import cross_val_score
cv_scores = cross_val_score(model, X_train, y_train, cv=5, scoring='f1')
print(f"CV F1 Scores: {cv_scores}")
```
---
## 7. **Suboptimal Model Configuration**
```python
model = DecisionTreeClassifier(random_state=10)
```
**Problem:** No hyperparameter tuning; default max_depth can cause overfitting.
**Fix:**
```python
from sklearn.model_selection import GridSearchCV
param_grid = {'max_depth': [5, 10, 15], 'min_samples_split': [5, 10]}
grid_search = GridSearchCV(DecisionTreeClassifier(random_state=10), 
                           param_grid, cv=5, scoring='f1')
grid_search.fit(X_train, y_train)
model = grid_search.best_estimator_
```
---
## 8. **No Feature Scaling**
**Problem:** While Decision Trees don't require scaling, the code doesn't document this assumption.
---
## 9. **Missing Documentation**
**Problem:** No comments explaining the pipeline or assumptions.
---
## Summary Table
| Issue | Severity | Category |
|-------|----------|----------|
| Data Leakage | 🔴 Critical | ML Correctness |
| Wrong Imputation Strategy | 🟠 High | Domain Knowledge |
| No Input Validation | 🟠 High | Robustness |
| No Missing Value Check | 🟡 Medium | Best Practice |
| Incomplete Metrics | 🟡 Medium | Evaluation |
| No Cross-Validation | 🟡 Medium | Robustness |
| No Hyperparameter Tuning | 🟡 Medium | ML Best Practice |
| No Documentation | 🟡 Medium | Code Quality |</t>
  </si>
  <si>
    <t>The provided Python code implements a basic machine learning pipeline. While it generally follows the steps, it contains several issues, bugs, and bad practices that can lead to incorrect results, poor model performance, and difficulties in maintenance.
Here's a detailed breakdown of the problems:
### Major Bugs and Critical Issues:
1.  **Data Leakage from Imputation (Critical Bug)**
    *   **Problem:** The `SimpleImputer` is fitted on the *entire dataset* (`X`) before the data is split into training and testing sets.
    *   **Explanation:** When you call `imputer.fit_transform(X)`, the mean (or other strategy) for each feature is calculated using *all* available data, including the data that will eventually become part of the test set. This means the imputation process "sees" information from the test set, which contaminates the training phase. When you then evaluate the model on the test set, its performance will be artificially inflated because the missing values in the test set were filled using statistics derived partly from itself.
    *   **Consequence:** An overoptimistic evaluation of your model's real-world performance.
    *   **Fix:** The imputer (or any preprocessing step that learns from data) should only be fitted on the training data. It should then be used to transform *both* the training and testing data. The best way to achieve this in scikit-learn is by using a `Pipeline`.
2.  **Incorrect Imputation Strategy for Mixed Data Types (Potential Bug/Bad Practice)**
    *   **Problem:** `SimpleImputer(strategy="mean")` is applied indiscriminately to all columns in `X`.
    *   **Explanation:** The "mean" strategy is only appropriate for numerical features. If your `credit.csv` file contains categorical features (e.g., strings, object types), applying a "mean" strategy to them is nonsensical. `SimpleImputer` is designed primarily for numerical data; if it encounters object columns, it will likely either raise an error or convert them to NaNs and then try to impute those, leading to incorrect or unexpected results.
    *   **Consequence:** Errors during execution, or silently corrupted data if non-numeric columns are coerced into numeric types (e.g., if there are non-numeric strings that can't be converted, they might become `NaN` and then get imputed with a mean, which is meaningless).
    *   **Fix:** Inspect your data types (`df.info()`, `df.select_dtypes()`). Handle numerical and categorical features separately. For categorical features, you might use `strategy="most_frequent"` or other encoding techniques (like One-Hot Encoding) *after* imputation, or a specific imputer for categorical data. A `ColumnTransformer` within a `Pipeline` is excellent for this.
3.  **Lack of Error Handling for File Loading**
    *   **Problem:** `pd.read_csv("credit.csv")` will crash the script if `credit.csv` does not exist or is not accessible.
    *   **Explanation:** There's no `try-except` block to gracefully handle potential `FileNotFoundError` or other IO errors.
    *   **Consequence:** The script terminates abruptly, providing a less user-friendly experience.
    *   **Fix:** Wrap the file loading in a `try-except` block.
### Bad Practices and Design Flaws:
4.  **Hardcoded Values (Filename, Target Column, Hyperparameters)**
    *   **Problem:** Filename ("credit.csv"), target column name ("default"), `test_size` (0.3), and `random_state` (10) are hardcoded directly into the script.
    *   **Explanation:** While `random_state` is good for reproducibility, hardcoding other values makes the code inflexible. If the file name changes, the target column name changes, or you want to experiment with different test sizes, you have to modify the code itself.
    *   **Consequence:** Difficult to reuse, test, and adapt the code to different datasets or experimental setups.
    *   **Fix:** Define these as variables at the top of the script, pass them as function arguments, or load them from a configuration file.
5.  **No Initial Data Exploration/Validation**
    *   **Problem:** The code jumps straight into preprocessing and modeling without any checks on the loaded data.
    *   **Explanation:** Before imputation, it's crucial to understand the data: Are there NaNs? Where are they? What are the data types? What are the value distributions? What are the column names?
    *   **Consequence:** You might be imputing columns that don't need it, using the wrong strategy, or even attempting to drop a target column that doesn't exist (leading to `KeyError`).
    *   **Fix:** Add lines like `df.head()`, `df.info()`, `df.describe()`, `df.isnull().sum()`, `df['default'].value_counts()` immediately after loading the data.
6.  **Lack of a Scikit-learn Pipeline**
    *   **Problem:** Preprocessing steps (imputation) are performed as standalone operations before the model training.
    *   **Explanation:** While not strictly a bug in every case, it makes the code less organized, harder to maintain, and significantly increases the risk of data leakage (as seen in point 1). Scikit-learn `Pipeline`s are designed precisely to chain preprocessing steps with an estimator, ensuring that transformations are correctly applied and preventing data leakage by fitting transformers only on the training data.
    *   **Consequence:** Increased risk of errors, messy code, difficult to reproduce transformations consistently.
    *   **Fix:** Combine the imputer and the model into a `Pipeline`.
7.  **Limited Model Evaluation**
    *   **Problem:** Only the F1 score is reported.
    *   **Explanation:** While F1 score is good, especially for imbalanced datasets, relying on a single metric provides an incomplete picture of model performance. For classification, other metrics like precision, recall, accuracy, ROC AUC, and a confusion matrix offer valuable insights.
    *   **Consequence:** You might miss nuances in your model's performance (e.g., if it has high recall but low precision, or vice-versa).
    *   **Fix:** Calculate and print additional relevant metrics, or display a confusion matrix.
8.  **No Hyperparameter Tuning**
    *   **Problem:** The `DecisionTreeClassifier` is initialized with default parameters (except `random_state`).
    *   **Explanation:** Default hyperparameters are rarely optimal for a given dataset. Decision Trees, in particular, are prone to overfitting without proper pruning (e.g., `max_depth`, `min_samples_split`, `min_samples_leaf`).
    *   **Consequence:** The model's performance is likely suboptimal, and it might be overfitting the training data.
    *   **Fix:** Use techniques like GridSearchCV or RandomizedSearchCV to find better hyperparameters for the model.
9.  **No Cross-Validation**
    *   **Problem:** The model is trained and evaluated on a single train-test split.
    *   **Explanation:** The performance estimate from a single split can be highly dependent on the particular random split. This makes the evaluation less robust and reliable, especially for smaller datasets.
    *   **Consequence:** The reported F1 score might not be a reliable indicator of the model's performance on unseen data over different splits.
    *   **Fix:** Implement cross-validation (e.g., `KFold`, `StratifiedKFold`) to get a more robust estimate of the model's performance. `cross_val_score` or `GridSearchCV` with `cv` parameter can facilitate this.
### Example of a more robust approach (addressing key issues):
```python
import pandas as pd
from sklearn.impute import SimpleImputer
from sklearn.model_selection import train_test_split, cross_val_score, GridSearchCV
from sklearn.tree import DecisionTreeClassifier
from sklearn.metrics import f1_score, accuracy_score, precision_score, recall_score, confusion_matrix
from sklearn.pipeline import Pipeline
from sklearn.compose import ColumnTransformer
import numpy as np # For numerical operations, e.g. checking for NaNs
# --- Configuration / Global Parameters ---
DATA_FILE = "credit.csv"
TARGET_COLUMN = "default"
TEST_SIZE = 0.3
RANDOM_STATE = 10
# --- 1. Load Data with Error Handling ---
try:
    df = pd.read_csv(DATA_FILE)
except FileNotFoundError:
    print(f"Error: The file '{DATA_FILE}' was not found. Please check the path.")
    exit() # Exit the script if file not found
except Exception as e:
    print(f"An error occurred while loading the data: {e}")
    exit()
# --- 2. Initial Data Inspection (Addressing Issue 5) ---
print("--- Initial Data Info ---")
print(df.head())
print("\nData Info:")
df.info()
print("\nMissing values before processing:")
print(df.isnull().sum())
# Check if target column exists (Addressing Issue 6, 7, 8)
if TARGET_COLUMN not in df.columns:
    print(f"Error: Target column '{TARGET_COLUMN}' not found in the dataset.")
    exit()
# --- 3. Separate Features and Target ---
X = df.drop(TARGET_COLUMN, axis=1)
y = df[TARGET_COLUMN]
# --- 4. Identify Feature Types for Imputation (Addressing Issue 2) ---
# Assuming 'X' can have both numerical and categorical features
numerical_features = X.select_dtypes(include=np.number).columns
categorical_features = X.select_dtypes(exclude=np.number).columns
# If there are no numerical/categorical features, handle accordingly
if len(numerical_features) == 0:
    print("Warning: No numerical features found. SimpleImputer with 'mean' strategy will not apply.")
if len(categorical_features) == 0:
    print("Warning: No categorical features found. No specific categorical imputer will apply.")
# --- 5. Create a Preprocessing Pipeline (Addressing Issue 1, 6) ---
# Create transformers for numerical and categorical features
numerical_transformer = Pipeline(steps=[
    ('imputer', SimpleImputer(strategy='mean'))
])
# For categorical features, we might use 'most_frequent' strategy.
# Also, typically one-hot encoding would follow imputation for categorical data.
categorical_transformer = Pipeline(steps=[
    ('imputer', SimpleImputer(strategy='most_frequent'))
    # ('onehot', OneHotEncoder(handle_unknown='ignore')) # Add this if you have categorical features and want to encode them
])
# Create a preprocessor using ColumnTransformer
preprocessor = ColumnTransformer(
    transformers=[
        ('num', numerical_transformer, numerical_features),
        ('cat', categorical_transformer, categorical_features)
    ],
    remainder='passthrough' # Keep other columns (e.g., if there are mixed types not explicitly handled)
)
# --- 6. Create the Full ML Pipeline (Addressing Issue 1, 6) ---
# The pipeline ensures that imputation is fitted ONLY on training data
model_pipeline = Pipeline(steps=[
    ('preprocessor', preprocessor),
    ('classifier', DecisionTreeClassifier(random_state=RANDOM_STATE))
])
# --- 7. Split Data into Training and Testing Sets ---
X_train, X_test, y_train, y_test = train_test_split(
    X, y, test_size=TEST_SIZE, random_state=RANDOM_STATE, stratify=y # Stratify for imbalanced target
)
# --- 8. Train the Model ---
print("\n--- Training Model ---")
model_pipeline.fit(X_train, y_train)
# --- 9. Make Predictions ---
y_pred = model_pipeline.predict(X_test)
# --- 10. Evaluate the Model (Addressing Issue 7, 8) ---
print("\n--- Model Evaluation on Test Set ---")
f1 = f1_score(y_test, y_pred)
accuracy = accuracy_score(y_test, y_pred)
precision = precision_score(y_test, y_pred)
recall = recall_score(y_test, y_pred)
conf_matrix = confusion_matrix(y_test, y_pred)
print(f"F1 Score: {f1:.4f}")
print(f"Accuracy: {accuracy:.4f}")
print(f"Precision: {precision:.4f}")
print(f"Recall: {recall:.4f}")
print("\nConfusion Matrix:")
print(conf_matrix)
# --- 11. Optional: Hyperparameter Tuning (Addressing Issue 9) ---
print("\n--- Hyperparameter Tuning (GridSearchCV) ---")
param_grid = {
    'classifier__max_depth': [3, 5, 7, 10, None],
    'classifier__min_samples_leaf': [1, 5, 10],
    'classifier__min_samples_split': [2, 5, 10]
}
grid_search = GridSearchCV(model_pipeline, param_grid, cv=5, scoring='f1', n_jobs=-1)
grid_search.fit(X_train, y_train)
print(f"Best parameters: {grid_search.best_params_}")
print(f"Best cross-validation F1 score: {grid_search.best_score_:.4f}")
# Evaluate best model on test set
best_model_y_pred = grid_search.best_estimator_.predict(X_test)
print(f"Test F1 Score with best model: {f1_score(y_test, best_model_y_pred):.4f}")
# --- 12. Optional: Cross-Validation (Addressing Issue 10) ---
# If not using GridSearchCV for hyperparameter tuning, you can directly use cross_val_score
print("\n--- Cross-Validation Score (without tuning) ---")
cv_scores = cross_val_score(model_pipeline, X, y, cv=5, scoring='f1') # Use original X, y for full CV
print(f"F1 Scores for each fold: {cv_scores}")
print(f"Mean CV F1 Score: {np.mean(cv_scores):.4f} (+/- {np.std(cv_scores):.4f})")
```</t>
  </si>
  <si>
    <t>The provided Python machine learning pipeline code does contain data leakage, and I will identify exactly where it occurs and why it is a problem.
### Data Leakage Analysis:
1. **Imputation before Train-Test Split:**
   - **Where it Occurs:** The `SimpleImputer` is applied to the entire dataset `X` before splitting into training and test sets:
     ```python
     X_imputed = pd.DataFrame(imputer.fit_transform(X), columns=X.columns)
     X_train, X_test, y_train, y_test = train_test_split(
         X_imputed, y, test_size=0.3, random_state=10
     )
     ```
   - **Why it is a Problem:** By imputing missing values using the mean calculated from the entire dataset (both training and test data), the imputer is effectively gaining information from the test set that would not be available in a real-world scenario where predictions are made on unseen data. The imputation strategy must be trained only on the training data to avoid leakage of information from the test set.
   - **Solution:** To prevent this type of leakage, you should apply the imputation separately to the training and test sets. First, fit the imputer on the training set and then transform both the training and test sets using this fitted imputer:
     ```python
     X_train, X_test, y_train, y_test = train_test_split(
         X, y, test_size=0.3, random_state=10
     )
     imputer = SimpleImputer(strategy="mean")
     X_train = pd.DataFrame(imputer.fit_transform(X_train), columns=X.columns)
     X_test = pd.DataFrame(imputer.transform(X_test), columns=X.columns)
     ```
By following this adjustment, the potential data leakage is removed, ensuring that no information from the test set is used during training or preprocessing steps. This will result in a more realistic evaluation of the model's performance on unseen data.</t>
  </si>
  <si>
    <t>The provided Python machine learning pipeline code does not contain any form of data leakage. Let's analyze the steps in the code to confirm that it upholds the principles of avoiding data leakage:
1. **Train-Test Split**: The code uses `train_test_split` to split the dataset into a training set and a test set. This is done before any imputation takes place and ensures that the test data is never used during model training. The split is done randomly with a specified random state, which means that any variability is removed, but this doesn't introduce leakage.
2. **Imputation**: The imputation of missing values is performed using `SimpleImputer` with the strategy set to "mean." The imputer is fit on the entire feature set (`X`) before the split, which can lead to potential leakage if there are missing values. However, since the imputer is applied to `X_imputed` after splitting (i.e., actually it should be applied separately to `X_train` and `X_test`), the code could be revised to avoid any potential mixing of training and test data. The current implementation may lead to leakage if `X` contains any rows from `y_test` (which is unlikely in practical applications but possible). The proper way to perform this would be to fit the imputer on `X_train` only and then transform both `X_train` and `X_test`.
3. **Model Training**: The model is trained using only the training set (`X_train` and `y_train`), ensuring that it does not have any access to the test set during the training process, thereby avoiding leakage during this step.
4. **Prediction and Evaluation**: The model is evaluated on the test set, which is the correct approach for assessing performance without introducing leakage.
### Problem Identification:
While the code does not directly exhibit data leakage, it introduces a risk during the imputation step if the imputer is fit on the complete dataset. The recommended practice is to fit the imputer only on `X_train`. The proper sequence of operations to fully avoid leakage in the imputation step would be:
```python
imputer = SimpleImputer(strategy="mean")
imputer.fit(X_train)  # Fit on training data only
X_train_imputed = pd.DataFrame(imputer.transform(X_train), columns=X_train.columns)
X_test_imputed = pd.DataFrame(imputer.transform(X_test), columns=X_test.columns)  # Transform test data using the same imputer
```
### Conclusion:
In summary, while the code generally adheres to good practices, it risks data leakage during the imputation process. The solution is to ensure that the imputer is only fit on the training data. This adjustment would clarify the distinction between training and testing datasets clearly and prevent any information from the test set from influencing the model training.</t>
  </si>
  <si>
    <t>## Data Leakage Analysis
### Verdict: **Data leakage is present**
---
### Where the Leakage Occurs
The leakage is on this line:
```python
imputer = SimpleImputer(strategy="mean")
X_imputed = pd.DataFrame(
    imputer.fit_transform(X), columns=X.columns  # ← fit uses ALL data, including future test rows
)
# Split happens AFTER imputation — too late
X_train, X_test, y_train, y_test = train_test_split(
    X_imputed, y, test_size=0.3, random_state=10
)
```
The imputer is **fitted on the entire dataset `X`** (train + test combined) before the train/test split occurs. This means the **column means used to fill missing values are computed using test set rows**.
---
### Why This Is a Problem
When the imputer calculates the mean for each feature, it incorporates values from rows that are supposed to be held-out test data. Concretely:
- A missing value in a **training row** gets filled with a mean that was **influenced by test rows**
- A missing value in a **test row** gets filled with a mean that was **influenced by training rows**
This violates the core assumption that the test set represents truly unseen future data. In a real deployment scenario, you would not have access to future observations when computing imputation statistics.
The degree of harm scales with:
- The **proportion of missing values** in the dataset
- The **difference in distribution** between train and test splits
---
### Corrected Code
The fix is to split first, then fit the imputer **only on training data**, and apply it to both sets:
```python
import pandas as pd
from sklearn.impute import SimpleImputer
from sklearn.model_selection import train_test_split
from sklearn.tree import DecisionTreeClassifier
from sklearn.metrics import f1_score
from sklearn.pipeline import Pipeline
df = pd.read_csv("credit.csv")
X = df.drop("default", axis=1)
y = df["default"]
# ✅ Split BEFORE any fitting
X_train, X_test, y_train, y_test = train_test_split(
    X, y, test_size=0.3, random_state=10
)
# ✅ Fit imputer on training data only, then transform both sets
imputer = SimpleImputer(strategy="mean")
X_train_imputed = pd.DataFrame(
    imputer.fit_transform(X_train), columns=X_train.columns
)
X_test_imputed = pd.DataFrame(
    imputer.transform(X_test), columns=X_test.columns   # transform only, no fit
)
model = DecisionTreeClassifier(random_state=10)
model.fit(X_train_imputed, y_train)
y_pred = model.predict(X_test_imputed)
print(f"F1 Score: {f1_score(y_test, y_pred):.4f}")
```
### Preferred Alternative: Use a Pipeline
A `Pipeline` enforces the correct order automatically and is the idiomatic sklearn approach:
```python
from sklearn.pipeline import Pipeline
X_train, X_test, y_train, y_test = train_test_split(
    X, y, test_size=0.3, random_state=10
)
pipeline = Pipeline([
    ("imputer", SimpleImputer(strategy="mean")),
    ("classifier", DecisionTreeClassifier(random_state=10))
])
pipeline.fit(X_train, y_train)          # imputer fit only on train
y_pred = pipeline.predict(X_test)       # imputer only transforms test
print(f"F1 Score: {f1_score(y_test, y_pred):.4f}")
```
The `Pipeline` guarantees that during `fit()`, preprocessing steps are fitted **only on training data**, eliminating this class of leakage entirely.</t>
  </si>
  <si>
    <t># Data Leakage Review
## ⚠️ **DATA LEAKAGE DETECTED**
This code contains a **critical data leakage issue** in the imputation step.
### Where the Leakage Occurs
```python
imputer = SimpleImputer(strategy="mean")
X_imputed = pd.DataFrame(
    imputer.fit_transform(X), columns=X.columns
)
X_train, X_test, y_train, y_test = train_test_split(
    X_imputed, y, test_size=0.3, random_state=10
)
```
The imputer is **fit on the entire dataset** (`X`) *before* the train-test split. This means:
1. **The mean values used for imputation are computed from both training AND test data**
2. When imputing missing values in the test set, the imputer uses statistics that include information from the test set itself
3. At prediction time in production, you won't have access to future test data to compute these means, creating a train-test mismatch
### Why This Is a Problem
- **Optimistic bias**: The model's performance will be artificially inflated because the test set has already "leaked" into the preprocessing step
- **Non-reproducible performance**: The model will perform worse on truly unseen data in production
- **Invalid evaluation**: The F1 score reported is not a reliable estimate of real-world performance
### The Correct Approach
```python
X_train, X_test, y_train, y_test = train_test_split(
    X, y, test_size=0.3, random_state=10
)
# Fit imputer ONLY on training data
imputer = SimpleImputer(strategy="mean")
X_train_imputed = pd.DataFrame(
    imputer.fit_transform(X_train), columns=X_train.columns
)
# Transform test data using training statistics
X_test_imputed = pd.DataFrame(
    imputer.transform(X_test), columns=X_test.columns
)
model = DecisionTreeClassifier(random_state=10)
model.fit(X_train_imputed, y_train)
y_pred = model.predict(X_test_imputed)
print(f"F1 Score: {f1_score(y_test, y_pred):.4f}")
```
The key principle: **Always split first, then fit preprocessing on training data only.**</t>
  </si>
  <si>
    <t>Yes, this code **contains a form of data leakage**.
### Where Data Leakage Occurs
The data leakage occurs in this line:
```python
X_imputed = pd.DataFrame(imputer.fit_transform(X), columns=X.columns)
```
### Why It Is a Problem
1.  **Imputer Fitting on Full Dataset:** The `SimpleImputer` is fitted (`fit_transform`) on the *entire* `X` DataFrame, which includes both the data points that will later become part of the training set (`X_train`) and the test set (`X_test`).
2.  **Test Set Information Used:** When `imputer.fit(X)` is called, the imputer learns the `mean` (or median, or mode, depending on strategy) for each column using *all* available data points. This means the means calculated for imputation incorporate information (statistics) from the test set.
3.  **Consequence:** When you later split `X_imputed` into `X_train` and `X_test`, the missing values in `X_test` have been filled using means that were influenced by the very data points in `X_test` itself. This creates an overly optimistic evaluation of your model's performance on the test set, because the model effectively "saw" some statistical properties of the test data during preprocessing. In a real-world prediction scenario, you wouldn't have access to the future data's statistics to perform imputation.
### Corrected Approach to Avoid Leakage
To prevent this data leakage, the imputer should be fitted *only* on the training data, and then used to transform both the training and test data.
```python
import pandas as pd
from sklearn.impute import SimpleImputer
from sklearn.model_selection import train_test_split
from sklearn.tree import DecisionTreeClassifier
from sklearn.metrics import f1_score
df = pd.read_csv("credit.csv")
X = df.drop("default", axis=1)
y = df["default"]
# 1. Perform train-test split FIRST
X_train, X_test, y_train, y_test = train_test_split(
    X, y, test_size=0.3, random_state=10
)
# 2. Initialize imputer
imputer = SimpleImputer(strategy="mean")
# 3. Fit imputer ONLY on the training data
imputer.fit(X_train)
# 4. Transform both training and test data using the fitted imputer
X_train_imputed = pd.DataFrame(
    imputer.transform(X_train), columns=X_train.columns, index=X_train.index
)
X_test_imputed = pd.DataFrame(
    imputer.transform(X_test), columns=X_test.columns, index=X_test.index
)
model = DecisionTreeClassifier(random_state=10)
model.fit(X_train_imputed, y_train) # Use imputed training data
y_pred = model.predict(X_test_imputed) # Predict on imputed test data
print(f"F1 Score: {f1_score(y_test, y_pred):.4f}")
```
This corrected approach ensures that all preprocessing steps that learn parameters (like the mean for imputation) are performed exclusively on the training data, maintaining the integrity of the test set for an unbiased evaluation of the model's generalization performance.
**Regarding the second part of your question:** "whether any features encode information about the target that would not be available at prediction time."
In this specific code, no new features are engineered based on the target variable (e.g., using `target_encoding`). The features are used as-is from the `credit.csv` file, and the leakage is solely due to the incorrect order of preprocessing and splitting.</t>
  </si>
  <si>
    <t>5B</t>
  </si>
  <si>
    <t>The provided Python code is a simple implementation of a machine learning pipeline for classifying data using a Decision Tree model. However, there are a few points of concern that could be improved for better practices and robustness:
1. **Data Imputation Strategy**:
   - The imputer uses a mean strategy by default (`strategy="mean"`), which might not be suitable for categorical features, if there are any. If the dataset includes categorical variables, it is important to handle them differently, possibly using a different imputation strategy or encoding the features appropriately before imputation.
2. **Imputation Fitting Data Leak**:
   - The imputer is fitted on the training data (`X_train`) and then used to transform both the training and test datasets. While this is the correct practice, it's crucial to ensure that this step truly only leaks `X_train` data. If earlier steps involve any preprocessing of `X` before the train-test split (not shown here), that could lead to data leakage.
3. **Copy of Data After Imputation**:
   - After imputation, the DataFrames for `X_train` and `X_test` are recreated with new column assignments. This step creates a fresh DataFrame copy, but ensure you have sufficient memory for large datasets. This practice could also be seen as unnecessary in tight memory settings where you could operate in-place modifications.
4. **Overfitting Risk with Decision Trees**:
   - Decision Trees are prone to overfitting, especially without hyperparameter tuning like setting `max_depth`, `min_samples_split`, etc. It would be advisable to use techniques such as cross-validation or implement hyperparameter tuning (e.g., using GridSearchCV) to find the best parameters.
5. **Target Variable Handling**:
   - The target variable `y` is directly taken from the DataFrame. It is essential to pre-process the target variable to ensure it is in the correct format, such as categorical encoding if it is string-based. Confirm if "default" is binary or multi-class and process accordingly.
6. **Error Handling**:
   - There is no error handling in the entire code. Implement basic try-except blocks around critical operations like reading the CSV file or fitting the model to handle potential runtime errors gracefully.
7. **Logging and Reporting**:
   - The only output is the F1 score printed directly in the script. For better practices, consider using logging instead of print statements for better control over verbosity levels and outputs.
8. **Dependencies and Environment Management**:
   - The script assumes that the CSV file and all required packages (`pandas`, `sklearn`) are correctly set up in the environment. It might be beneficial to include environment setup information and ensure compatibility of library versions.
By addressing these points, the code can become more robust, maintainable, and easier to understand or share with others for collaborative projects.</t>
  </si>
  <si>
    <t>The provided Python code generally follows good practices for reading data, imputing missing values, training a model, and evaluating it. However, there are a few issues, potential bugs, and areas for improvement that can be highlighted:
1. **Hard-coded file path**:
   - The file path `credit.csv` is hard-coded. This can lead to issues if the file is not in the current working directory.
   - **Improvement**: Consider using a variable or command-line argument to specify the file path, or use a configuration file.
2. **Imputer Column Alignment**:
   - When creating `X_train` and `X_test` using the imputer, the columns are set to `X.columns`. If there are any columns removed during preprocessing or different columns encountered (like categorical ones with no missing values), this could potentially lead to column misalignment errors.
   - **Improvement**: Use the columns of `X_train` and `X_test` directly after fitting to ensure that they match the transformed data dimensions, rather than relying on the original `X.columns`.
   ```python
   X_train = pd.DataFrame(imputer.fit_transform(X_train), columns=X_train.columns)
   X_test = pd.DataFrame(imputer.transform(X_test), columns=X_train.columns)
   ```
3. **Assuming all features are numerical**:
   - The code assumes that all features in `X` are numerical since `SimpleImputer(strategy="mean")` will only work with numerical data. If there are categorical variables in `X`, this will raise an error when the imputer is applied.
   - **Improvement**: Check the data types and apply different strategies or encodings for categorical features before using the imputer.
4. **Random State Usage**:
   - While using `random_state=10` is good for reproducibility, it’s generally a better practice to ensure that you use the same `random_state` across different parts of your code for any randomness involved (though it is appropriately used in this case for both train test split and model).
   - **Improvement**: Make this value a specific variable defined at the top for easier adjustment.
5. **Evaluation Metric**:
   - The chosen metric is the F1 score, which is suitable for imbalanced datasets. However, without context on the data distribution (especially on the `default` variable), it's hard to judge if it is the best choice.
   - **Improvement**: Consider using other metrics (accuracy, confusion matrix, ROC-AUC) depending on the particular problem, accompanied by a justification for the selection.
6. **Error Handling**:
   - The code does not have any error handling around data loading or model training which could lead to unhandled exceptions if the file is missing or the data is corrupted.
   - **Improvement**: Wrap data loading and model fitting in try-except blocks to handle potential errors gracefully.
7. **Train-Test Split Stratification**:
   - The code does not include stratification during the train-test split, which can lead to imbalanced classes in training and testing datasets if `default` is imbalanced.
   - **Improvement**: Use the `stratify` parameter in `train_test_split` to maintain the balance of the target variable.
   ```python
   X_train, X_test, y_train, y_test = train_test_split(X, y, test_size=0.3, random_state=10, stratify=y)
   ```
8. **No feature scaling**:
   - Depending on the features, if there are features with significantly different scales, some models (though not Decision Trees) would benefit from feature scaling to improve convergence. This is not crucial for decision trees but is a general practice worth mentioning.
   - **Improvement**: If switching models in the future, consider implementing a scaling step where needed.
By addressing these issues and suggestions, the code can become more robust, flexible, and maintainable for future development.</t>
  </si>
  <si>
    <t>## Code Review
Overall, this is a reasonable ML pipeline, but it has several issues ranging from critical bugs to bad practices.
---
### 1. Imputing Non-Numeric Features with Mean (Critical Bug)
```python
# PROBLEM: SimpleImputer with strategy="mean" will fail or produce
# nonsense on categorical/string columns
imputer = SimpleImputer(strategy="mean")
X_train = pd.DataFrame(imputer.fit_transform(X_train), columns=X.columns)
```
**Problem:** Credit datasets typically contain categorical columns (e.g., loan purpose, employment status). Applying a mean imputer to string columns will raise a `ValueError`, and even if columns are numerically encoded categoricals, the mean of category codes is meaningless.
```python
# BETTER: Handle numeric and categorical columns separately
from sklearn.compose import ColumnTransformer
numeric_cols = X.select_dtypes(include="number").columns.tolist()
categorical_cols = X.select_dtypes(exclude="number").columns.tolist()
preprocessor = ColumnTransformer([
    ("num_imputer", SimpleImputer(strategy="mean"), numeric_cols),
    ("cat_imputer", SimpleImputer(strategy="most_frequent"), categorical_cols),
])
```
---
### 2. DataFrame Index Reset After Imputation (Subtle Bug)
```python
# PROBLEM: fit_transform returns a numpy array, so the DataFrame
# constructor resets the index to 0, 1, 2, ...
X_train = pd.DataFrame(
    imputer.fit_transform(X_train), columns=X.columns
)
```
**Problem:** After `train_test_split`, `X_train` retains the original DataFrame's index (e.g., rows 4, 7, 23...). Wrapping the numpy output in a new DataFrame resets the index to `0, 1, 2, ...`, causing a **index mismatch** with `y_train`, which still has the original index. This can cause subtle silent errors in some sklearn operations.
```python
# BETTER: Restore the original index explicitly
X_train = pd.DataFrame(
    imputer.fit_transform(X_train),
    columns=X_train.columns,
    index=X_train.index   # preserve original index
)
X_test = pd.DataFrame(
    imputer.transform(X_test),
    columns=X_test.columns,
    index=X_test.index    # preserve original index
)
```
---
### 3. F1 Score Assumes Binary Classification (Potential Bug)
```python
# PROBLEM: default average="binary" will fail if "default" has
# more than 2 classes, and gives no warning otherwise
print(f"F1 Score: {f1_score(y_test, y_pred):.4f}")
```
**Problem:** `f1_score` defaults to `average="binary"`, which raises a `ValueError` for multiclass targets and silently reports only the positive-class F1 for binary ones. You should be explicit, and for imbalanced credit data, consider reporting more metrics.
```python
# BETTER: Be explicit about averaging strategy
from sklearn.metrics import classification_report
# For binary classification:
print(f"F1 Score: {f1_score(y_test, y_pred, average='binary'):.4f}")
# Even better — get the full picture:
print(classification_report(y_test, y_pred))
```
---
### 4. No Validation That CSV Loaded Correctly (Bad Practice)
```python
df = pd.read_csv("credit.csv")
X = df.drop("default", axis=1)
y = df["default"]
```
**Problem:** There is no check that the file loaded successfully, that the target column exists, or that the data has the expected shape. Errors here produce confusing downstream failures.
```python
# BETTER: Validate early
df = pd.read_csv("credit.csv")
assert not df.empty, "DataFrame is empty — check the CSV file"
assert "default" in df.columns, "'default' column not found in dataset"
print(f"Dataset shape: {df.shape}")
print(df.head())
```
---
### 5. Decision Tree Will Likely Overfit (Modeling Issue)
```python
model = DecisionTreeClassifier(random_state=10)
```
**Problem:** An unconstrained `DecisionTreeClassifier` grows until all leaves are pure, severely overfitting the training data. This is especially problematic on small-to-medium credit datasets.
```python
# BETTER: Constrain tree complexity
model = DecisionTreeClassifier(
    random_state=10,
    max_depth=5,           # limit tree depth
    min_samples_leaf=20,   # require meaningful leaf sizes
    class_weight="balanced" # handle class imbalance common in credit data
)
```
---
### 6. No Cross-Validation (Bad Practice)
**Problem:** A single train/test split gives a high-variance estimate of model performance. A lucky or unlucky split can significantly skew reported results.
```python
# BETTER: Use cross-validation for a reliable estimate
from sklearn.model_selection import cross_val_score
scores = cross_val_score(model, X, y, cv=5, scoring="f1")
print(f"CV F1: {scores.mean():.4f} (+/- {scores.std():.4f})")
```
---
### Summary Table
| # | Issue | Severity |
|---|-------|----------|
| 1 | Mean imputation on all columns including categoricals | 🔴 Critical |
| 2 | Index reset causes mismatch between X and y | 🔴 Critical |
| 3 | `f1_score` averaging strategy not specified | 🟠 High |
| 4 | No data validation after loading | 🟡 Medium |
| 5 | Unconstrained decision tree overfits | 🟡 Medium |
| 6 | Single train/test split is unreliable | 🟡 Medium |</t>
  </si>
  <si>
    <t># Code Review: Issues and Problems Found
## 1. **Data Leakage (Critical)**
```python
imputer = SimpleImputer(strategy="mean")
X_train = pd.DataFrame(
    imputer.fit_transform(X_train), columns=X.columns
)
```
**Problem:** The imputer is fit on `X_train`, which is correct, but the mean values are computed from training data only. However, in a real scenario, you should fit on training data and apply to test data independently.
**Better approach:**
```python
imputer = SimpleImputer(strategy="mean")
X_train = pd.DataFrame(
    imputer.fit_transform(X_train), columns=X.columns
)
X_test = pd.DataFrame(
    imputer.transform(X_test), columns=X.columns
)
```
This is actually correct in the code, but it's easy to miss - worth noting.
---
## 2. **Incomplete Model Evaluation**
```python
print(f"F1 Score: {f1_score(y_test, y_pred):.4f}")
```
**Problem:** 
- Only F1 score is reported. No other metrics (accuracy, precision, recall, ROC-AUC) to understand model performance holistically
- No cross-validation to assess stability
- No baseline comparison
**Better approach:**
```python
from sklearn.metrics import classification_report, confusion_matrix
print(classification_report(y_test, y_pred))
print(f"F1 Score: {f1_score(y_test, y_pred):.4f}")
```
---
## 3. **No Handling of Categorical Variables**
```python
X = df.drop("default", axis=1)
```
**Problem:** If `X` contains categorical features, they won't be properly encoded before fitting the imputer or model. Decision trees can handle categories, but `SimpleImputer` on categorical data may cause issues.
**Better approach:**
```python
# Identify and encode categorical columns
categorical_cols = X.select_dtypes(include=['object']).columns
numerical_cols = X.select_dtypes(include=['number']).columns
# Use preprocessing pipeline
from sklearn.compose import ColumnTransformer
from sklearn.preprocessing import OneHotEncoder
preprocessor = ColumnTransformer(
    transformers=[
        ('num', SimpleImputer(strategy='mean'), numerical_cols),
        ('cat', OneHotEncoder(handle_unknown='ignore'), categorical_cols)
    ])
```
---
## 4. **No Validation of Input Data**
```python
df = pd.read_csv("credit.csv")
```
**Problem:** 
- No error handling if file doesn't exist
- No check for missing values before processing
- No check if "default" column exists
**Better approach:**
```python
try:
    df = pd.read_csv("credit.csv")
    if "default" not in df.columns:
        raise ValueError("'default' column not found")
    print(f"Missing values:\n{df.isnull().sum()}")
except FileNotFoundError:
    print("File not found")
```
---
## 5. **Hyperparameter Tuning Missing**
```python
model = DecisionTreeClassifier(random_state=10)
```
**Problem:** 
- Default parameters are used without tuning
- No max_depth, min_samples_split, etc. specified
- High risk of overfitting with decision trees
**Better approach:**
```python
from sklearn.model_selection import GridSearchCV
param_grid = {
    'max_depth': [5, 10, 15, 20],
    'min_samples_split': [2, 5, 10]
}
grid_search = GridSearchCV(DecisionTreeClassifier(random_state=10), 
                           param_grid, cv=5, scoring='f1')
grid_search.fit(X_train, y_train)
model = grid_search.best_estimator_
```
---
## 6. **Index Reset Not Performed**
```python
X_train = pd.DataFrame(
    imputer.fit_transform(X_train), columns=X.columns
)
```
**Problem:** After `fit_transform()`, the index is reset to 0-based, which could cause misalignment issues if indices matter.
**Better approach:**
```python
X_train = pd.DataFrame(
    imputer.fit_transform(X_train), 
    columns=X.columns,
    index=X_train.index
)
```
---
## 7. **No Train vs Test Performance Comparison**
**Problem:** Only test performance is shown. No way to detect overfitting.
**Better approach:**
```python
y_train_pred = model.predict(X_train)
print(f"Train F1 Score: {f1_score(y_train, y_train_pred):.4f}")
print(f"Test F1 Score: {f1_score(y_test, y_pred):.4f}")
```
---
## 8. **Implicit Assumption on Missing Values**
```python
imputer = SimpleImputer(strategy="mean")
```
**Problem:** Assumes missing values exist and should be filled with mean. If no missing values exist, this adds unnecessary computation.
**Better approach:**
```python
if df.isnull().sum().sum() &gt; 0:
    imputer = SimpleImputer(strategy="mean")
    # ... apply imputer
else:
    print("No missing values detected")
```
---
## Summary Table
| Issue | Severity | Category |
|-------|----------|----------|
| Incomplete evaluation | High | ML Practice |
| No categorical handling | High | Data Processing |
| No input validation | Medium | Robustness |
| Missing hyperparameter tuning | High | ML Practice |
| No overfitting detection | Medium | ML Practice |
| Index not preserved | Low | Edge Case |</t>
  </si>
  <si>
    <t>This Python script provides a basic machine learning workflow, but it has several issues, bugs, and bad practices that make it less robust, maintainable, and reliable for real-world applications.
Here's a breakdown of the problems:
---
### Identified Issues, Bugs, and Bad Practices:
1.  **Hardcoded Filename and Column Names**
    *   **Problem:** The filename `"credit.csv"` and the target column name `"default"` are hardcoded directly into the script.
    *   **Explanation:** This makes the script inflexible. If you want to use it with a different dataset or if the target column name changes, you have to modify the code directly. This reduces reusability and maintainability.
    *   **Bad Practice:** Using "magic strings" (and numbers) scattered throughout the code.
2.  **Lack of Robust Imputation for Mixed Data Types**
    *   **Problem:** `SimpleImputer(strategy="mean")` is applied to `X` (all features) without checking the data types of the columns.
    *   **Explanation:** The "mean" strategy is only suitable for numerical data. If your dataset `X` contains categorical features (e.g., `object` or `category` dtype columns), applying mean imputation to them will either raise an error (if the column cannot be converted to numeric) or result in meaningless values. Even if it doesn't error, it's an inappropriate strategy for non-numeric data. The script assumes all features in `X` are numerical.
    *   **Issue/Bug:** Potential for runtime errors or incorrect imputation if `X` contains non-numeric data.
    *   **Bad Practice:** Not performing proper data type introspection and handling for different feature types during preprocessing.
3.  **Missing `stratify` Parameter in `train_test_split`**
    *   **Problem:** The `train_test_split` function is called without the `stratify` parameter.
    *   **Explanation:** For classification tasks, especially when the target variable (`y`) is imbalanced (one class appears much more frequently than others), it's crucial to use `stratify=y`. This ensures that the proportion of target classes is approximately the same in both the training and testing sets. Without stratification, a random split might result in one set having significantly different class distributions, leading to an unrepresentative evaluation of the model's performance.
    *   **Issue:** Potential for biased model evaluation, particularly with imbalanced datasets.
    *   **Bad Practice:** Not ensuring representative splits for classification problems.
4.  **Potential for Overfitting with Default DecisionTreeClassifier Parameters**
    *   **Problem:** `DecisionTreeClassifier()` is instantiated with only `random_state`, leaving all other hyperparameters at their default values.
    *   **Explanation:** Decision Trees, by default (`max_depth=None`), can grow to full depth, creating a very complex model that perfectly fits the training data but performs poorly on unseen data (overfitting). While `random_state` ensures reproducibility, it doesn't address the model's complexity.
    *   **Bad Practice:** Using default hyperparameters for a powerful model like a Decision Tree without considering hyperparameter tuning or regularization to prevent overfitting. This often leads to models that perform well on training data but poorly in production.
5.  **Lack of Modularity and Functions**
    *   **Problem:** The entire script is written as a linear sequence of operations.
    *   **Explanation:** For larger or more complex workflows, a linear script quickly becomes difficult to read, maintain, and reuse. Breaking the code into logical functions (e.g., `load_data`, `preprocess_data`, `train_model`, `evaluate_model`) improves modularity, readability, and makes it easier to test individual components or reuse parts of the code.
    *   **Bad Practice:** Not structuring code into functions, especially as complexity grows.
6.  **No Error Handling for File Loading**
    *   **Problem:** `pd.read_csv("credit.csv")` will raise a `FileNotFoundError` if `credit.csv` does not exist in the specified path.
    *   **Explanation:** The script assumes the file is always present. In a real-world scenario, robust applications should handle such common errors gracefully, perhaps by printing a user-friendly message and exiting, or attempting to locate the file elsewhere.
    *   **Bad Practice:** Lack of basic error handling, making the script brittle.
7.  **No Data Exploration or Validation**
    *   **Problem:** The script jumps directly into preprocessing and modeling without any preliminary data exploration (EDA).
    *   **Explanation:** In a real-world machine learning project, it's crucial to first inspect the data: check for missing values, examine data types, look at distributions, identify outliers, and understand the target variable's balance. Skipping this step can lead to incorrect assumptions (like all features being numerical for mean imputation) or silently introduce bugs that are hard to diagnose later.
    *   **Bad Practice:** Lack of due diligence in understanding the data before applying transformations and models.
---
### Summary of Improvements:
To improve this code, consider the following:
1.  **Configuration:** Define variables for the filename, target column, test size, and random state at the top of the script or pass them as arguments to a main function.
2.  **Robust Imputation:**
    *   Identify numerical and categorical columns.
    *   Apply appropriate imputation strategies for each (e.g., `SimpleImputer(strategy="mean")` for numerical, `SimpleImputer(strategy="most_frequent")` for categorical, or using more advanced methods).
    *   Consider using `ColumnTransformer` from `sklearn.compose` to handle different preprocessing steps for different column types systematically.
3.  **Stratified Split:** Add `stratify=y` to `train_test_split`.
4.  **Model Hyperparameters:** Explore and tune hyperparameters for the `DecisionTreeClassifier` (e.g., `max_depth`, `min_samples_leaf`, `criterion`) to prevent overfitting.
5.  **Modularity:** Wrap the workflow in functions (e.g., `main()`) to improve organization and readability.
6.  **Error Handling:** Implement `try-except` blocks for file operations.
7.  **Data Validation/EDA:** Add basic checks for data existence, column names, and data types, or at least acknowledge that this step is typically performed.
By addressing these points, the script would become more robust, flexible, and suitable for practical machine learning applications.</t>
  </si>
  <si>
    <t>The provided code appears to be free of data leakage. Let's go through each step to confirm that there's no leakage:
1. **Data Splitting**: The dataset is split into training and test sets using `train_test_split` before any preprocessing steps are applied. This is crucial because it ensures that test data is isolated from training data before any transformations occur, preventing information from the test set from leaking into training steps.
2. **Imputation**: The code uses `SimpleImputer` to handle missing values. The strategy specified is 'mean', which calculates the mean of each feature using only the training data (`fit_transform` on `X_train`). Then, it applies this mean to transform the test data (`transform` on `X_test`). This approach is correct, as the imputer is not fitted on the test data, thus avoiding any information leakage from the test set into the training data.
3. **Model Training and Evaluation**: The `DecisionTreeClassifier` is trained solely on the training data (`X_train` and `y_train`) and evaluated on the test set (`X_test` and `y_test`). This is the appropriate method of training and evaluating a model without using any information from the test dataset during training.
Overall, each step of the machine learning pipeline is correctly separating train and test data, and the test set is not used to inform any part of the training process, including preprocessing steps. Therefore, the code is free from data leakage.</t>
  </si>
  <si>
    <t>The provided Python machine learning pipeline code appears to be free of data leakage. Let's break down the key parts to confirm this:
1. **Data Splitting**:
   - The code first reads in the dataset and defines the features `X` (all columns except "default") and the target variable `y` (the "default" column).
   - The `train_test_split` function is used to separate the dataset into training and testing sets, with `X_train`, `X_test`, `y_train`, and `y_test`. The `random_state` is set for reproducibility.
   - Importantly, during this split, the data is divided before any preprocessing (e.g., imputation), which is crucial for preventing data leakage.
2. **Imputation**:
   - The `SimpleImputer` is used to fill in missing values with the mean of the training data. 
   - `imputer.fit_transform(X_train)` is applied only on the training data, and `imputer.transform(X_test)` is applied to the test set. This is the correct approach that avoids data leakage, because it ensures that the imputer is only learning from the training data and does not gain any information about the test data.
3. **Model Training and Prediction**:
   - The model (a Decision Tree Classifier) is trained on the processed `X_train` and `y_train`. After training, predictions are made on the `X_test` data. Again, this follows the proper sequence: training occurs only on the train set, and the model does not have access to the test set during training.
4. **Evaluation**:
   - The model's performance is evaluated by comparing the predicted `y_pred` with the true `y_test` using the F1 score.
### Conclusion:
There is no observable form of data leakage in this code. The separation of the training and test sets occurs before any preprocessing, and the imputer is correctly fit only on the training set. Thus, the information from the test set is not used during the training phase, nor are any features derived from the target variable directly within the training process. 
This pipeline correctly safeguards against typical pitfalls that could lead to data leakage, making it a sound implementation for model training and evaluation.</t>
  </si>
  <si>
    <t>## Data Leakage Analysis
### Verdict: **No Data Leakage Present**
This pipeline is correctly structured. Here is a breakdown of why each step is sound.
---
### Correct Pattern: Split Before Imputation
```python
# 1. Split FIRST — before any statistics are computed
X_train, X_test, y_train, y_test = train_test_split(
    X, y, test_size=0.3, random_state=10
)
# 2. Fit imputer ONLY on training data
imputer = SimpleImputer(strategy="mean")
X_train = pd.DataFrame(
    imputer.fit_transform(X_train), columns=X.columns  # learns means from train only
)
# 3. Apply (transform only) to test data
X_test = pd.DataFrame(
    imputer.transform(X_test), columns=X.columns  # uses train means, not test means
)
```
The critical distinction here is:
- `fit_transform()` on training data — column means are learned **exclusively from training data**
- `transform()` on test data — test data is imputed using **training means**, not its own
This correctly simulates the real-world scenario where future data must be processed using only statistics available at training time.
---
### Checklist of Common Leakage Sources
| Risk Area | Status | Reason |
|---|---|---|
| Imputer fitted on full dataset before split | **Safe** | `fit_transform` called after split, on train only |
| Imputer fitted separately on test set | **Safe** | Only `transform` is called on test data |
| Target variable encoded into features | **Safe** | `y` is cleanly separated before any processing |
| Scaling/normalization before split | **N/A** | No scaler used |
| Feature engineering using future data | **N/A** | No engineered features present |
| Model trained on test data | **Safe** | `model.fit` uses only `X_train, y_train` |
---
### What Would Have Been Wrong
For contrast, the leaky version would look like this:
```python
# LEAKY — DO NOT USE
imputer = SimpleImputer(strategy="mean")
# fit_transform on the FULL dataset before splitting
X_imputed = pd.DataFrame(imputer.fit_transform(X), columns=X.columns)
# Now split — but test set statistics already contaminated the imputer
X_train, X_test, y_train, y_test = train_test_split(
    X_imputed, y, test_size=0.3, random_state=10
)
```
In this leaky version, the mean used to fill missing values in training rows would be **partially computed from test rows**, meaning the model indirectly "sees" test data during training.
---
### Summary
The submitted code follows best practices. The train/test split occurs before any data-dependent transformation, and the imputer is fitted exclusively on training data before being applied to the test set.</t>
  </si>
  <si>
    <t># Data Leakage Review
**VERDICT: This code is FREE of data leakage.**
## Analysis
The code correctly handles the train-test split and imputation:
### ✅ Correct Practices
1. **Train-test split happens first** (lines 8-10)
   - Data is divided before any transformations
   - This is the correct order
2. **Imputer is fit only on training data** (line 13)
   - `imputer.fit_transform(X_train)` computes mean statistics from training data only
   - These learned statistics are never influenced by test data
3. **Test data uses training statistics** (line 16)
   - `imputer.transform(X_test)` applies the *already-fitted* imputer
   - Test missing values are filled using training set means, not test set means
   - This simulates real-world prediction where test statistics are unavailable
4. **Model training is isolated** (lines 18-19)
   - Model only sees training data
   - Evaluation happens on held-out test data
## Why This Matters
If the code had instead done:
```python
imputer = SimpleImputer(strategy="mean")
X_imputed = pd.DataFrame(imputer.fit_transform(X), columns=X.columns)  # ❌ FIT ON ALL DATA
X_train, X_test = train_test_split(X_imputed, ...)  # Then split
```
This would cause **data leakage** because test set means would influence imputation of the training set (and vice versa), making the model appear better than it would be in production.
**Your code avoids this pitfall correctly.**</t>
  </si>
  <si>
    <t>After reviewing the provided Python machine learning pipeline code, I can state that **this code is free of data leakage.**
Here's a breakdown of why and how it correctly avoids common data leakage pitfalls:
1.  **Train-Test Split First:**
    ```python
    X_train, X_test, y_train, y_test = train_test_split(
        X, y, test_size=0.3, random_state=10
    )
    ```
    The very first step after loading the data is to split it into training and testing sets using `train_test_split`. This is crucial. All subsequent preprocessing steps (like imputation) and model training are then performed *only* on the training data (`X_train`, `y_train`). This ensures that no information from the test set is seen by the model during its learning phase.
2.  **Imputation Performed Correctly:**
    ```python
    imputer = SimpleImputer(strategy="mean")
    X_train = pd.DataFrame(
        imputer.fit_transform(X_train), columns=X.columns
    )
    X_test = pd.DataFrame(
        imputer.transform(X_test), columns=X.columns
    )
    ```
    This is the most common place where data leakage can occur with preprocessing steps. However, the code handles it correctly:
    *   The `SimpleImputer` is `fit` *only* on `X_train`. This means that the mean values used for imputation are calculated solely from the training data.
    *   The *same* `imputer` (with the means learned from `X_train`) is then used to `transform` `X_test`.
    This approach ensures that the imputation parameters learned from the training data are applied consistently to the test data, without the test data influencing the learning of these parameters. If `imputer.fit_transform(X_test)` or `imputer.fit_transform(X)` (the full dataset) had been called, it would have introduced data leakage.
3.  **Model Training and Prediction:**
    ```python
    model = DecisionTreeClassifier(random_state=10)
    model.fit(X_train, y_train)
    y_pred = model.predict(X_test)
    ```
    The model is trained (`fit`) exclusively on `X_train` and `y_train`. Predictions (`predict`) are then made on the unseen `X_test` data. This standard procedure correctly separates the learning phase from the evaluation phase and does not introduce leakage.
4.  **Feature Encoding and Target Information:**
    The code does not perform any custom feature engineering steps that would encode information about the target variable (`default`) into features in a way that wouldn't be available at prediction time. The features `X` are taken directly from the input `df` and processed in a way that respects the train-test split.
In summary, the pipeline correctly isolates the test set from all learning and parameter estimation steps (both for preprocessing and the model itself), which is the standard practice for preventing data leakage.</t>
  </si>
  <si>
    <t>6A</t>
  </si>
  <si>
    <t>cv_preprocessing</t>
  </si>
  <si>
    <t>medium</t>
  </si>
  <si>
    <t>The provided Python code is generally well-structured for performing cross-validation on a Ridge regression model. However, there are a few potential issues, assumptions, and minor concerns regarding best practices that could be addressed:
1. **Missing Data Handling**:
   - The code does not handle any missing data that might be present in the dataset. If the `cars.csv` file has any missing values in the features or the target variable, this will result in errors during model training. Consider using `df.dropna()` or `SimpleImputer` from `sklearn.impute` to handle missing values.
2. **Categorical Variables**:
   - The `X` dataframe is directly used without checking if there are any categorical variables. If `cars.csv` contains categorical variables, this could cause issues because `StandardScaler` expects numerical input. Preprocessing steps such as one-hot encoding (using `pd.get_dummies()` or `OneHotEncoder`) might be necessary.
3. **Path to CSV File**:
   - The path to `cars.csv` is hardcoded and assumes the file is in the same directory as the script. This could be restrictive. Consider parameterizing the file path or using a configuration file/command-line argument.
4. **Model Pipeline**:
   - When using scaler transformations, it's generally a good practice to use a pipeline (i.e., `Pipeline` from `sklearn.pipeline`) to ensure transformations are always applied consistently during cross-validation and model training/testing. This encapsulation is less error-prone and easier to manage, especially with more complex preprocessing.
5. **Magic Number**:
   - The `alpha=1.0` is hardcoded. If this parameter might change in the future based on different trials or hyperparameter tuning, consider defining it at the top of the script or externally.
6. **Output Interpretation**:
   - The output statement printing mean R2 might be misleading without context. Displaying additional metrics like mean absolute error or root mean squared error could provide more insights into the model's performance, especially if `R2` alone does not convey a full picture of prediction quality.
7. **Random Seed**:
   - The code does not specify a random seed, which can result in different results on different runs if the data ordering affects the model training (such as using stochastic models or shuffling during cross-validation). Setting a seed (`random_state`) ensures reproducibility.
By addressing these points, the code can be more robust, maintainable, and informative.</t>
  </si>
  <si>
    <t>The provided Python code is generally well-structured for performing linear regression with cross-validation using Ridge regression. However, there are several issues, potential bugs, and bad practices to consider:
1. **Assuming the presence of 'price' column without checking:**
   - **Issue:** If the "cars.csv" file does not contain a "price" column, this will raise a KeyError.
   - **Solution:** Check if the "price" column exists in the DataFrame before trying to drop it or access it.
   ```python
   if "price" not in df.columns:
       raise ValueError("The column 'price' is not present in the DataFrame.")
   ```
2. **Handling missing values:**
   - **Issue:** The code does not check for or handle missing values in the DataFrame. If any rows contain NaN values in either the features or the target variable, it can lead to errors during model training or evaluation.
   - **Solution:** Implement checks for missing values and decide on an appropriate strategy (e.g., dropping rows or imputing values).
   ```python
   if df.isnull().any().any():
       df = df.dropna()  # or consider more sophisticated imputation strategies
   ```
3. **Not checking data types:**
   - **Issue:** If there are non-numeric columns in the feature set `X`, `StandardScaler` will raise an error because it cannot process categorical data.
   - **Solution:** Ensure that all features are numeric before scaling, potentially converting categorical features to numeric types through one-hot encoding or label encoding.
   ```python
   X = pd.get_dummies(X, drop_first=True)  # Create one-hot encodings for categorical variables
   ```
4. **Standard Scaler fitting on the entire dataset:**
   - **Issue:** While using `StandardScaler`, it's important to fit on the training data within cross-validation to avoid data leakage. When using cross-validation, `fit_transform` should be done within the cross-validation loop.
   - **Solution:** Use `Pipeline` from `sklearn.pipeline` or handle scaling within a cross-validation loop to avoid leakage.
   ```python
   from sklearn.pipeline import make_pipeline
   model = make_pipeline(StandardScaler(), Ridge(alpha=1.0))
   ```
5. **Fixed random state in model training:**
   - **Issue:** When using `cross_val_score`, it's better to set a `random_state` for reproducibility, if applicable (e.g., in other models using random processes).
   - **Solution:** Consider this point when you use random state-dependent methods.
6. **Hardcoding model parameters:**
   - **Issue:** The value of `alpha` in `Ridge(alpha=1.0)` is hardcoded. This can limit the flexibility and effectiveness of the model.
   - **Solution:** Consider performing hyperparameter tuning (e.g., using GridSearchCV) to find the best value for `alpha`.
7. **Model evaluation metric:**
   - **Issue:** While R² is a common metric, it may not be sufficient to assess model performance in all situations. Other metrics (like RMSE, MAE) might also be relevant.
   - **Solution:** Evaluate multiple metrics to get a better overall view of the model's performance.
8. **Print formatting and clarity:**
   - **Issue:** The code prints mean and standard deviation of scores but does not specify the score type clearly. This might lead to confusion.
   - **Solution:** Specify that the scores are R² in the print statement more clearly.
Here's a more refined version of the code addressing the identified issues:
```python
import pandas as pd
from sklearn.preprocessing import StandardScaler
from sklearn.model_selection import cross_val_score
from sklearn.linear_model import Ridge
from sklearn.pipeline import make_pipeline
# Load data
df = pd.read_csv("cars.csv")
# Check for the presence of 'price' column
if "price" not in df.columns:
    raise ValueError("The column 'price' is not present in the DataFrame.")
# Handle missing values
if df.isnull().any().any():
    df = df.dropna()  # or consider imputation strategies
# Prepare features and target variable
X = df.drop("price", axis=1)
y = df["price"]
# Convert non-numeric columns to numeric (if any)
X = pd.get_dummies(X, drop_first=True)
# Create a pipeline that scales and fits Ridge regression
model = make_pipeline(StandardScaler(), Ridge(alpha=1.0))
# Cross-validate the model
scores = cross_val_score(model, X, y, cv=5, scoring="r2")
print(f"Mean R²: {scores.mean():.4f} (+/- {scores.std():.4f})")
```
This revised code addresses the key issues and enhances the robustness of the original implementation.</t>
  </si>
  <si>
    <t>## Code Review
Overall this code is functional and follows a reasonable structure, but it has several issues ranging from critical bugs to style concerns.
---
### 1. Data Leakage (Critical Bug)
```python
# WRONG: Scaler is fit on ALL data before cross-validation
scaler = StandardScaler()
X_scaled = scaler.fit_transform(X)  # sees all folds including "test" folds
scores = cross_val_score(model, X_scaled, y, cv=5, scoring="r2")
```
**Problem:** `fit_transform` is called on the entire dataset before cross-validation splits occur. The scaler learns statistics (mean, std) from all data, including what will become test folds. This leaks information from test folds into training, producing overly optimistic scores.
```python
# CORRECT: Use a Pipeline so scaling happens inside each CV fold
from sklearn.pipeline import Pipeline
pipeline = Pipeline([
    ("scaler", StandardScaler()),
    ("model", Ridge(alpha=1.0))
])
scores = cross_val_score(pipeline, X, y, cv=5, scoring="r2")
```
---
### 2. No Error Handling for File Loading
```python
# WRONG: No handling if file is missing or malformed
df = pd.read_csv("cars.csv")
```
**Problem:** If the file doesn't exist or is corrupted, this raises an unhandled exception with a cryptic traceback.
```python
# CORRECT: Handle potential IO errors explicitly
import sys
try:
    df = pd.read_csv("cars.csv")
except FileNotFoundError:
    print("Error: 'cars.csv' not found.")
    sys.exit(1)
except pd.errors.ParserError:
    print("Error: 'cars.csv' could not be parsed.")
    sys.exit(1)
```
---
### 3. No Validation That Target Column Exists
```python
# WRONG: Assumes "price" column always exists
X = df.drop("price", axis=1)
y = df["price"]
```
**Problem:** If the column name is wrong or missing, this raises a `KeyError`. The `errors="raise"` default in `drop` is fine, but silent assumptions are risky.
```python
# CORRECT: Validate before proceeding
target = "price"
if target not in df.columns:
    raise ValueError(f"Target column '{target}' not found. "
                     f"Available columns: {df.columns.tolist()}")
X = df.drop(target, axis=1)
y = df[target]
```
---
### 4. No Handling of Non-Numeric Features
```python
# WRONG: StandardScaler and Ridge require numeric input
X = df.drop("price", axis=1)
X_scaled = scaler.fit_transform(X)  # will fail on strings/categoricals
```
**Problem:** Real-world CSVs like a cars dataset almost certainly contain categorical columns (e.g., `make`, `fuel_type`). This will raise a `ValueError` at scaling time.
```python
# CORRECT: Explicitly select or encode features
from sklearn.compose import ColumnTransformer
from sklearn.preprocessing import OneHotEncoder
numeric_features = X.select_dtypes(include=["number"]).columns.tolist()
categorical_features = X.select_dtypes(include=["object", "category"]).columns.tolist()
preprocessor = ColumnTransformer([
    ("num", StandardScaler(), numeric_features),
    ("cat", OneHotEncoder(handle_unknown="ignore"), categorical_features)
])
pipeline = Pipeline([
    ("preprocessor", preprocessor),
    ("model", Ridge(alpha=1.0))
])
```
---
### 5. No Handling of Missing Values
```python
# WRONG: No check for NaN values
X_scaled = scaler.fit_transform(X)  # NaNs silently propagate or cause errors
```
**Problem:** Missing values will either silently corrupt the scaling or cause failures in the model. Neither outcome is acceptable.
```python
# CORRECT: Impute or explicitly handle missing values
from sklearn.impute import SimpleImputer
from sklearn.pipeline import Pipeline
pipeline = Pipeline([
    ("imputer", SimpleImputer(strategy="median")),
    ("scaler", StandardScaler()),
    ("model", Ridge(alpha=1.0))
])
# Also worth logging a warning:
if X.isnull().any().any():
    print(f"Warning: Missing values detected:\n{X.isnull().sum()}")
```
---
### 6. Hardcoded Filename and Alpha (Minor)
```python
df = pd.read_csv("cars.csv")   # hardcoded path
model = Ridge(alpha=1.0)       # hardcoded hyperparameter, also the default
```
**Problem:** Hardcoded paths reduce reusability. Using `alpha=1.0` is redundant since it's Ridge's default, which can mislead readers into thinking it was deliberately tuned.
```python
# CORRECT: Use constants or config, and comment intent
DATA_PATH = "cars.csv"  # or load from config/argparse
df = pd.read_csv(DATA_PATH)
# alpha=1.0 is the default; tune this with GridSearchCV or RidgeCV
model = Ridge()
```
---
### 7. No Random State for Reproducibility
```python
# WRONG: Results may differ between runs
scores = cross_val_score(model, X_scaled, y, cv=5, scoring="r2")
```
**Problem:** Without a fixed random state, the CV splits may vary (depending on shuffle settings), making results harder to reproduce.
```python
# CORRECT: Use a fixed random state
from sklearn.model_selection import KFold
kf = KFold(n_splits=5, shuffle=True, random_state=42)
scores = cross_val_score(pipeline, X, y, cv=kf, scoring="r2")
```
---
## Summary Table
| # | Issue | Severity | Category |
|---|-------|----------|----------|
| 1 | Data leakage via pre-CV scaling | 🔴 Critical | Bug |
| 2 | No file loading error handling | 🟠 High | Robustness |
| 3 | No target column validation | 🟠 High | Robustness |
| 4 | No handling of categorical features | 🟠 High | Bug |
| 5 | No handling of missing values | 🟠 High | Bug |
| 6 | Hardcoded path and redundant alpha | 🟡 Low | Style |
| 7 | No random state for reproducibility | 🟡 Low | Reproducibility |
The most important fix by far is **issue #1** — the data leakage completely invalidates the evaluation results.</t>
  </si>
  <si>
    <t># Code Review: Python ML Pipeline
## Issues Found:
### 1. **Data Leakage (CRITICAL)**
```python
scaler = StandardScaler()
X_scaled = scaler.fit_transform(X)
scores = cross_val_score(model, X_scaled, y, cv=5, scoring="r2")
```
**Problem:** The scaler is fit on the entire dataset *before* cross-validation. This means information from test folds leaks into the scaling parameters, inflating performance metrics.
**Fix:** Scale within the cross-validation pipeline:
```python
from sklearn.pipeline import Pipeline
pipeline = Pipeline([
    ('scaler', StandardScaler()),
    ('model', Ridge(alpha=1.0))
])
scores = cross_val_score(pipeline, X, y, cv=5, scoring="r2")
```
---
### 2. **Missing Data Validation**
**Problem:** No checks for missing values, which will cause errors or silent failures.
**Fix:**
```python
print(df.isnull().sum())  # Check for missing values
df = df.dropna()  # or df.fillna(...) depending on strategy
```
---
### 3. **No Input Validation**
**Problem:** No verification that the CSV loaded correctly or contains expected columns.
**Fix:**
```python
try:
    df = pd.read_csv("cars.csv")
    if "price" not in df.columns:
        raise ValueError("'price' column not found in dataset")
except FileNotFoundError:
    print("Error: cars.csv not found")
    exit(1)
```
---
### 4. **Hardcoded Hyperparameters**
**Problem:** `alpha=1.0` is arbitrary with no justification or tuning.
**Fix:**
```python
from sklearn.model_selection import GridSearchCV
param_grid = {'alpha': [0.1, 1.0, 10.0]}
grid_search = GridSearchCV(Ridge(), param_grid, cv=5, scoring="r2")
grid_search.fit(X, y)
print(f"Best alpha: {grid_search.best_params_}")
```
---
### 5. **No Train-Test Split**
**Problem:** Using cross-validation for evaluation is good, but there's no final held-out test set to assess generalization.
**Fix:**
```python
from sklearn.model_selection import train_test_split
X_train, X_test, y_train, y_test = train_test_split(
    X, y, test_size=0.2, random_state=42
)
# Fit on training data
pipeline.fit(X_train, y_train)
# Evaluate on test data
test_score = pipeline.score(X_test, y_test)
```
---
### 6. **Insufficient Model Evaluation**
**Problem:** Only R² is reported; no MAE, RMSE, or residual analysis.
**Fix:**
```python
from sklearn.metrics import mean_absolute_error, mean_squared_error
import numpy as np
predictions = pipeline.predict(X_test)
print(f"R²: {pipeline.score(X_test, y_test):.4f}")
print(f"MAE: {mean_absolute_error(y_test, predictions):.4f}")
print(f"RMSE: {np.sqrt(mean_squared_error(y_test, predictions)):.4f}")
```
---
### 7. **No Random State Seed**
**Problem:** Results are non-reproducible due to randomness in cross-validation splits.
**Fix:**
```python
scores = cross_val_score(
    pipeline, X, y, cv=5, scoring="r2", 
    random_state=42  # Add to cross_val_score parameters if needed
)
# Better: use StratifiedKFold or KFold with explicit random_state
from sklearn.model_selection import KFold
cv = KFold(n_splits=5, shuffle=True, random_state=42)
scores = cross_val_score(pipeline, X, y, cv=cv, scoring="r2")
```
---
### 8. **No Feature Preprocessing Check**
**Problem:** Categorical variables aren't handled; mixed dtypes could cause issues.
**Fix:**
```python
print(df.dtypes)
# One-hot encode categorical features if needed
X = pd.get_dummies(X, drop_first=True)
```
---
## Summary Priority:
1. **CRITICAL:** Fix data leakage (use Pipeline)
2. **HIGH:** Add train-test split and proper validation
3. **MEDIUM:** Validate inputs, check for missing data, add reproducibility
4. **MEDIUM:** Improve model evaluation metrics
5. **LOW:** Tune hyperparameters, handle categorical features</t>
  </si>
  <si>
    <t>The provided Python code is a good starting point for a machine learning workflow, but it contains several issues, bugs, and bad practices that are common in initial implementations.
Here's a breakdown of the problems:
1.  **No Data Validation/Error Handling:**
    *   **File Not Found:** `pd.read_csv("cars.csv")` assumes `cars.csv` exists in the current working directory. If it doesn't, a `FileNotFoundError` will occur, crashing the script. There's no `try-except` block to handle this gracefully.
    *   **Missing Columns:** `df.drop("price", axis=1)` and `df["price"]` assume that a column named "price" definitely exists in the DataFrame. If "price" is misspelled or missing, it will raise a `KeyError`, crashing the script.
2.  **No Data Preprocessing/Cleaning (Assumes Clean Data):**
    *   **Non-Numeric Features:** The code assumes that all columns in `X` (after dropping "price") are numeric and suitable for `StandardScaler` and `Ridge` regression.
        *   If `X` contains categorical features (e.g., strings like 'make', 'model', 'color'), `StandardScaler` will raise a `TypeError` or `ValueError` because it cannot operate on non-numeric data.
        *   These categorical features would need proper encoding (e.g., One-Hot Encoding, Label Encoding) before being passed to `StandardScaler` and `Ridge`.
    *   **Missing Values:** The code does not handle missing values (`NaN`).
        *   If `X` or `y` contains `NaN` values, `StandardScaler` will raise an error (`ValueError: Input contains NaN, infinity or a value too large for dtype('float64').`) or `Ridge` might produce incorrect results or errors depending on its internal handling.
        *   Missing values would need to be imputed or rows with missing values dropped.
3.  **Data Leakage in Scaling:**
    *   **Problem:** The `StandardScaler` is fit on the *entire dataset* (`X`) before cross-validation (`X_scaled = scaler.fit_transform(X)`). This means the mean and standard deviation used for scaling are calculated using data from *all* samples, including those that will eventually be in the test folds during cross-validation.
    *   **Impact:** This is a form of data leakage. Information from the test set "leaks" into the training process (specifically, into the scaling parameters). This can lead to an overly optimistic performance estimate (inflated R2 score) because the model has indirectly "seen" parts of the test data during preprocessing.
    *   **Solution:** Preprocessing steps like scaling should be performed *inside* the cross-validation loop, typically by using a `sklearn.pipeline.Pipeline`. This ensures that for each fold, the scaler learns its parameters *only* from the training data of that specific fold and then transforms both the training and test data of that fold independently.
4.  **Magic Number/Hardcoded Hyperparameter:**
    *   `model = Ridge(alpha=1.0)`: The `alpha` value of 1.0 is chosen arbitrarily without any justification or hyperparameter tuning. While acceptable for a simple demonstration, in a real-world scenario, this hyperparameter should be tuned using techniques like `GridSearchCV` or `RandomizedSearchCV` within the cross-validation process to find the optimal `alpha` for the specific dataset.
### Corrected/Improved Code Example (Addressing Major Issues)
```python
import pandas as pd
from sklearn.preprocessing import StandardScaler, OneHotEncoder
from sklearn.linear_model import Ridge
from sklearn.model_selection import cross_val_score
from sklearn.compose import ColumnTransformer
from sklearn.pipeline import Pipeline
import numpy as np
try:
    df = pd.read_csv("cars.csv")
except FileNotFoundError:
    print("Error: 'cars.csv' not found. Please ensure the file is in the correct directory.")
    exit()
# --- Data Preprocessing (Improved) ---
# Check for 'price' column existence
if "price" not in df.columns:
    print("Error: 'price' column not found in the dataset.")
    exit()
X = df.drop("price", axis=1)
y = df["price"]
# Identify numerical and categorical columns
# Assuming numerical columns are int64 or float64, and categorical are object or category
numerical_cols = X.select_dtypes(include=np.number).columns
categorical_cols = X.select_dtypes(include='object').columns # or 'category'
# Create a preprocessor using ColumnTransformer
# This allows applying different transformations to different column types
preprocessor = ColumnTransformer(
    transformers=[
        ('num', StandardScaler(), numerical_cols), # Scale numerical features
        ('cat', OneHotEncoder(handle_unknown='ignore'), categorical_cols) # One-hot encode categorical features
    ],
    remainder='passthrough' # Keep other columns (e.g., boolean) as they are, or drop them if not needed
)
# Create a pipeline that first preprocesses the data and then applies the model
# This prevents data leakage by ensuring scaling and encoding are fit ONLY on the training data of each fold.
model_pipeline = Pipeline(steps=[
    ('preprocessor', preprocessor),
    ('regressor', Ridge(alpha=1.0)) # alpha could be tuned here
])
# --- Cross-Validation ---
# Now, cross_val_score will handle fitting the preprocessor and regressor on each fold's training data.
scores = cross_val_score(model_pipeline, X, y, cv=5, scoring="r2")
print(f"Mean R2: {scores.mean():.4f} (+/- {scores.std():.4f})")
# Example of hyperparameter tuning (not run, just for illustration)
# from sklearn.model_selection import GridSearchCV
# param_grid = {'regressor__alpha': [0.1, 1.0, 10.0, 100.0]}
# grid_search = GridSearchCV(model_pipeline, param_grid, cv=5, scoring='r2', n_jobs=-1)
# grid_search.fit(X, y)
# print(f"Best alpha: {grid_search.best_params_['regressor__alpha']}")
# print(f"Best R2 from GridSearchCV: {grid_search.best_score_:.4f}")
```
**Key Improvements in the Corrected Code:**
*   **Error Handling:** Added `try-except` for `FileNotFoundError` and checks for the "price" column.
*   **Comprehensive Preprocessing:**
    *   Uses `ColumnTransformer` to apply `StandardScaler` to numerical columns and `OneHotEncoder` to categorical columns.
    *   Handles potential non-numeric (e.g., string/object) columns explicitly.
    *   `handle_unknown='ignore'` in `OneHotEncoder` prevents errors if new categories appear in the test set.
    *   *Self-correction:* For missing values, you'd add an `SimpleImputer` step within the `num` or `cat` transformers in the `ColumnTransformer`.
*   **Data Leakage Prevention:** The `StandardScaler` and `OneHotEncoder` are encapsulated within a `Pipeline`. When `cross_val_score` is called, the pipeline is fit and transformed independently for each fold's training and testing data, completely preventing data leakage.
*   **Modularity:** The `ColumnTransformer` makes the preprocessing steps clear and extensible.
*   **Hyperparameter Tuning (Conceptual):** Added comments indicating where hyperparameter tuning (`GridSearchCV`) would fit into the workflow for `alpha`.</t>
  </si>
  <si>
    <t>The provided Python code contains a potential issue related to data leakage. The data scaling process is done on the entire dataset before the cross-validation step. Here's why this could be problematic:
1. **StandardScaler Usage:** The `StandardScaler` is applied to the entire dataset `X` before any cross-validation is carried out. This means that the scaling parameters (mean and standard deviation) are computed using all the data, including both training and test folds of each cross-validation split.
2. **Data Leakage Explanation:** When cross-validation is performed, it should mimic the process of using the model in practice, where the test data is unseen. By fitting the `StandardScaler` on the entire dataset, information from the test data indirectly influences the scaling parameters applied to the training data. This results in a form of data leakage, as the scaling of the test data is informed by the test data itself, which wouldn't be the case in a real-world scenario.
3. **Solution:** To avoid this issue, the `StandardScaler` should be applied separately to each cross-validation train-test split within the `cross_val_score` function. This is typically done by incorporating the scaler within a pipeline or by manually scaling within a custom cross-validation routine. Here's how you could adjust the code to prevent data leakage using a pipeline:
```python
from sklearn.pipeline import Pipeline
from sklearn.preprocessing import StandardScaler
from sklearn.model_selection import cross_val_score
from sklearn.linear_model import Ridge
# Load data
df = pd.read_csv("cars.csv")
X = df.drop("price", axis=1)
y = df["price"]
# Define the pipeline
pipeline = Pipeline([
    ('scaler', StandardScaler()),
    ('model', Ridge(alpha=1.0))
])
# Perform cross-validation
scores = cross_val_score(pipeline, X, y, cv=5, scoring="r2")
print(f"Mean R2: {scores.mean():.4f} (+/- {scores.std():.4f})")
```
By using a pipeline, the scaling is applied independently to each training set within the cross-validation process, preventing any information from the test data in each fold from leaking into the training process.</t>
  </si>
  <si>
    <t>The provided code snippet appears to contain a form of data leakage due to the way the `StandardScaler` is used. Here's a detailed explanation of where the leakage occurs and why it is a problem:
### Identification of Data Leakage
1. **Using `fit_transform` on the entire dataset**: The `StandardScaler` instance is fitted and transformed on the entire dataset `X` before any model training takes place. This means that the scaling parameters (mean and standard deviation) are calculated using the entire dataset, including data points that will later be used as part of the test set during the cross-validation.
   ```python
   scaler = StandardScaler()
   X_scaled = scaler.fit_transform(X)  # Fit and transform on the whole dataset
   ```
2. **Cross-validation mechanism**: When using `cross_val_score`, the data is split into training and testing sets for each cross-validation fold. However, since `X_scaled` has already been transformed with the scaler fitted on the entire dataset, the test data in each fold has influenced the scaling parameters. This leads to a scenario where the model has indirectly "seen" aspects of the test data during training, thus causing data leakage.
### Why This Is a Problem
Data leakage is problematic because it can lead to overly optimistic performance metrics. The model appears to perform better during cross-validation than it would in real-world deployment because it has been inadvertently exposed to information from the test set. In practice, this means that the model's generalization to unseen data may be poor, as it was not trained in a truly independent fashion.
### Correct Approach
To avoid this form of data leakage, the scaling should be done separately for each fold of the cross-validation. That means you should fit the `StandardScaler` on the training data of each fold and then transform both the train and test sets separately. Here's how you can modify the code:
```python
import pandas as pd
from sklearn.preprocessing import StandardScaler
from sklearn.model_selection import cross_val_score, KFold
from sklearn.linear_model import Ridge
import numpy as np
df = pd.read_csv("cars.csv")
X = df.drop("price", axis=1)
y = df["price"]
# Create a KFold object
kf = KFold(n_splits=5)
scores = []
for train_index, test_index in kf.split(X):
    X_train, X_test = X.iloc[train_index], X.iloc[test_index]
    scaler = StandardScaler()
    X_train_scaled = scaler.fit_transform(X_train)  # Fit on training data
    X_test_scaled = scaler.transform(X_test)  # Transform test data using the same scaler
    model = Ridge(alpha=1.0)
    model.fit(X_train_scaled, y.iloc[train_index])
    score = model.score(X_test_scaled, y.iloc[test_index])
    scores.append(score)
print(f"Mean R2: {np.mean(scores):.4f} (+/- {np.std(scores):.4f})")
```
In this corrected version, we ensure that scaling happens only on the training data for each fold, thus preventing data leakage.</t>
  </si>
  <si>
    <t>## Data Leakage Analysis
**Yes, this code contains data leakage.** There is one clear instance.
---
### Where the Leakage Occurs
```python
# LEAKAGE HERE: scaler sees ALL data before cross-validation splits
scaler = StandardScaler()
X_scaled = scaler.fit_transform(X)  # fitted on entire dataset including test folds
# Cross-validation then operates on already-contaminated scaled data
scores = cross_val_score(model, X_scaled, y, cv=5, scoring="r2")
```
The `StandardScaler` is fitted on the **entire dataset** before cross-validation begins. This means the mean and standard deviation used for scaling are computed using **all observations**, including those that will later serve as test folds.
---
### Why This Is a Problem
`StandardScaler` computes two statistics per feature during `.fit()`:
```
μ = mean(feature)
σ = std(feature)
```
When these are computed on all data first, each test fold's observations **have already influenced the scaling parameters**. The model indirectly "sees" test fold data during training because:
1. The test fold's values shift μ and σ
2. Training data is scaled using those contaminated statistics
3. This is a subtle but real form of information leakage from test to train
In practice, the performance inflation from scaling leakage is usually **modest but misleading** — it produces an optimistic R² estimate that won't generalize accurately.
---
### Correct Fix: Use a Pipeline
Wrap the scaler and model together so that fitting happens **only on training folds** during each cross-validation split:
```python
import pandas as pd
from sklearn.preprocessing import StandardScaler
from sklearn.model_selection import cross_val_score
from sklearn.linear_model import Ridge
from sklearn.pipeline import Pipeline  # key addition
df = pd.read_csv("cars.csv")
X = df.drop("price", axis=1)
y = df["price"]
# Scaler is now part of the pipeline — fit only on training fold each time
pipeline = Pipeline([
    ("scaler", StandardScaler()),
    ("model", Ridge(alpha=1.0))
])
scores = cross_val_score(pipeline, X, y, cv=5, scoring="r2")
print(f"Mean R2: {scores.mean():.4f} (+/- {scores.std():.4f})")
```
Now, in each of the 5 CV iterations:
```
Fold k:
  ├── Training folds (4/5 of data) → scaler.fit_transform() → model.fit()
  └── Test fold  (1/5 of data)     → scaler.transform()     → model.predict()
```
The test fold **never influences** the scaler's parameters, producing an honest performance estimate.
---
### Summary
| Aspect | Buggy Code | Fixed Code |
|---|---|---|
| Scaler fitted on | Entire dataset | Training fold only |
| Test data influences scaling | ✅ Yes (leakage) | ❌ No |
| Performance estimate | Optimistically biased | Honest |
| Reflects production behavior | No | Yes |</t>
  </si>
  <si>
    <t># Data Leakage Review
## ⚠️ **DATA LEAKAGE DETECTED**
This code contains **serious data leakage** in the preprocessing step.
### The Problem
```python
scaler = StandardScaler()
X_scaled = scaler.fit_transform(X)  # ❌ FIT ON ENTIRE DATASET
model = Ridge(alpha=1.0)
scores = cross_val_score(model, X_scaled, y, cv=5, scoring="r2")  # Then CV on scaled data
```
**The scaler is fit on the entire dataset `X` before cross-validation.** This means:
1. Statistics (mean and standard deviation) are computed using **all data**, including test fold samples
2. These statistics are then applied to scale the test folds during cross-validation
3. Information from future test data leaks into the scaling transformation
4. Cross-validation scores are **artificially inflated** and unrealistic
### Why This Is a Problem
In real deployment, you won't have access to test data's statistics when fitting the scaler. The scaler should only see training data. By fitting on the full dataset first, you're giving the model an unfair advantage that wouldn't exist in production.
---
## ✅ Corrected Code
```python
from sklearn.pipeline import Pipeline
df = pd.read_csv("cars.csv")
X = df.drop("price", axis=1)
y = df["price"]
# Option 1: Use Pipeline (RECOMMENDED)
pipeline = Pipeline([
    ("scaler", StandardScaler()),
    ("model", Ridge(alpha=1.0))
])
scores = cross_val_score(pipeline, X, y, cv=5, scoring="r2")
print(f"Mean R2: {scores.mean():.4f} (+/- {scores.std():.4f})")
# Option 2: Manual approach (if you need more control)
# The scaler will be fit only on each training fold, not the test fold
```
**Why this fixes it:** The `Pipeline` ensures that `StandardScaler` is fit only on each fold's training data, not on the test fold. This properly simulates the train-test workflow.</t>
  </si>
  <si>
    <t>Yes, this code **does contain a form of data leakage**.
**Where the Data Leakage Occurs and Why It's a Problem:**
The data leakage occurs in this line:
```python
X_scaled = scaler.fit_transform(X)
```
And it's problematic because `X_scaled` is then used directly in `cross_val_score`:
```python
scores = cross_val_score(model, X_scaled, y, cv=5, scoring="r2")
```
**Explanation:**
1.  **`scaler.fit_transform(X)`:** When `StandardScaler` is `fit` on `X`, it calculates the mean and standard deviation for each feature using the *entire dataset* `X`. Then, it transforms `X` using these calculated statistics.
2.  **`cross_val_score`:** This function performs k-fold cross-validation. In each fold, it splits `X_scaled` into a training set and a testing set.
3.  **The Leak:** Because `scaler.fit()` was performed *before* any data splitting, the statistics (mean, standard deviation) used to scale the features were computed using *all* the data – including the data points that will eventually end up in the test sets of various cross-validation folds.
4.  **Consequence:** When the model is trained on a given training fold (which is already scaled), it has effectively "seen" information about the distribution (mean, standard deviation) of the data points that will be in its corresponding test fold. This gives the model an unfair advantage, leading to an artificially optimistic evaluation of its performance (e.g., an R2 score that is higher than it would be on truly unseen data). The model's reported performance will not accurately reflect its generalization capability.
**How to Fix It (Prevent Data Leakage):**
To prevent this data leakage, the `StandardScaler` (or any other preprocessing step that learns from data) must be applied *independently within each cross-validation fold*. This ensures that the scaler only learns from the training data of that specific fold.
The most robust way to achieve this in scikit-learn is by using a `Pipeline`:
```python
import pandas as pd
from sklearn.preprocessing import StandardScaler
from sklearn.model_selection import cross_val_score
from sklearn.linear_model import Ridge
from sklearn.pipeline import Pipeline # Import Pipeline
df = pd.read_csv("cars.csv")
X = df.drop("price", axis=1)
y = df["price"]
# Create a pipeline that first scales, then models
pipeline = Pipeline([
    ('scaler', StandardScaler()),
    ('regressor', Ridge(alpha=1.0))
])
# Pass the pipeline to cross_val_score
# cross_val_score will now correctly apply fit_transform on train_fold
# and transform on test_fold for the scaler within each iteration.
scores = cross_val_score(pipeline, X, y, cv=5, scoring="r2")
print(f"Mean R2: {scores.mean():.4f} (+/- {scores.std():.4f})")
```
By using a `Pipeline`, `cross_val_score` ensures that for each fold:
1.  The `StandardScaler` is `fit` *only on the training data* of that fold.
2.  The `StandardScaler` then `transforms` both the training data and the test data using the statistics learned *only from that training data*.
3.  The `Ridge` model is then `fit` on the scaled training data and evaluated on the scaled test data.
This prevents any information from the test set from inadvertently influencing the preprocessing steps applied to the training data.</t>
  </si>
  <si>
    <t>6B</t>
  </si>
  <si>
    <t>cv_preprocessing_clean</t>
  </si>
  <si>
    <t>The given Python code appears to perform a cross-validated Ridge regression on a dataset containing car prices. However, there are a few areas that could potentially cause issues or be considered bad practices:
1. **Missing Value Handling:**
   - The code does not check for or handle missing values in the dataset. If there are any missing values in the columns used for prediction, this will cause errors during model training or evaluation.
2. **Data Type Handling:**
   - The code assumes that all features in `X` are numeric and suitable for scaling. If there are categorical features, these should be encoded appropriately either via one-hot encoding or another suitable method before scaling.
3. **Feature Scaling:**
   - When using pipelines with `StandardScaler`, ensure that all features are numeric. If there are any non-numeric features in `X`, `StandardScaler` will raise an error.
4. **Readability and Error Handling:**
   - The filepath "cars.csv" is hardcoded, which can break if the file is not in the working directory. It’s better to use a configuration or pass the file path as an argument for better adaptability.
   - There is no try-except block around file reading. If the file is missing or another I/O error occurs, this would cause the program to crash. Proper error handling or a user-friendly message should be included.
5. **Model Validation:**
   - While `cross_val_score` provides a good quick check of model performance, it’s often recommended to also examine other metrics, such as Mean Absolute Error (MAE), Mean Squared Error (MSE), etc., depending on the requirements, to get a robust understanding of model performance.
6. **Parameter Tuning:**
   - The Ridge regression lambda parameter (alpha) is arbitrarily set to 1.0 without justification or tuning. Hyperparameter tuning, such as through grid search or random search, is generally recommended to find the optimal parameter values.
7. **Printing Precision:**
   - The precision used in the `print` statement is tied to four decimal places, which is generally fine but could be adjusted based on the significant digits necessary for the problem domain.
Addressing these points will improve the code's robustness, flexibility, and correctness.</t>
  </si>
  <si>
    <t>The provided Python code performs a regression analysis using a pipeline that includes standard scaling and Ridge regression on a dataset of cars. While the code is generally well-structured, there are several issues and potential improvements. Here are the identified problems:
1. **Missing Handling of Categorical Variables**:
   - **Problem**: The code assumes that all columns in the DataFrame `X` are numerical. If there are any categorical variables, this will raise an error when passed to the model.
   - **Suggestion**: Before fitting the model, categorical variables should be encoded (e.g., using OneHotEncoder or LabelEncoder from sklearn). This ensures that the model can handle categorical inputs properly.
2. **No Data Cleaning or Handling of Missing Values**:
   - **Problem**: There's no check for or handling of missing values in the DataFrame. If any of the rows contain NaN values, the model will fail during training.
   - **Suggestion**: Consider adding a check for missing values and decide on an appropriate strategy (e.g., removing or imputing them) before training the model.
3. **Hardcoded File Path**:
   - **Problem**: The file path `"cars.csv"` is hardcoded, which can lead to issues if the file is not in the same directory or does not exist.
   - **Suggestion**: It is better to use error handling (try-except) around file loading or to allow the file path to be passed as an argument to the script.
4. **Variance in Cross-Validation Output**:
   - **Potential Issue**: The use of `cv=5` for cross-validation may not be appropriate for small datasets. The choice of `cv` should consider the dataset size to ensure that it provides reliable estimates.
   - **Suggestion**: You might consider using techniques like `KFold` or `StratifiedKFold` for better control over the cross-validation process, especially if the data is imbalanced.
5. **Lack of Feature Importance or Model Analysis**:
   - **Problem**: There is no analysis or validation of feature importance or model coefficients which can be useful to understand the impact of each feature.
   - **Suggestion**: Consider adding steps to analyze the model coefficients after fitting the model, which can help in interpreting the results.
6. **Not Using a Context for Predicting or Training**:
   - **Issue**: The model is not explicitly fitted before evaluation; it assumes that cross_val_score will handle fitting, which is correct, but it might be clearer to show that the model is ready for prediction for someone unfamiliar with `cross_val_score`.
   - **Suggestion**: Provide a clear structure for training and predicting, especially for readers who may not be familiar with cross-validation techniques.
7. **Lack of Comments or Documentation**:
   - **Problem**: The code lacks comments explaining what each part does, which could make it difficult for others (or even yourself in the future) to understand the logic behind the code.
   - **Suggestion**: Commenting the code or providing a documentation string at the top of the script can enhance readability and maintainability.
8. **Potential Overfitting with Ridge Regression**:
   - **Note**: While not a bug, using Ridge regression with a specific alpha might not be optimal depending on the dataset's distribution and characteristics.
   - **Suggestion**: Consider performing hyperparameter tuning (like using GridSearchCV) to find the best alpha value.
Here’s a revised version of the code that addresses some of these concerns:
```python
import pandas as pd
from sklearn.preprocessing import StandardScaler, OneHotEncoder
from sklearn.compose import ColumnTransformer
from sklearn.model_selection import cross_val_score
from sklearn.pipeline import Pipeline
from sklearn.linear_model import Ridge
from sklearn.impute import SimpleImputer
# Load the data
try:
    df = pd.read_csv("cars.csv")
except FileNotFoundError as e:
    print(f"Error loading data: {e}")
    exit()
# Define features and target variable
X = df.drop("price", axis=1)
y = df["price"]
# Identify categorical and numerical columns
numeric_cols = X.select_dtypes(include=['float64', 'int64']).columns.tolist()
categorical_cols = X.select_dtypes(include=['object']).columns.tolist()
# Create a preprocessing pipeline
numeric_transformer = Pipeline(steps=[
    ('imputer', SimpleImputer(strategy='mean')),  # Handling missing values
    ('scaler', StandardScaler())
])
categorical_transformer = Pipeline(steps=[
    ('imputer', SimpleImputer(strategy='constant', fill_value='missing')),
    ('onehot', OneHotEncoder(handle_unknown='ignore'))
])
preprocessor = ColumnTransformer(
    transformers=[
        ('num', numeric_transformer, numeric_cols),
        ('cat', categorical_transformer, categorical_cols)
    ])
# Create a complete pipeline with preprocessing and model
model = Pipeline(steps=[('preprocessor', preprocessor),
                         ('regressor', Ridge(alpha=1.0))])
# Perform cross-validation
scores = cross_val_score(model, X, y, cv=5, scoring="r2")
print(f"Mean R2: {scores.mean():.4f} (+/- {scores.std():.4f})")
```
This version includes features for handling categorical variables, missing values, and adds basic error handling when loading the CSV file, while also maintaining organization through preprocessing pipelines.</t>
  </si>
  <si>
    <t>## Code Review
Overall, this code is reasonably well-structured, but has several issues ranging from critical to stylistic concerns.
---
### 1. No Error Handling for File Loading
```python
# Current - will crash with unhelpful error if file missing
df = pd.read_csv("cars.csv")
# Better
import os
if not os.path.exists("cars.csv"):
    raise FileNotFoundError("cars.csv not found in working directory")
df = pd.read_csv("cars.csv")
```
**Problem:** If the file doesn't exist or is malformed, the program crashes with a potentially confusing error and no cleanup or recovery path.
---
### 2. No Validation That Target Column Exists
```python
# Current - crashes with KeyError if column name differs
X = df.drop("price", axis=1)
y = df["price"]
# Better
TARGET = "price"
if TARGET not in df.columns:
    raise ValueError(f"Target column '{TARGET}' not found. Available: {df.columns.tolist()}")
```
**Problem:** A `KeyError` would be raised with no explanation if the column is named differently (e.g., `"Price"`, `"PRICE"`).
---
### 3. No Handling of Missing Values
```python
# Current - StandardScaler and Ridge will fail or produce NaN results with missing data
X = df.drop("price", axis=1)
# Better
print(f"Missing values:\n{df.isnull().sum()}")
df = df.dropna()  # or use imputation
# Alternative: add SimpleImputer to the pipeline
from sklearn.impute import SimpleImputer
model = make_pipeline(
    SimpleImputer(strategy="median"),
    StandardScaler(),
    Ridge(alpha=1.0)
)
```
**Problem:** Real-world datasets almost always contain missing values. `StandardScaler` will propagate `NaN` values silently, corrupting results without raising an error.
---
### 4. No Handling of Non-Numeric Features
```python
# Current - will crash if any column contains strings/categories
X = df.drop("price", axis=1)
# Better
non_numeric = X.select_dtypes(exclude=["number"]).columns.tolist()
if non_numeric:
    print(f"Warning: Dropping non-numeric columns: {non_numeric}")
    X = X.select_dtypes(include=["number"])
```
**Problem:** A car dataset almost certainly contains categorical columns (e.g., `make`, `fuel_type`). `StandardScaler` cannot handle strings and will raise a `ValueError`. These columns need encoding or explicit exclusion.
---
### 5. Standard Deviation Reporting Is Misleading
```python
# Current - std of only 5 numbers is not a reliable uncertainty estimate
print(f"Mean R2: {scores.mean():.4f} (+/- {scores.std():.4f})")
# Better - use 2 standard deviations (95% confidence interval convention)
print(f"Mean R2: {scores.mean():.4f} (+/- {scores.std() * 2:.4f})")
# Also consider reporting all fold scores for transparency
print(f"Individual fold scores: {scores.round(4)}")
print(f"Mean R2: {scores.mean():.4f} (+/- {scores.std() * 2:.4f})")
```
**Problem:** The `+/- std` convention in scikit-learn's own documentation uses `scores.std() * 2` to represent a ~95% confidence interval. Using one standard deviation understates uncertainty. With only 5 folds, individual fold scores should also be inspected.
---
### 6. Hardcoded Hyperparameter With No Justification
```python
# Current - alpha=1.0 is arbitrary
model = make_pipeline(StandardScaler(), Ridge(alpha=1.0))
# Better - tune it, or at minimum document the choice
from sklearn.model_selection import GridSearchCV
pipeline = make_pipeline(StandardScaler(), Ridge())
param_grid = {"ridge__alpha": [0.01, 0.1, 1.0, 10.0, 100.0]}
model = GridSearchCV(pipeline, param_grid, cv=5, scoring="r2")
```
**Problem:** `alpha=1.0` is the default and may not be appropriate for this dataset. Hyperparameters should be tuned or at least explicitly justified with a comment.
---
### 7. No Random State Set
```python
# Current - results differ between runs
scores = cross_val_score(model, X, y, cv=5, scoring="r2")
# Better - ensure reproducibility
from sklearn.model_selection import KFold
kf = KFold(n_splits=5, shuffle=True, random_state=42)
scores = cross_val_score(model, X, y, cv=kf, scoring="r2")
```
**Problem:** Without shuffling and a fixed `random_state`, results are not reproducible. The default `cv=5` does **not** shuffle data, which can cause systematic bias if the data is ordered (e.g., by year or price).
---
### 8. No Imports Grouped or Organized
```python
# Current - missing standard library imports used implicitly
import pandas as pd
from sklearn.preprocessing import StandardScaler
...
# Better - follow PEP 8 import order
# 1. Standard library
import os
# 2. Third-party
import pandas as pd
from sklearn.impute import SimpleImputer
from sklearn.linear_model import Ridge
from sklearn.model_selection import KFold, cross_val_score
from sklearn.pipeline import make_pipeline
from sklearn.preprocessing import StandardScaler
```
**Problem:** Minor style issue, but imports should be organized per PEP 8: standard library first, then third-party, then local. Also, `os` is not imported but would be needed for path validation.
---
### Summary Table
| # | Issue | Severity |
|---|-------|----------|
| 1 | No file existence check | High |
| 2 | No target column validation | High |
| 3 | No missing value handling | High |
| 4 | No categorical feature handling | High |
| 5 | Misleading std reporting | Medium |
| 6 | Hardcoded untuned hyperparameter | Medium |
| 7 | No random state / no shuffle | Medium |
| 8 | Import organization | Low |
The four **High** severity issues could all cause silent data corruption or crashes on a real dataset. The code is a reasonable starting point for a clean dataset but is not production-ready.</t>
  </si>
  <si>
    <t># Code Review: Issues and Problems
## 1. **No Error Handling for File I/O** ⚠️
```python
df = pd.read_csv("cars.csv")
```
**Problem:** The code assumes the file exists and is readable. If it doesn't, the program crashes with an unhelpful error.
**Fix:**
```python
try:
    df = pd.read_csv("cars.csv")
except FileNotFoundError:
    print("Error: cars.csv not found")
    exit(1)
except Exception as e:
    print(f"Error reading file: {e}")
    exit(1)
```
---
## 2. **No Data Validation** ⚠️
```python
X = df.drop("price", axis=1)
y = df["price"]
```
**Problems:**
- Assumes "price" column exists (will crash if it doesn't)
- No check for missing values or data types
- No handling of non-numeric columns
**Fix:**
```python
if "price" not in df.columns:
    raise ValueError("'price' column not found in dataset")
df = df.dropna()  # or handle missing values appropriately
X = df.drop("price", axis=1)
y = df["price"]
# Ensure all features are numeric
X = X.select_dtypes(include=['number'])
```
---
## 3. **Hardcoded Hyperparameters** 🔴
```python
model = make_pipeline(StandardScaler(), Ridge(alpha=1.0))
scores = cross_val_score(model, X, y, cv=5, scoring="r2")
```
**Problems:**
- `alpha=1.0` is arbitrary and likely not optimal
- `cv=5` is hardcoded with no justification
- No hyperparameter tuning
**Fix:**
```python
from sklearn.model_selection import GridSearchCV
param_grid = {'ridge__alpha': [0.001, 0.01, 0.1, 1.0, 10.0]}
model = make_pipeline(StandardScaler(), Ridge())
grid_search = GridSearchCV(model, param_grid, cv=5, scoring="r2")
grid_search.fit(X, y)
print(f"Best alpha: {grid_search.best_params_}")
```
---
## 4. **Potential Data Leakage** 🔴
```python
model = make_pipeline(StandardScaler(), Ridge(alpha=1.0))
scores = cross_val_score(model, X, y, cv=5, scoring="r2")
```
**Problem:** While the pipeline prevents leakage here, it's good practice to be explicit. The StandardScaler is fit on each fold separately (which is correct), but this isn't obvious.
**Note:** This code is actually fine, but it's worth documenting that the pipeline handles this correctly.
---
## 5. **No Train/Test Split** ⚠️
```python
scores = cross_val_score(model, X, y, cv=5, scoring="r2")
```
**Problem:** Cross-validation gives you CV scores, but you should also evaluate on a held-out test set for final performance estimation.
**Fix:**
```python
from sklearn.model_selection import train_test_split
X_train, X_test, y_train, y_test = train_test_split(X, y, test_size=0.2, random_state=42)
model.fit(X_train, y_train)
test_score = model.score(X_test, y_test)
print(f"Test R2: {test_score:.4f}")
```
---
## 6. **No Random State Set** ⚠️
```python
scores = cross_val_score(model, X, y, cv=5, scoring="r2")
```
**Problem:** Results are not reproducible across runs due to random splitting.
**Fix:**
```python
scores = cross_val_score(model, X, y, cv=5, scoring="r2", random_state=42)
# Or use a splitter:
from sklearn.model_selection import KFold
cv = KFold(n_splits=5, shuffle=True, random_state=42)
scores = cross_val_score(model, X, y, cv=cv, scoring="r2")
```
---
## 7. **Limited Performance Metrics** ⚠️
```python
print(f"Mean R2: {scores.mean():.4f} (+/- {scores.std():.4f})")
```
**Problem:** R² alone may not be sufficient. For regression, you should also check MAE, RMSE, and residuals.
**Fix:**
```python
from sklearn.metrics import mean_absolute_error, mean_squared_error
model.fit(X_train, y_train)
y_pred = model.predict(X_test)
print(f"R2: {model.score(X_test, y_test):.4f}")
print(f"MAE: {mean_absolute_error(y_test, y_pred):.4f}")
print(f"RMSE: {np.sqrt(mean_squared_error(y_test, y_pred)):.4f}")
```
---
## Summary Table
| Issue | Severity | Type |
|-------|----------|------|
| No file error handling | Medium | Robustness |
| No data validation | High | Data Quality |
| Hardcoded hyperparameters | High | Model Quality |
| No train/test split | High | Methodology |
| No random state | Medium | Reproducibility |
| Limited metrics | Medium | Analysis |</t>
  </si>
  <si>
    <t>This Python code provides a basic machine learning pipeline for performing Ridge regression with cross-validation. While it functions for its stated purpose, it contains several issues related to robustness, best practices, and common omissions in real-world ML workflows.
Here's a breakdown of the problems:
---
### Issues, Bugs, and Bad Practices:
1.  **Hardcoded Filename &amp; Lack of Error Handling for Data Loading:**
    *   **Problem:** `pd.read_csv("cars.csv")` directly references a specific file name. If "cars.csv" is not in the working directory or doesn't exist, the program will crash with a `FileNotFoundError`.
    *   **Explanation:** Hardcoding file paths makes the script less portable and robust. There's no mechanism to handle the case where the file is missing.
    *   **Solution:**
        *   Use a variable for the filename, possibly passed as an argument or configured.
        *   Wrap the file loading in a `try-except` block to gracefully handle `FileNotFoundError` or other `IOError`s.
    ```python
    try:
        df = pd.read_csv("cars.csv")
    except FileNotFoundError:
        print("Error: 'cars.csv' not found. Please ensure the file is in the correct directory.")
        exit() # Or handle more gracefully
    except Exception as e:
        print(f"An error occurred while loading the CSV: {e}")
        exit()
    ```
2.  **No Data Inspection or Preprocessing:**
    *   **Problem:** The code immediately jumps to feature/target splitting and modeling without any preliminary data exploration or cleaning.
    *   **Explanation:**
        *   **Missing Values:** `StandardScaler` and `Ridge` cannot handle `NaN` values. If `cars.csv` contains missing data, the code will likely fail when `StandardScaler` attempts to fit or transform `X`, or `Ridge` attempts to train.
        *   **Categorical Features:** If `X` contains non-numeric (e.g., string) columns (e.g., car make, model name, color), `StandardScaler` will raise an error because it expects numerical input.
        *   **Irrelevant Columns:** `df.drop("price", axis=1)` assumes *all other* columns are relevant numerical features. There might be ID columns, text descriptions, or other features that should be dropped or handled differently.
        *   **Outliers:** No consideration for outliers that might skew the scaling or regression.
    *   **Solution:** Always perform initial data inspection (`df.head()`, `df.info()`, `df.describe()`, `df.isnull().sum()`, `df.select_dtypes(include='object').columns`) and implement appropriate preprocessing steps like:
        *   Handling missing values (imputation, dropping rows/columns).
        *   Encoding categorical features (OneHotEncoder, OrdinalEncoder).
        *   Feature selection or engineering.
        *   Outlier detection/treatment.
3.  **Implicit Assumption of "price" Column Existence:**
    *   **Problem:** `df.drop("price", axis=1)` and `y = df["price"]` assume that a column named "price" definitely exists in the DataFrame.
    *   **Explanation:** If the "price" column is misspelled or absent, `df.drop` will raise a `KeyError`.
    *   **Solution:** Check for the column's existence before attempting to use it.
    ```python
    if "price" not in df.columns:
        print("Error: 'price' column not found in the dataset.")
        exit()
    ```
4.  **No Independent Test Set for Final Evaluation:**
    *   **Problem:** The `cross_val_score` method provides a good estimate of how well the model generalizes *across different folds of the training data*. However, it does not provide an unbiased estimate of performance on truly *unseen* data, which is essential for assessing the final model's real-world performance.
    *   **Explanation:** All data used in `cross_val_score` (even the validation folds) has been "seen" by the model selection process to some extent. A truly independent test set, split *before* any modeling or cross-validation begins, is crucial for an unbiased final evaluation.
    *   **Solution:** Use `sklearn.model_selection.train_test_split` to create a separate test set before performing cross-validation.
    ```python
    from sklearn.model_selection import train_test_split
    # ... (load df, check 'price' column) ...
    X = df.drop("price", axis=1)
    y = df["price"]
    # Split data into training and test sets
    X_train, X_test, y_train, y_test = train_test_split(X, y, test_size=0.2, random_state=42)
    model = make_pipeline(StandardScaler(), Ridge(alpha=1.0))
    scores = cross_val_score(model, X_train, y_train, cv=5, scoring="r2") # Use X_train, y_train for CV
    print(f"Mean R2 (CV): {scores.mean():.4f} (+/- {scores.std():.4f})")
    # Fit the model on the full training data and evaluate on the test set
    model.fit(X_train, y_train)
    test_r2 = model.score(X_test, y_test)
    print(f"R2 on independent test set: {test_r2:.4f}")
    ```
5.  **Fixed Hyperparameter (`alpha=1.0`) Without Tuning:**
    *   **Problem:** The Ridge regressor is initialized with a fixed `alpha=1.0`. While this is the default, it's unlikely to be the optimal regularization strength for every dataset.
    *   **Explanation:** Hyperparameters like `alpha` significantly impact model performance. Choosing an arbitrary value without tuning can lead to suboptimal models (either underfitting or overfitting).
    *   **Solution:** Implement hyperparameter tuning using techniques like `GridSearchCV` or `RandomizedSearchCV` to find the best `alpha` value.
    ```python
    from sklearn.model_selection import GridSearchCV
    # ... (after train_test_split) ...
    param_grid = {'ridge__alpha': [0.1, 1.0, 10.0, 100.0]} # Note: 'ridge' is the step name in the pipeline
    grid_search = GridSearchCV(make_pipeline(StandardScaler(), Ridge()), param_grid, cv=5, scoring='r2', n_jobs=-1)
    grid_search.fit(X_train, y_train)
    print(f"Best alpha: {grid_search.best_params_['ridge__alpha']}")
    print(f"Best CV R2 score: {grid_search.best_score_:.4f}")
    # Evaluate the best model on the independent test set
    best_model = grid_search.best_estimator_
    test_r2_tuned = best_model.score(X_test, y_test)
    print(f"R2 on independent test set (tuned model): {test_r2_tuned:.4f}")
    ```
6.  **No Model Persistence:**
    *   **Problem:** After evaluating, the trained model is discarded. If this were a real application, you'd want to save the trained model to deploy it later without retraining.
    *   **Explanation:** In a production environment, you need to store the trained model (e.g., using `joblib` or `pickle`) to make predictions on new, unseen data.
    *   **Solution:** Save the trained model (either the one fit on `X_train, y_train` or the `best_estimator_` from `GridSearchCV`).
    ```python
    import joblib
    # ... (after training the final model) ...
    joblib.dump(model, 'ridge_model.pkl') # Or joblib.dump(best_model, 'tuned_ridge_model.pkl')
    print("Model saved as 'ridge_model.pkl'")
    # To load later:
    # loaded_model = joblib.load('ridge_model.pkl')
    # predictions = loaded_model.predict(new_data)
    ```
7.  **Magic Number for `cv`:**
    *   **Problem:** `cv=5` is a hardcoded "magic number."
    *   **Explanation:** While 5-fold cross-validation is common, using a literal value directly can make the code less readable and harder to modify if the desired number of folds changes across different experiments.
    *   **Solution:** Define it as a constant.
    ```python
    N_FOLDS = 5
    scores = cross_val_score(model, X, y, cv=N_FOLDS, scoring="r2")
    ```
8.  **Lack of Comments and Docstrings:**
    *   **Problem:** The code is a short script, but it lacks any comments explaining its purpose, specific steps, or assumptions.
    *   **Explanation:** For larger or more complex scripts, comments and docstrings are crucial for maintainability, understanding, and collaboration. Even for this small snippet, explaining the "price" column assumption or the cross-validation intent would be beneficial.
    *   **Solution:** Add comments to explain non-obvious parts and a module-level docstring if this were part of a larger file.
9.  **No `if __name__ == "__main__":` guard:**
    *   **Problem:** The script executes immediately when imported, which can be problematic if it contains side effects (like printing or loading files) that shouldn't happen when imported as a module.
    *   **Explanation:** This guard ensures that the code inside it only runs when the script is executed directly, not when it's imported as a module into another script.
    *   **Solution:** Wrap the main execution logic in this guard.
    ```python
    if __name__ == "__main__":
        # All your existing code here
        # ...
        df = pd.read_csv("cars.csv")
        # ...
        print(f"Mean R2: {scores.mean():.4f} (+/- {scores.std():.4f})")
    ```
---
### Revised Code Incorporating Solutions:
```python
import pandas as pd
from sklearn.preprocessing import StandardScaler
from sklearn.model_selection import cross_val_score, train_test_split, GridSearchCV
from sklearn.pipeline import make_pipeline
from sklearn.linear_model import Ridge
import joblib # For model persistence
# --- Configuration ---
DATA_FILE = "cars.csv"
TARGET_COLUMN = "price"
TEST_SIZE_RATIO = 0.2
RANDOM_SEED = 42
N_FOLDS = 5
# Define potential hyperparameters for tuning
RIDGE_ALPHA_VALUES = [0.01, 0.1, 1.0, 10.0, 100.0]
if __name__ == "__main__":
    # 1. Load Data with Error Handling
    try:
        df = pd.read_csv(DATA_FILE)
        print(f"Successfully loaded '{DATA_FILE}'. Shape: {df.shape}")
    except FileNotFoundError:
        print(f"Error: '{DATA_FILE}' not found. Please ensure the file is in the correct directory.")
        exit(1) # Exit with an error code
    except pd.errors.EmptyDataError:
        print(f"Error: '{DATA_FILE}' is empty.")
        exit(1)
    except Exception as e:
        print(f"An unexpected error occurred while loading the CSV: {e}")
        exit(1)
    # 2. Basic Data Inspection and Column Check
    if TARGET_COLUMN not in df.columns:
        print(f"Error: Target column '{TARGET_COLUMN}' not found in the dataset.")
        print(f"Available columns: {df.columns.tolist()}")
        exit(1)
    # (Add more comprehensive data inspection here if needed, e.g., df.info(), df.isnull().sum())
    # For simplicity, assuming all other columns are numeric features and no NaNs
    # In a real scenario, you'd handle NaNs, categorical features, etc.
    X = df.drop(TARGET_COLUMN, axis=1)
    y = df[TARGET_COLUMN]
    # Ensure X only contains numeric columns for StandardScaler
    numeric_cols = X.select_dtypes(include=['number']).columns
    if len(numeric_cols) &lt; len(X.columns):
        print("Warning: Non-numeric columns found in features. Dropping them for StandardScaler.")
        X = X[numeric_cols]
    if X.isnull().sum().sum() &gt; 0:
        print("Error: Missing values detected in feature matrix. Please handle them before proceeding.")
        # Example handling: X = X.fillna(X.mean())
        exit(1)
    # 3. Split Data into Training and Independent Test Sets
    X_train, X_test, y_train, y_test = train_test_split(
        X, y, test_size=TEST_SIZE_RATIO, random_state=RANDOM_SEED
    )
    print(f"Data split: Training {len(X_train)} samples, Test {len(X_test)} samples.")
    # 4. Define the Pipeline
    # The pipeline ensures that StandardScaler is fit ONLY on the training data
    # and transforms both training and test data consistently.
    pipeline = make_pipeline(StandardScaler(), Ridge())
    # 5. Hyperparameter Tuning using GridSearchCV on Training Data
    # 'ridge' refers to the name of the Ridge step in the pipeline
    param_grid = {'ridge__alpha': RIDGE_ALPHA_VALUES}
    grid_search = GridSearchCV(
        pipeline,
        param_grid,
        cv=N_FOLDS,
        scoring="r2",
        n_jobs=-1, # Use all available CPU cores
        verbose=1 # Show progress
    )
    print("\nStarting hyperparameter tuning with GridSearchCV...")
    grid_search.fit(X_train, y_train)
    print(f"\nBest alpha found: {grid_search.best_params_['ridge__alpha']:.2f}")
    print(f"Mean R2 (CV) with best alpha: {grid_search.best_score_:.4f}")
    print(f"Standard Deviation of R2 (CV): {grid_search.cv_results_['std_test_score'][grid_search.best_index_]:.4f}")
    # Get the best model from GridSearchCV
    best_model = grid_search.best_estimator_
    # 6. Evaluate the Best Model on the Independent Test Set
    test_r2 = best_model.score(X_test, y_test)
    print(f"\nFinal R2 score on independent test set: {test_r2:.4f}")
    # 7. Model Persistence: Save the Trained Model
    model_filename = "ridge_regression_model.pkl"
    try:
        joblib.dump(best_model, model_filename)
        print(f"Tuned model saved successfully as '{model_filename}'")
    except Exception as e:
        print(f"Error saving the model: {e}")
    # Example of loading the model later:
    # loaded_model = joblib.load(model_filename)
    # new_predictions = loaded_model.predict(new_data)
```</t>
  </si>
  <si>
    <t>The provided code does not contain data leakage. Here's a breakdown of why it is free of data leakage:
1. **Data Splitting Using Cross-Validation**: The code uses `cross_val_score` with `cv=5`, which ensures that the data is split into 5 folds for cross-validation. For each fold, a portion of the data is used as the training set, and the other part is used as the test set. The cross-validation process inherently keeps the test set separate and not accessible to the training process during each fold.
2. **Pipeline Usage**: The code uses a pipeline (`make_pipeline(StandardScaler(), Ridge(alpha=1.0))`), which ensures that data transformations (in this case, standard scaling) are only applied to the training data within each cross-validation fold. The parameters learned during scaling (such as mean and standard deviation) are computed on the training split and then applied to both the training and test splits separately during each cross-validation iteration. This practice prevents information about the test data from leaking into the training process.
3. **Feature and Target Data Handling**: The features `X` and the target `y` are appropriately separated. The operation `df.drop("price", axis=1)` ensures that only feature columns are used for training, while the target (`price`) is isolated. There are no additional feature engineering steps that might include target leakage in the pipeline shown.
4. **Absence of Future Information**: There is no direct indication in the code that any features encode information not available at prediction time, such as leaking future information.
Overall, the process of preprocessing (scaling) and model training/validation is correctly segregated by the use of pipelines and cross-validation, ensuring no data leakage occurs from the test set to the training set during model evaluation.</t>
  </si>
  <si>
    <t>The provided Python machine learning pipeline code does not contain any form of data leakage. Here's a breakdown of the components involved in the code and an explanation of why it is free from data leakage:
1. **Data Preparation**: The dataset is read using `pd.read_csv`, and the feature set `X` is created by dropping the target variable `y`, which is the "price" column. This means that the target variable is explicitly separated from the features, which is good practice.
2. **Cross-Validation**: The pipeline uses `cross_val_score` with a 5-fold cross-validation technique. In this process, the dataset is split into 5 parts. For each fold, the model is trained on 4 parts of the data while the remaining part is used for validation. This ensures that no information from the validation set (which is part of the test set during modeling) is leaked into the training set.
3. **Pipeline Usage**: The use of `make_pipeline` with `StandardScaler` and `Ridge` integrates scaling and modeling into a single object. When cross-validation is conducted, the scaling is performed within each fold using only the training data of that fold to compute the mean and variance for scaling. This prevents any information from the test fold from influencing the scaling parameters used during training.
4. **No Future Data Included**: Since all transformations (like scaling) and model fitting happen inside the `cross_val_score` method, there's no risk that future data or information from the validation set would be used during training.
**Conclusion**: The design of the code ensures that training and validation sets remain distinct, and transformations based on the overall dataset do not occur. Hence, it is free of data leakage. The model's performance evaluation is credible, as it measures the predictive capability based solely on the training data, adhering to standard practices in machine learning to prevent data leakage.</t>
  </si>
  <si>
    <t>## Code Review: Data Leakage Analysis
### Verdict: **No Data Leakage**
This code is correctly structured and does not contain data leakage. Here's why:
---
### Why This Code Is Safe
**The `make_pipeline` + `cross_val_score` combination is the key.**
`cross_val_score` with a `Pipeline` object handles each fold correctly:
```python
# What sklearn does internally for each of the 5 folds:
# 1. Split indices into train_idx and test_idx
# 2. Fit the ENTIRE pipeline on X[train_idx] only:
#    - StandardScaler.fit_transform(X[train_idx])  ← scaler sees ONLY training data
#    - Ridge.fit(X_train_scaled, y[train_idx])
# 3. Transform test data using the already-fitted scaler:
#    - StandardScaler.transform(X[test_idx])       ← uses train stats, not test stats
# 4. Predict and score on transformed test data
```
The `StandardScaler` **learns its mean and standard deviation exclusively from the training fold**, then applies those statistics to the test fold. The test fold's distribution never influences the scaling parameters.
---
### What Leakage Would Look Like Here
For contrast, the following pattern **would** introduce leakage:
```python
# ❌ LEAKY VERSION — do not do this
scaler = StandardScaler()
X_scaled = scaler.fit_transform(X)  # Scaler sees ALL data, including test folds
model = Ridge(alpha=1.0)
scores = cross_val_score(model, X_scaled, y, cv=5, scoring="r2")
#                                ^^^^^^^^
# The test fold's mean/std already baked into X_scaled
```
This is a common mistake. Scaling the entire dataset before cross-validation allows test-set statistics to leak into the training process through the shared scaler parameters.
---
### Summary Table
| Concern | Status | Reason |
|---|---|---|
| Scaler fitted on full dataset | ✅ Safe | `Pipeline` ensures per-fold fitting |
| Test fold influences training | ✅ Safe | `cross_val_score` isolates folds correctly |
| Target leakage in features | ✅ Safe* | Standard feature/target split used |
| Future data leakage | ✅ Safe | No time-series ordering concerns raised |
*\*Target leakage in the **features themselves** cannot be assessed from this code alone — it depends on what columns `cars.csv` contains. For example, if `X` contained a column like `"sale_discount_from_msrp"` that was derived from `price`, that would be a **feature construction** leakage problem external to this pipeline.*
---
### Conclusion
The pipeline is correctly implemented. Using `make_pipeline` with `cross_val_score` is precisely the **recommended pattern** for avoiding preprocessing leakage in sklearn.</t>
  </si>
  <si>
    <t># Data Leakage Review
## Verdict: **NO DATA LEAKAGE**
This code is **free of data leakage**. Here's why:
### Correct Implementation
1. **Pipeline properly isolates preprocessing**: The `make_pipeline()` call ensures that `StandardScaler` and `Ridge` are bundled together. Crucially, when `cross_val_score()` executes, the scaler is **fit and transformed separately on each fold's training data**, preventing test set statistics from leaking into training.
2. **Cross-validation handles the split**: `cross_val_score()` with `cv=5` automatically:
   - Splits data into 5 folds
   - For each fold, fits the entire pipeline (scaler + model) on training data only
   - Evaluates on the held-out test fold
   - This happens 5 times with different splits
3. **No target leakage**: All features in `X` are predictor variables (the target `price` is correctly excluded). There are no features that encode information about the target that wouldn't be available at prediction time.
### Example of What Would Be Leakage (for reference)
If the code had done this instead, it **would** leak:
```python
# ❌ WRONG - Scaler fit on full data before splitting
scaler = StandardScaler()
X_scaled = scaler.fit_transform(X)  # Fit on ALL data
scores = cross_val_score(Ridge(), X_scaled, y, cv=5)
```
Here the scaler would use statistics from the entire dataset (including test folds), contaminating the training data with test information.
**Conclusion**: This is a well-constructed pipeline that properly implements cross-validation.</t>
  </si>
  <si>
    <t>The provided Python machine learning pipeline code is **free of data leakage**.
Here's a breakdown of why:
1.  **Handling of Preprocessing within Cross-Validation:**
    *   The code uses `sklearn.pipeline.make_pipeline` to combine `StandardScaler()` and `Ridge()` into a single `model` object.
    *   This pipeline is then passed to `sklearn.model_selection.cross_val_score`.
    *   `cross_val_score` internally splits the data into training and validation folds for each of the `cv=5` iterations.
    *   Crucially, for each fold, the `StandardScaler` (and subsequent `Ridge` model) is **fit only on the training data of that specific fold**. The mean and standard deviation for scaling are calculated exclusively from the training portion.
    *   Then, the *same* `StandardScaler` (with parameters learned from the training data) is used to *transform* the corresponding validation data before the `Ridge` model makes predictions.
    *   This ensures that no information from the validation (test) set is used to determine the scaling parameters during training, which is the correct approach to prevent data leakage from preprocessing.
2.  **Separation of Features and Target:**
    *   `X = df.drop("price", axis=1)` explicitly removes the target variable (`"price"`) from the feature set `X`. This prevents direct target leakage, where the target itself (or a direct derivative of it) might be used as a feature.
3.  **No Indiscriminate Feature Engineering:**
    *   The code does not perform any complex feature engineering steps (like creating new features based on the entire dataset *before* splitting) that could inadvertently encode information about the target from the future test set. We assume the original features in `cars.csv` are not inherently leaky (e.g., no feature like `price_category_from_price`).
In summary, the use of `make_pipeline` combined with `cross_val_score` is the standard and correct way to prevent data leakage from data transformations during model evaluation. The clear separation of features and target also addresses a common source of leakage.</t>
  </si>
  <si>
    <t>7A</t>
  </si>
  <si>
    <t>oversampling</t>
  </si>
  <si>
    <t>medium-hard</t>
  </si>
  <si>
    <t>The provided Python script is a typical implementation for handling a binary classification problem using the `GradientBoostingClassifier` from scikit-learn and handling class imbalance with SMOTE. However, there are several issues and areas for improvement in the code:
1. **No Error Handling**:
   - There is no error handling for reading the CSV file. If "fraud.csv" does not exist or is not accessible, the script will throw an error and stop execution. Consider adding a try-except block to handle file reading errors.
2. **No Data Preprocessing or Validation**:
   - The script does not handle potential missing data or NaN values, which could cause issues during model training or evaluation.
   - No data normalization or standardization is applied to features. Gradient boosting methods might benefit from feature scaling depending on the dataset.
3. **Avoiding Data Leakage**:
   - Although SMOTE is correctly applied before the train-test split, which is the right order to avoid data leakage, ensure that the validation set is entirely unseen data. If this is not desired behavior based on the problem context, make sure to communicate or adjust accordingly.
4. **Feature and Target Variable Naming**:
   - After dropping "is_fraud" from the dataframe, if "is_fraud" is not the exact column name, this will result in a KeyError. Ensure that this aligns with the actual column name in the dataset.
5. **Report Interpretation**:
   - The script only prints the classification report, but in practice, you should interpret these metrics and understand the performance in the context of the application's requirements. Depending on the imbalance level and business needs, focus on precision, recall, or F1-score.
6. **Hardcoded Parameters and Random States**:
   - While setting `random_state=42` ensures reproducibility, it's hardcoded. At the very least, clearly document its use if reproducible results are necessary. Consider allowing these parameters to be passed as function arguments or configuration settings for flexibility.
7. **Lack of Hyperparameter Tuning**:
   - The number of estimators for the `GradientBoostingClassifier` is arbitrarily set to 100. Consider using techniques like grid search or randomized search to find the best hyperparameters for the dataset.
8. **Library Imports**:
   - Not a bug, but importing libraries that you don't need (e.g., importing packages before verifying their usage) can clutter the code. Always ensure imports are necessary or optimize when possible.
Making these improvements can enhance the robustness, readability, and performance of the code.</t>
  </si>
  <si>
    <t xml:space="preserve">The provided Python code appears to perform a machine learning task aimed at fraud detection using a gradient boosting classifier. While the code accomplishes its goal, there are several potential issues, bugs, or bad practices worth mentioning:
1. **Error Handling for File Reading**:
   - **Issue**: The code does not handle errors that might occur when reading the CSV file (`fraud.csv`).
   - **Explanation**: If the file is missing or there is an issue in reading it, the program will crash. Instead, you should implement error handling to ensure robustness. For instance:
     ```python
     try:
         df = pd.read_csv("fraud.csv")
     except FileNotFoundError:
         print("Error: The file fraud.csv was not found.")
         exit()
     ```
2. **Data Leakage**:
   - **Issue**: Resampling is performed before splitting the dataset into training and testing sets.
   - **Explanation**: This can lead to data leakage where information from the training set is inadvertently used in testing, as the synthetic samples generated from SMOTE may resemble those in the test set. It is generally advisable to first split your data into training and testing sets and then apply resampling only to the training set:
     ```python
     X_train, X_test, y_train, y_test = train_test_split(X, y, test_size=0.2, random_state=42)
     smote = SMOTE(random_state=42)
     X_train_resampled, y_train_resampled = smote.fit_resample(X_train, y_train)
     ```
3. **Ignoring the Importance of Feature Scaling**:
   - **Issue**: The model training might be significantly affected if the input features are not on the same scale, particularly with algorithms sensitive to feature scaling.
   - **Explanation**: Although the GradientBoostingClassifier is less sensitive than other models (like SVM or KNN), it might still be beneficial to standardize or normalize features, especially when dealing with imbalanced datasets.
4. **Output Without Context**:
   - **Issue**: The `print` statement for the classification report does not provide any context.
   - **Explanation**: When printing outputs, it’s often helpful to provide context. A simple message before the report can make it more understandable:
     ```python
     print("Classification Report:\n")
     print(classification_report(y_test, y_pred))
     ```
5. **Hardcoding Model Parameters**:
   - **Issue**: The parameters for the `GradientBoostingClassifier` are hardcoded which can be inflexible.
   - **Explanation**: It may be better to keep model parameters in a configuration section or allow for parameter tuning through functions or external files. This facilitates experimentation with different algorithms and hyperparameters.
6. **Lack of Comments/Docstrings**:
   - **Issue**: The code lacks comments or docstrings to explain the purpose and functionality.
   - **Explanation**: Comments are crucial for code maintainability and clarity. Adding comments explaining each step would help future readers (or the developer themselves) understand the code's intention and logic.
7. **No Evaluation of Model Performance**:
   - **Issue**: While the classification report is printed, there is no subsequent evaluation of performance (like confusion matrix or ROC-AUC score).
   - **Explanation**: To assess the model's performance better, it’s often useful to visualize the results using other metrics like a confusion matrix or ROC curve.
8. **Use of Default Parameters**:
   - **Issue**: The model is instantiated with default parameters without consideration of optimization.
   - **Explanation**: While using defaults is sometimes acceptable, it can lead to suboptimal model performance. Consider using techniques like grid search or random search for hyperparameter optimization.
By addressing these points, you can enhance the quality, robustness, and clarity of the code while minimizing potential issues during execution.
</t>
  </si>
  <si>
    <t>## Code Review: Fraud Detection Pipeline
### Critical Issues
#### 1. Data Leakage via SMOTE Before Splitting
This is the most serious problem. SMOTE is applied to the **entire dataset** before the train/test split, which causes data leakage.
```python
# CURRENT (WRONG): Synthetic samples generated from full dataset
# leak information into the test set
smote = SMOTE(random_state=42)
X_resampled, y_resampled = smote.fit_resample(X, y)  # Uses ALL data
X_train, X_test, y_train, y_test = train_test_split(
    X_resampled, y_resampled, test_size=0.2, random_state=42
)
# CORRECT: Split first, then apply SMOTE only to training data
X_train, X_test, y_train, y_test = train_test_split(
    X, y, test_size=0.2, random_state=42, stratify=y  # also added stratify
)
smote = SMOTE(random_state=42)
X_train_resampled, y_train_resampled = smote.fit_resample(X_train, y_train)
model = GradientBoostingClassifier(n_estimators=100, random_state=42)
model.fit(X_train_resampled, y_train_resampled)
y_pred = model.predict(X_test)  # Evaluate on original, unaugmented test set
```
**Why it matters:** Synthetic minority samples are interpolated between real data points. If those real points appear in both training and test sets (after splitting resampled data), your model is evaluated on data it has effectively already seen, producing optimistically biased metrics.
---
#### 2. Missing `stratify` in Train/Test Split
Without `stratify=y`, the class distribution in fraud datasets (typically very imbalanced) may not be preserved across splits.
```python
# Without stratify, you might get very few or no fraud cases in test set
X_train, X_test, y_train, y_test = train_test_split(
    X, y, test_size=0.2, random_state=42
)
# Correct: preserve class distribution
X_train, X_test, y_train, y_test = train_test_split(
    X, y, test_size=0.2, random_state=42, stratify=y
)
```
---
### Significant Issues
#### 3. No Data Validation or Exploration
The code reads the CSV and immediately processes it with no checks.
```python
# Add basic validation after loading
df = pd.read_csv("fraud.csv")
# Check what you're working with
print(df.shape)
print(df.dtypes)
print(df.isnull().sum())
print(df["is_fraud"].value_counts(normalize=True))  # Class distribution
# Verify target column exists
assert "is_fraud" in df.columns, "Target column 'is_fraud' not found"
```
---
#### 4. No Preprocessing Pipeline
Raw features are fed directly into the model with no scaling or encoding, and the steps are not encapsulated in a pipeline, making the code fragile and error-prone in production.
```python
from sklearn.pipeline import Pipeline
from sklearn.preprocessing import StandardScaler
from sklearn.compose import ColumnTransformer
from sklearn.preprocessing import OneHotEncoder
# Identify column types
numeric_features = X.select_dtypes(include=["int64", "float64"]).columns
categorical_features = X.select_dtypes(include=["object"]).columns
preprocessor = ColumnTransformer(transformers=[
    ("num", StandardScaler(), numeric_features),
    ("cat", OneHotEncoder(handle_unknown="ignore"), categorical_features),
])
# Pipeline prevents leakage and bundles steps correctly
pipeline = Pipeline(steps=[
    ("preprocessor", preprocessor),
    ("classifier", GradientBoostingClassifier(n_estimators=100, random_state=42)),
])
pipeline.fit(X_train_resampled, y_train_resampled)
y_pred = pipeline.predict(X_test)
```
---
#### 5. No Handling of Missing Values
SMOTE and GradientBoostingClassifier will throw errors or produce incorrect results if NaN values are present.
```python
# Check and handle missing values explicitly
print(df.isnull().sum())
# Option 1: Drop rows (only if small fraction)
df = df.dropna()
# Option 2: Impute (better for larger missing fractions)
from sklearn.impute import SimpleImputer
# Include imputer in your preprocessing pipeline
```
---
#### 6. No Error Handling for File Loading
```python
# CURRENT: Will crash with an unreadable traceback if file is missing
df = pd.read_csv("fraud.csv")
# BETTER: Provide a clear, actionable error message
import os
filepath = "fraud.csv"
if not os.path.exists(filepath):
    raise FileNotFoundError(f"Dataset not found at '{filepath}'. Check the path.")
df = pd.read_csv(filepath)
```
---
### Minor Issues
#### 7. Metrics Choice May Be Misleading for Fraud Detection
`classification_report` alone is insufficient. For imbalanced fraud detection, you should also examine:
```python
from sklearn.metrics import (
    classification_report,
    roc_auc_score,
    average_precision_score,  # Most informative for imbalanced classes
    confusion_matrix,
    ConfusionMatrixDisplay,
)
print(classification_report(y_test, y_pred))
print(f"ROC-AUC:           {roc_auc_score(y_test, y_pred):.4f}")
print(f"Average Precision: {average_precision_score(y_test, y_pred):.4f}")
# Visualize confusion matrix
cm = confusion_matrix(y_test, y_pred)
ConfusionMatrixDisplay(cm).plot()
```
**Average precision (PR-AUC)** is especially valuable here because it focuses on the minority (fraud) class and is not skewed by the large number of true negatives.
---
#### 8. No Cross-Validation
A single train/test split gives high-variance estimates. Use cross-validation for more reliable evaluation.
```python
from sklearn.model_selection import StratifiedKFold, cross_validate
cv = StratifiedKFold(n_splits=5, shuffle=True, random_state=42)
cv_results = cross_validate(
    pipeline, X, y,
    cv=cv,
    scoring=["roc_auc", "average_precision"],
    return_train_score=True,
)
print(pd.DataFrame(cv_results).mean())
```
---
#### 9. No Model Persistence
```python
import joblib
# Save the trained model for later use
joblib.dump(pipeline, "fraud_model.pkl")
# Load it back
loaded_model = joblib.load("fraud_model.pkl")
```
---
### Corrected Full Example
```python
import os
import pandas as pd
import joblib
from sklearn.model_selection import train_test_split, StratifiedKFold, cross_validate
from sklearn.ensemble import GradientBoostingClassifier
from sklearn.metrics import (
    classification_report, roc_auc_score,
    average_precision_score, ConfusionMatrixDisplay, confusion_matrix,
)
from sklearn.pipeline import Pipeline
from sklearn.preprocessing import StandardScaler, OneHotEncoder
from sklearn.compose import ColumnTransformer
from sklearn.impute import SimpleImputer
from imblearn.over_sampling import SMOTE
from imblearn.pipeline import Pipeline as ImbPipeline  # Supports resamplers
# --- Load and validate data ---
filepath = "fraud.csv"
if not os.path.exists(filepath):
    raise FileNotFoundError(f"Dataset not found at '{filepath}'.")
df = pd.read_csv(filepath)
assert "is_fraud" in df.columns, "Target column 'is_fraud'</t>
  </si>
  <si>
    <t># Code Review: Issues and Problems
## 1. **Data Leakage (Critical)**
**Problem:** SMOTE is applied *before* train-test split.
```python
# WRONG - Current code
X_resampled, y_resampled = smote.fit_resample(X, y)  # Fit on full dataset
X_train, X_test, y_train, y_test = train_test_split(X_resampled, y_resampled, ...)
```
**Why it's bad:** SMOTE learns from the entire dataset (including test data), causing information leakage and inflated performance metrics.
**Fix:**
```python
X_train, X_test, y_train, y_test = train_test_split(X, y, test_size=0.2, random_state=42)
smote = SMOTE(random_state=42)
X_train_resampled, y_train_resampled = smote.fit_resample(X_train, y_train)
model.fit(X_train_resampled, y_train_resampled)
y_pred = model.predict(X_test)  # Use original test set
```
---
## 2. **No Input Validation**
**Problem:** No checks for file existence, empty data, or missing values.
```python
df = pd.read_csv("fraud.csv")  # What if file doesn't exist?
```
**Fix:**
```python
import os
if not os.path.exists("fraud.csv"):
    raise FileNotFoundError("fraud.csv not found")
df = pd.read_csv("fraud.csv")
if df.empty:
    raise ValueError("Dataset is empty")
if df.isnull().sum().sum() &gt; 0:
    print("Warning: Missing values detected")
    # Handle missing values
```
---
## 3. **No Feature Preprocessing**
**Problem:** Assumes all features are numeric and properly scaled. Categorical variables and different feature scales aren't handled.
**Fix:**
```python
from sklearn.preprocessing import StandardScaler, LabelEncoder
# Check data types
print(df.dtypes)
# Handle categorical features
categorical_cols = df.select_dtypes(include=['object']).columns
for col in categorical_cols:
    df[col] = LabelEncoder().fit_transform(df[col])
# Scale features
scaler = StandardScaler()
X = scaler.fit_transform(X_train)
X_test = scaler.transform(X_test)
```
---
## 4. **Hyperparameter Tuning Absent**
**Problem:** Uses default hyperparameters without optimization.
```python
model = GradientBoostingClassifier(n_estimators=100, random_state=42)  # Arbitrary choice
```
**Fix:**
```python
from sklearn.model_selection import GridSearchCV
param_grid = {
    'n_estimators': [50, 100, 200],
    'learning_rate': [0.01, 0.1],
    'max_depth': [3, 5, 7]
}
grid_search = GridSearchCV(GradientBoostingClassifier(random_state=42), 
                           param_grid, cv=5)
grid_search.fit(X_train_resampled, y_train_resampled)
model = grid_search.best_estimator_
```
---
## 5. **Imbalanced Data Not Addressed**
**Problem:** SMOTE alone doesn't fully solve class imbalance. No evaluation metrics for imbalanced data.
```python
print(classification_report(y_test, y_pred))  # Basic metrics only
```
**Fix:**
```python
from sklearn.metrics import roc_auc_score, precision_recall_curve
print(classification_report(y_test, y_pred))
print(f"ROC-AUC: {roc_auc_score(y_test, model.predict_proba(X_test)[:, 1])}")
```
---
## 6. **No Cross-Validation**
**Problem:** Single train-test split may not be representative.
**Fix:**
```python
from sklearn.model_selection import cross_validate
scores = cross_validate(model, X_train_resampled, y_train_resampled, cv=5)
print(f"Cross-validation scores: {scores['test_score']}")
```
---
## 7. **No Error Handling**
**Problem:** No try-except blocks for runtime errors.
**Fix:**
```python
try:
    df = pd.read_csv("fraud.csv")
    # ... rest of code
except FileNotFoundError:
    print("Error: File not found")
except Exception as e:
    print(f"Error: {e}")
```
---
## 8. **No Model Persistence**
**Problem:** Model isn't saved; must retrain every time.
**Fix:**
```python
import joblib
joblib.dump(model, 'fraud_model.pkl')
# Load later: model = joblib.load('fraud_model.pkl')
```
---
## Summary Table
| Issue | Severity | Impact |
|-------|----------|--------|
| Data leakage | **Critical** | Inflated metrics, poor real-world performance |
| No validation | High | Runtime crashes |
| No preprocessing | High | Poor model performance |
| No hyperparameter tuning | Medium | Suboptimal model |
| No cross-validation | Medium | Unreliable metrics |
| Limited metrics | Medium | Can't assess imbalanced data performance |
| No error handling | Low | Unclear failures |
| No model saving | Low | Can't reuse model |</t>
  </si>
  <si>
    <t>The provided Python code attempts to address an imbalanced classification problem (fraud detection) using SMOTE, a Gradient Boosting Classifier, and evaluates its performance. While the overall structure is reasonable, there are several critical issues, bugs, and bad practices that severely undermine the validity and reliability of the model.
Here's a detailed breakdown of the problems:
---
### Critical Bugs &amp; Major Issues
1.  **Data Leakage due to Incorrect SMOTE Application (CRITICAL!)**
    *   **Problem:** SMOTE is applied to the *entire dataset* (`X`, `y`) *before* the data is split into training and testing sets.
    *   **Explanation:** `smote.fit_resample(X, y)` generates synthetic samples for the minority class across the whole dataset. When you then call `train_test_split(X_resampled, y_resampled, ...)`, it's highly likely that synthetic samples created from observations that *should be in the test set* will end up in the training set, or vice-versa. This means the model is "seeing" information derived from the test set during training.
    *   **Consequence:** This leads to a highly optimistic and unrealistic performance evaluation. The `classification_report` will show inflated metrics because the test set is no longer truly "unseen" data. The model will appear to perform much better than it would on genuinely new, unseen data.
    *   **Fix:** SMOTE (or any resampling technique) **must only be applied to the training data**. The correct workflow is:
        1.  Split `X`, `y` into `X_train`, `X_test`, `y_train`, `y_test`.
        2.  Apply SMOTE only to `X_train`, `y_train` to get `X_train_resampled`, `y_train_resampled`.
        3.  Train the model on `X_train_resampled`, `y_train_resampled`.
        4.  Evaluate the model on the *original, unresampled* `X_test`, `y_test`.
2.  **Lack of Stratified Sampling**
    *   **Problem:** The `train_test_split` function is called without the `stratify` parameter.
    *   **Explanation:** For imbalanced datasets (which is why SMOTE is being used), it's crucial to ensure that the proportion of classes in the training set is roughly the same as in the test set. Without `stratify`, `train_test_split` performs a random split, which can lead to disproportionate class distributions in subsets, especially with smaller datasets or highly skewed classes.
    *   **Consequence:** The training set might have a very different class balance than the test set (or the original dataset), making the model training and evaluation less representative.
    *   **Fix:** Use `stratify=y` (or `stratify=y_resampled` in the current incorrect flow, but ideally `stratify=y` on the original data before SMOTE).
---
### Bad Practices &amp; Missing Considerations
3.  **No Preprocessing for Missing Values or Categorical Features**
    *   **Problem:** The code assumes `fraud.csv` contains only numeric features suitable for the model and has no missing values.
    *   **Explanation:** Real-world datasets often have missing values (NaNs) or categorical columns (e.g., 'transaction_type', 'merchant_category'). `GradientBoostingClassifier` and `SMOTE` generally expect numerical input and do not handle NaNs gracefully by default. If `X` contains these, the code would likely crash or produce incorrect results.
    *   **Consequence:** Unhandled missing values can cause errors or lead to models learning from incomplete data. Unencoded categorical features will lead to errors.
    *   **Improvement:**
        *   Add steps to check for and handle missing values (e.g., imputation with `SimpleImputer`, dropping rows/columns).
        *   Add steps to encode categorical features (e.g., `OneHotEncoder`, `OrdinalEncoder`).
4.  **No Feature Scaling (Contextual)**
    *   **Problem:** No feature scaling is performed.
    *   **Explanation:** While tree-based models like `GradientBoostingClassifier` are generally robust to feature scaling (since they make decisions based on thresholds, not distances), many other machine learning models (e.g., SVMs, Logistic Regression, K-Nearest Neighbors, Neural Networks) are highly sensitive to the scale of features. Additionally, some advanced boosting algorithms might indirectly benefit.
    *   **Improvement:** Consider adding a `StandardScaler` or `MinMaxScaler` if other models are explored or if the dataset has features with vastly different ranges. This should also be applied *after* the train-test split (fit on training data, transform both train and test data).
5.  **Hardcoded Filename**
    *   **Problem:** The input CSV filename (`"fraud.csv"`) is hardcoded.
    *   **Explanation:** This makes the script less flexible. If the file name changes or needs to be run on a different dataset, the code itself must be modified.
    *   **Improvement:** Use command-line arguments, configuration files (e.g., `config.ini`, `.env`), or pass it as a function parameter if this were part of a larger script.
6.  **Lack of Robust Error Handling for File Reading**
    *   **Problem:** The code directly calls `pd.read_csv("fraud.csv")` without any error handling.
    *   **Explanation:** If `fraud.csv` does not exist, is corrupted, or has incorrect permissions, the script will crash with a `FileNotFoundError` or other pandas-related exceptions.
    *   **Improvement:** Wrap `pd.read_csv` in a `try-except` block to gracefully handle potential file-related errors.
7.  **Implicit Feature Selection**
    *   **Problem:** All columns except `is_fraud` are implicitly used as features.
    *   **Explanation:** There might be identifier columns (e.g., `transaction_id`, `customer_id`), timestamp columns, or other irrelevant features that could confuse the model or add noise.
    *   **Improvement:** Explicitly select relevant features based on domain knowledge or perform feature selection/engineering steps.
8.  **No Cross-Validation or Hyperparameter Tuning**
    *   **Problem:** The model is trained and evaluated only once with fixed hyperparameters (`n_estimators=100`).
    *   **Explanation:** `n_estimators=100` is a default, but it might not be optimal for the specific dataset. Evaluating on a single train-test split gives only one snapshot of performance and doesn't fully assess the model's stability or generalization ability.
    *   **Improvement:**
        *   Implement cross-validation (e.g., `KFold`, `StratifiedKFold`) to get a more robust estimate of model performance.
        *   Perform hyperparameter tuning (e.g., `GridSearchCV`, `RandomizedSearchCV`) to find better settings for `GradientBoostingClassifier` (e.g., `learning_rate`, `max_depth`, `subsample`, `n_estimators`). This should ideally be done *within* a cross-validation loop to avoid further data leakage.
9.  **No Model Persistence**
    *   **Problem:** The trained `model` is not saved.
    *   **Explanation:** If this model were intended for deployment or later use, it would need to be saved to disk.
    *   **Improvement:** Use `joblib.dump` or `pickle.dump` to save the trained model object.
10. **Only One Evaluation Metric Presented**
    *   **Problem:** While `classification_report` is comprehensive, for fraud detection, specific metrics like **recall for the minority class (fraud)** are often paramount, followed by precision, and F1-score.
    *   **Explanation:** Just printing the report is fine, but highlighting the most critical metric for the problem (e.g., "The model achieved a recall of X% for fraud cases") would be more insightful.
    *   **Improvement:** Explicitly print or emphasize the key metrics important for a fraud detection problem (e.g., `recall_score(y_test, y_pred, pos_label=1)`). Also, consider AUC-ROC if applicable.
---
### Revised Code Example (Addressing Critical Issues)
Here's how the code should ideally be structured to address the data leakage and stratified sampling issues:
```python
import pandas as pd
from sklearn.model_selection import train_test_split
from sklearn.ensemble import GradientBoostingClassifier
from sklearn.metrics import classification_report
from imblearn.over_sampling import SMOTE
import logging
# Configure logging (good practice for real applications)
logging.basicConfig(level=logging.INFO, format='%(asctime)s - %(levelname)s - %(message)s')
# --- 1. Data Loading ---
try:
    df = pd.read_csv("fraud.csv")
    logging.info("Successfully loaded fraud.csv")
except FileNotFoundError:
    logging.error("Error: fraud.csv not found. Please ensure the file is in the correct directory.")
    exit() # Exit if the file isn't found
except Exception as e:
    logging.error(f"An unexpected error occurred while reading the CSV: {e}")
    exit()
# --- 2. Initial Data Inspection &amp; Preprocessing (Placeholder - Highly Recommended) ---
# Example checks:
if df.isnull().sum().any():
    logging.warning("Missing values detected. Consider imputation or removal.")
    # Example: df.fillna(df.median(), inplace=True) # Simple imputation
    # Or more robust: Imputer within a pipeline
# Assuming 'is_fraud' is the target column and all others are features.
# In a real scenario, you'd check for non-numeric columns and handle them.
# Example for categorical columns (if any):
# categorical_cols = df.select_dtypes(include='object').columns
# if not categorical_cols.empty:
#     logging.warning(f"Categorical columns detected: {list(categorical_cols)}. Consider one-hot encoding.")
#     # from sklearn.preprocessing import OneHotEncoder
#     # df = pd.get_dummies(df, columns=categorical_cols, drop_first=True) # Simpler pandas one-hot
# --- 3. Feature and Target Split ---
target_column = "is_fraud"
if target_column not in df.columns:
    logging.error(f"Target column '{target_column}' not found in the dataset.")
    exit()
X = df.drop(target_column, axis=1)
y = df[target_column]
logging.info(f"Original dataset shape: X={X.shape}, y={y.shape}")
logging.info(f"Original class distribution: {y.value_counts()}")
# --- 4. Train-Test Split (CRITICAL: before SMOTE, with stratification) ---
X_train, X_test, y_train, y_test = train_test_split(
    X, y, test_size=0.2, random_state=42, stratify=y # Stratify is essential for imbalanced data
)
logging.info(f"Train-Test Split complete. X_train={X_train.shape}, X_test={X_test.shape}")
logging.info(f"Train class distribution:\n{y_train.value_counts(normalize=True)}")
logging.info(f"Test class distribution:\n{y_test.value_counts(normalize=True)}")
# --- 5. Apply SMOTE to Training Data ONLY ---
smote = SMOTE(random_state=42)
X_train_resampled, y_train_resampled = smote.fit_resample(X_train, y_train)
logging.info(f"SMOTE applied to training data. Resampled training shape: X={X_train_resampled.shape}, y={y_train_resampled.shape}")
logging.info(f"Resampled train class distribution:\n{y_train_resampled.value_counts(normalize=True)}")
# --- 6. Model Training ---
model = GradientBoostingClassifier(n_estimators=100, random_state=42)
model.fit(X_train_resampled, y_train_resampled)
logging.info("Model training complete.")
# --- 7. Prediction and Evaluation (on original, unresampled test set) ---
y_pred = model.predict(X_test)
logging.info("\n--- Classification Report on Original Test Set ---")
print(classification_report(y_test, y_pred))
# For fraud detection, specifically highlight the minority class performance
from sklearn.metrics import precision_score, recall_score, f1_score, roc_auc_score
fraud_recall = recall_score(y_test, y_pred, pos_label=1)
fraud_precision = precision_score(y_test, y_pred, pos_label=1)
fraud_f1 = f1_score(y_test, y_pred, pos_label=1)
logging.info(f"Minority Class (Fraud) Metrics:")
logging.info(f"  Recall: {fraud_recall:.4f}")
logging.info(f"  Precision: {fraud_precision:.4f}")
logging.info(f"  F1-Score: {fraud_f1:.4f}")
try:
    y_pred_proba = model.predict_proba(X_test)[:, 1]
    roc_auc = roc_auc_score(y_test, y_pred_proba)
    logging.info(f"  ROC AUC Score: {roc_auc:.4f}")
except AttributeError:
    logging.warning("Model does not have predict_proba method for ROC AUC calculation.")
# --- 8. Model Persistence (Optional but Recommended) ---
# import joblib
# joblib.dump(model, 'gradient_boosting_fraud_model.pkl')
# logging.info("Model saved to 'gradient_boosting_fraud_model.pkl'")
```</t>
  </si>
  <si>
    <t>The provided Python machine learning pipeline code contains a form of data leakage due to the way oversampling with SMOTE is performed. Here's a breakdown of the issue:
### Explanation of the Issue:
- **Data Leakage via SMOTE on Entire Dataset**: 
  - In this code, SMOTE (Synthetic Minority Over-sampling Technique) is applied before the train-test split, which means synthetic samples are created using the entire dataset (both the training and the test parts).
  - This results in information from the test set influencing the synthetic samples added to the training data. During resampling, data points that should only be in the test set are effectively used to generate synthetic examples for the training set.
### Why This is a Problem:
- **Leakage Impact**:
  - This leads to a situation where the model might learn patterns that include information it wouldn't have if it were trained strictly on the training data alone. Hence, it can provide an overly optimistic evaluation of model performance as the model has indirectly learned from the test data.
### How to Fix the Leakage:
To ensure that there is no data leakage, the data resampling using SMOTE should be performed only on the training data after the train-test split. Here's how you can modify the code to prevent data leakage: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X_train, X_test, y_train, y_test = train_test_split(
    X, y, test_size=0.2, random_state=42
)
smote = SMOTE(random_state=42)
X_train_resampled, y_train_resampled = smote.fit_resample(X_train, y_train)
model = GradientBoostingClassifier(n_estimators=100, random_state=42)
model.fit(X_train_resampled, y_train_resampled)
y_pred = model.predict(X_test)
print(classification_report(y_test, y_pred))
```
### Key Changes:
- **Data Splitting First**: First, split the data into training and test sets (`train_test_split`).
- **SMOTE After Split**: Apply SMOTE only on the training data (`X_train` and `y_train`).
This updated approach ensures that the model only learns from the training data and that the test set remains completely independent, providing a more realistic evaluation of model performance.</t>
  </si>
  <si>
    <t>The provided code contains a form of data leakage due to the way the SMOTE (Synthetic Minority Over-sampling Technique) is applied. Let's break down the relevant sections to identify and explain the problem:
### Issue of Data Leakage
1. **Application of SMOTE Before Train-Test Split**:
   - The line `X_resampled, y_resampled = smote.fit_resample(X, y)` applies SMOTE to the entire dataset (`X` and `y`) **before** the data is split into training and testing sets.
   - This results in synthetic samples being generated using information from both the training and the test sets, thereby allowing the model to "see" information from the test set during the training phase.
### Why This is a Problem
- **Data Leakage Implication**: The primary issue here is that the training process becomes biased because the synthetic samples created by SMOTE can potentially reflect patterns that also exist in the test data. Thus, in a real-world scenario, the model may perform exceptionally well during testing because it has been inadvertently trained on test data characteristics. This undermines the purpose of having a separate test set, which is to evaluate how well the model generalizes to unseen data.
### Recommended Fix
To avoid this data leakage, you should change the order of operations as follows:
1. Split the data into training and testing sets **before** applying SMOTE.
2. Apply SMOTE only to the training data.
Here's how you could modify the code accordingly: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 Split the data into training and testing sets first
X_train, X_test, y_train, y_test = train_test_split(
    X, y, test_size=0.2, random_state=42
)
# Now apply SMOTE only on the training data
smote = SMOTE(random_state=42)
X_train_resampled, y_train_resampled = smote.fit_resample(X_train, y_train)
model = GradientBoostingClassifier(n_estimators=100, random_state=42)
model.fit(X_train_resampled, y_train_resampled)
y_pred = model.predict(X_test)
print(classification_report(y_test, y_pred))
```
By implementing this change, you will ensure that the model is trained without leakage, leading to a more reliable assessment of its performance on unseen data.</t>
  </si>
  <si>
    <t>## Data Leakage Analysis
This code **contains a significant data leakage problem** in how SMOTE is applied.
---
### The Problem: SMOTE Applied Before Train/Test Split
```python
# ❌ WRONG ORDER — leakage occurs here
smote = SMOTE(random_state=42)
X_resampled, y_resampled = smote.fit_resample(X, y)  # Applied to ALL data
X_train, X_test, y_train, y_test = train_test_split(  # Split happens AFTER
    X_resampled, y_resampled, test_size=0.2, random_state=42
)
```
### Why This Is Leakage
SMOTE generates **synthetic minority-class samples by interpolating between existing samples** using k-nearest neighbors. When applied to the full dataset before splitting:
1. **Test set samples influence synthetic training samples.** The synthetic points are created using neighbors drawn from the entire dataset, including observations that will later become the test set. The training data is therefore partly derived from test observations.
2. **The test set is no longer held-out.** Real test samples participate in the SMOTE computation, meaning the model indirectly "sees" test data during training.
3. **Performance metrics become optimistic.** The model is evaluated on data whose statistical structure was already incorporated into training, so reported metrics overestimate real-world performance.
---
### Corrected Code
SMOTE must be applied **only to the training set**, after splitting:
```python
import pandas as pd
from sklearn.model_selection import train_test_split
from sklearn.ensemble import GradientBoostingClassifier
from sklearn.metrics import classification_report
from imblearn.over_sampling import SMOTE
from imblearn.pipeline import Pipeline  # use imblearn's Pipeline, not sklearn's
df = pd.read_csv("fraud.csv")
X = df.drop("is_fraud", axis=1)
y = df["is_fraud"]
# ✅ Split FIRST, on original data
X_train, X_test, y_train, y_test = train_test_split(
    X, y, test_size=0.2, random_state=42, stratify=y
)
# ✅ Apply SMOTE ONLY to training data
smote = SMOTE(random_state=42)
X_train_resampled, y_train_resampled = smote.fit_resample(X_train, y_train)
model = GradientBoostingClassifier(n_estimators=100, random_state=42)
model.fit(X_train_resampled, y_train_resampled)
y_pred = model.predict(X_test)  # Test set is completely untouched
print(classification_report(y_test, y_pred))
```
### Even Better: Use a Pipeline
If cross-validation is involved, wrapping SMOTE in a pipeline prevents leakage automatically across every fold:
```python
from imblearn.pipeline import Pipeline
pipeline = Pipeline([
    ("smote", SMOTE(random_state=42)),
    ("model", GradientBoostingClassifier(n_estimators=100, random_state=42))
])
pipeline.fit(X_train, y_train)
y_pred = pipeline.predict(X_test)
print(classification_report(y_test, y_pred))
```
&gt; **Note:** Use `imblearn.pipeline.Pipeline`, not `sklearn.pipeline.Pipeline` — the imblearn version correctly handles resamplers as pipeline steps.
---
### Summary
| Issue | Location | Impact |
|---|---|---|
| SMOTE before split | Lines 11–12 | Synthetic points derived from test data; optimistic metrics |
| No `stratify` in split | Line 13 | Class imbalance may not be preserved in test set |</t>
  </si>
  <si>
    <t># Data Leakage Review: **CRITICAL ISSUE FOUND**
## Problem Location
**SMOTE is applied BEFORE the train-test split.** This is a serious data leakage violation.
## Why This Is Data Leakage
When you call `smote.fit_resample(X, y)` on the entire dataset before splitting:
1. **SMOTE uses information from the test set during training:** SMOTE generates synthetic minority samples by finding k-nearest neighbors in the feature space. When fitting on the full dataset, it considers neighbors from what will become your test set.
2. **Test set statistics influence training data:** The synthetic samples created are based on the combined statistics of both train and test sets, meaning test set patterns are "baked into" the training data.
3. **Overly optimistic performance estimates:** Your model's test performance will be artificially inflated because the test set has already influenced the training data generation process.
## Correct Approach
Apply SMOTE **only to the training set** after splitting: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 Split FIRST
X_train, X_test, y_train, y_test = train_test_split(
    X, y, test_size=0.2, random_state=42
)
# Apply SMOTE ONLY to training data
smote = SMOTE(random_state=42)
X_train_resampled, y_train_resampled = smote.fit_resample(X_train, y_train)
# Train on resampled training data, evaluate on original test data
model = GradientBoostingClassifier(n_estimators=100, random_state=42)
model.fit(X_train_resampled, y_train_resampled)
y_pred = model.predict(X_test)
print(classification_report(y_test, y_pred))
```
This ensures the test set remains completely independent and your performance metrics reflect real-world generalization.</t>
  </si>
  <si>
    <t>Yes, this code *does* contain a significant form of data leakage.
### Explanation of Data Leakage
The data leakage occurs at this line:
```python
X_resampled, y_resampled = smote.fit_resample(X, y)
```
**Why it's a problem:**
1.  **SMOTE is applied to the entire dataset *before* the train-test split.**
    *   `smote.fit_resample(X, y)` uses the information from *all* instances in the original dataset (`X`, `y`), including those that will eventually become part of the test set, to generate synthetic samples for the minority class.
2.  **Information from the "future" test set leaks into the training process.**
    *   When SMOTE generates synthetic samples, it does so by interpolating between existing minority class samples. If you apply SMOTE before splitting, then the generated synthetic samples are influenced by (and may be neighbors of) the actual data points that will end up in your test set.
    *   Conversely, some synthetic samples that end up in the test set might have been generated based on information from the original training instances.
    *   This means that when you later split `X_resampled` and `y_resampled` into `X_train`, `X_test`, `y_train`, `y_test`, both your training and test sets contain synthetic data that was generated using information from the *entire original dataset*.
    *   The model, when trained on `X_train`, effectively learns patterns that are indirectly influenced by the test set's data distribution. When evaluated on `X_test`, it's being tested on data that isn't truly "unseen" or independent in its generation process.
**Consequence:**
This leakage will lead to an **overly optimistic evaluation** of your model's performance. The reported `classification_report` metrics (precision, recall, F1-score) will likely be higher than what the model would actually achieve on truly novel, unseen data in a real-world scenario. The model appears to generalize better than it actually does because it has been exposed to the statistical properties of the test set's minority class during the oversampling process.
### How to Fix It (Prevent Data Leakage)
To prevent this data leakage, `SMOTE` (or any other preprocessing/resampling technique that learns parameters or transforms data based on its distribution) should only be applied to the **training data *after*** the train-test split.
Here's the corrected pipeline: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 1. Perform the train-test split FIRST on the original data
X_train, X_test, y_train, y_test = train_test_split(
    X, y, test_size=0.2, random_state=42, stratify=y # stratify is good practice for imbalanced data
)
# 2. Apply SMOTE ONLY to the training data
smote = SMOTE(random_state=42)
X_train_resampled, y_train_resampled = smote.fit_resample(X_train, y_train)
# 3. Train the model on the resampled training data
model = GradientBoostingClassifier(n_estimators=100, random_state=42)
model.fit(X_train_resampled, y_train_resampled)
# 4. Evaluate the model on the *original, untouched* test data
y_pred = model.predict(X_test)
print(classification_report(y_test, y_pred))
```
By following this order, the test set remains completely separate and unseen during the preprocessing and training phases, providing a more reliable and realistic estimate of your model's true performance.</t>
  </si>
  <si>
    <t>7B</t>
  </si>
  <si>
    <t>oversampling_clean</t>
  </si>
  <si>
    <t>This Python code aims to build a machine learning model for fraud detection using a Gradient Boosting Classifier. While the code is generally structured well and performs core machine learning tasks, there are several potential issues and areas for improvement:
1. **Handling of Imbalanced Data in Test Set**: 
   - The resampling technique, SMOTE, is applied only to the training dataset. While this is correct because you should not oversample the test set, be aware that if the dataset is highly imbalanced, the performance metrics on the test set may not be accurate because no attempt is made in the code to handle imbalances in the test data (e.g., could consider using different metrics like precision-recall curve or area under precision-recall curve).
2. **No Exploration or Preprocessing of Data**:
   - It is assumed that the data is ready for modeling directly from the CSV file. In practice, you should check for missing values, categorical data that might need encoding, and feature scaling if necessary. This code lacks these essential preprocessing steps.
3. **Loading Data Without Error Handling**:
   - There is no error handling around the data loading step. For instance, if the file "fraud.csv" does not exist, the code will fail. Consider adding try-except blocks to handle potential I/O errors gracefully.
4. **No Feature Scaling**:
   - Gradient Boosting algorithms do not require feature scaling. However, if certain features have vastly different scales and influence, exploring the distribution might help in understanding which features need transformation for better model performance or interpretation.
5. **Evaluation Metrics Limited to Classification Report**:
   - `classification_report` provides a good summary of standard metrics like precision, recall, F1-score, etc. But it would be more informative to also consider metrics that are particularly useful for imbalanced data, such as the ROC-AUC score or plotting ROC curves.
6. **No Cross-Validation**:
   - It's often beneficial to use cross-validation (e.g., using `cross_val_score` with `StratifiedKFold`) to ensure that the model’s performance is consistent across different subsets of the data.
7. **Magic Numbers**:
   - The constants like `test_size=0.2` and `n_estimators=100` are hardcoded. Consider defining them at the beginning of the script with meaningful variable names for improved readability and flexibility.
8. **Print Statement in Production Environment**:
   - Using a simple `print` statement for output in a production environment is not advisable. Consider using logging for more sophisticated output control and persistence.
By addressing these issues, the code would not only follow best practices more closely but also be more robust and potentially result in a better performing model.</t>
  </si>
  <si>
    <t>Your Python code is well-structured and generally follows good practices, but there are several areas where improvements can be made. Here are the issues identified, along with explanations for each:
1. **Missing Dependency Check**:
   - **Issue**: The code assumes that all required libraries (`pandas`, `sklearn`, and `imblearn`) are installed in the environment.
   - **Explanation**: It's good practice to provide checks or documentation indicating required dependencies or to handle potential `ImportError` so that users know they need to install certain packages if they're missing.
2. **Unclear Data Source**:
   - **Issue**: The code reads from a file named `"fraud.csv"` but doesn't provide context about its structure or the need for preprocessing.
   - **Explanation**: Comments or documentation explaining the dataset (shape, features, missing values, etc.) would improve readability and usability for others who might use this code.
3. **Handling Preprocessing**:
   - **Issue**: There is no feature normalization or encoding of categorical variables before model training.
   - **Explanation**: Features may need to be scaled or transformed (if they are categorical) for the Gradient Boosting Classifier to perform optimally. Consider adding preprocessing steps for normalization (using `StandardScaler` or `MinMaxScaler`) and handling categorical variables (using `OneHotEncoder` or similar).
4. **Imbalanced Data Handling**:
   - **Issue**: The oversampling using SMOTE is done only on the training set without considering other techniques (like undersampling the majority class in certain scenarios or using ensemble methods).
   - **Explanation**: While SMOTE is a good method for handling class imbalance, you should also benchmark it against other techniques to ensure the best performance and generalization.
5. **Lack of Model Evaluation Split on Validation Set**:
   - **Issue**: There is no validation set for hyperparameter tuning.
   - **Explanation**: Using a training/validation/test split can help you adjust model parameters before evaluating its performance on the test set, which improves model validity.
6. **Printing the Report**:
   - **Issue**: The output of the `classification_report` is printed directly to the console without further context.
   - **Explanation**: It can be more user-friendly if you provide a summary message or log the output, allowing better interpretation of results.
7. **Feature Importance and Interpretation**:
   - **Issue**: The code does not compute or display feature importance.
   - **Explanation**: Displaying feature importance helps interpret the model, understand what features are driving predictions, and assists in improving the model.
8. **Hardcoded Random State**:
   - **Issue**: Random states are hardcoded.
   - **Explanation**: For more flexibility, parameters like `random_state` could be set as function arguments or loaded from a configuration file. This promotes better experimentation with model runs.
9. **Lack of Exception Handling**:
   - **Issue**: The code does not have any exception handling for file reading or model training.
   - **Explanation**: Including try-except blocks can make the code more robust by avoiding crashes and providing meaningful error messages.
Here’s a revision with improvements, including structured comments, exception handling, and suggested preprocessing:
```python
import pandas as pd
from sklearn.model_selection import train_test_split
from sklearn.ensemble import GradientBoostingClassifier
from sklearn.metrics import classification_report
from imblearn.over_sampling import SMOTE
from sklearn.preprocessing import StandardScaler
# Load dataset with error handling
try:
    df = pd.read_csv("fraud.csv")
except FileNotFoundError:
    print("The specified CSV file was not found.")
    raise
# Check the shape and info (typically)
print(df.info())  # Add checking data types and nulls
# Split features and target
X = df.drop("is_fraud", axis=1)
y = df["is_fraud"]
# Split data into training and test sets
X_train, X_test, y_train, y_test = train_test_split(
    X, y, test_size=0.2, random_state=42
)
# Feature scaling
scaler = StandardScaler()
X_train = scaler.fit_transform(X_train)
X_test = scaler.transform(X_test)
# Handle imbalanced data
smote = SMOTE(random_state=42)
X_train, y_train = smote.fit_resample(X_train, y_train)
# Train model
model = GradientBoostingClassifier(n_estimators=100, random_state=42)
model.fit(X_train, y_train)
# Predictions
y_pred = model.predict(X_test)
# Evaluation
report = classification_report(y_test, y_pred)
print(report)
# If desired, you can also print feature importances
importances = model.feature_importances_
feature_importance_df = pd.DataFrame({'Feature': df.columns[:-1], 'Importance': importances})
print(feature_importance_df.sort_values(by='Importance', ascending=False))
```
This revision addresses many of the concerns laid out while maintaining the logic of your original code.</t>
  </si>
  <si>
    <t>## Code Review: Fraud Detection Pipeline
The code is functional but contains several significant issues ranging from critical data leakage problems to missing best practices.
---
### Issue 1: SMOTE Applied Before Any Preprocessing (Critical)
```python
# PROBLEM: Raw data fed directly into SMOTE with no preprocessing
smote = SMOTE(random_state=42)
X_train, y_train = smote.fit_resample(X_train, y_train)
```
**Problems:**
- SMOTE requires **purely numerical input** — categorical columns will cause it to fail or produce meaningless synthetic samples
- No scaling/encoding applied before resampling
- No indication that the data is ready for SMOTE
```python
# BETTER: Use a pipeline to enforce correct ordering
from sklearn.pipeline import Pipeline
from sklearn.preprocessing import StandardScaler, OneHotEncoder
from sklearn.compose import ColumnTransformer
from imblearn.pipeline import Pipeline as ImbPipeline  # Important: use imblearn's Pipeline
numeric_features = X.select_dtypes(include=["int64", "float64"]).columns.tolist()
categorical_features = X.select_dtypes(include=["object", "category"]).columns.tolist()
preprocessor = ColumnTransformer([
    ("num", StandardScaler(), numeric_features),
    ("cat", OneHotEncoder(handle_unknown="ignore"), categorical_features),
])
pipeline = ImbPipeline([
    ("preprocessor", preprocessor),
    ("smote", SMOTE(random_state=42)),
    ("classifier", GradientBoostingClassifier(n_estimators=100, random_state=42)),
])
```
---
### Issue 2: Data Leakage via SMOTE Applied Outside Pipeline (Critical)
```python
# PROBLEM: Even if preprocessing existed, doing this outside a pipeline
# causes leakage during cross-validation
X_train, y_train = smote.fit_resample(X_train, y_train)
model.fit(X_train, y_train)
```
**Why it matters:**
- If you use cross-validation later, resampling **must happen inside each fold**, not before splitting
- Fitting SMOTE on the full training set before CV means synthetic samples influence validation folds
```python
# BETTER: Pipeline ensures SMOTE only sees training fold data during CV
from sklearn.model_selection import cross_validate
cv_results = cross_validate(
    pipeline,
    X_train,
    y_train,
    cv=5,
    scoring=["f1", "roc_auc"],
    return_train_score=True,
)
```
---
### Issue 3: No Validation That CSV Loaded Correctly
```python
# PROBLEM: Silent failure if file is missing, malformed, or empty
df = pd.read_csv("fraud.csv")
X = df.drop("is_fraud", axis=1)
y = df["is_fraud"]
```
```python
# BETTER: Validate the data after loading
import os
DATA_PATH = "fraud.csv"
if not os.path.exists(DATA_PATH):
    raise FileNotFoundError(f"Dataset not found at: {DATA_PATH}")
df = pd.read_csv(DATA_PATH)
assert not df.empty, "Loaded dataframe is empty"
assert "is_fraud" in df.columns, "Target column 'is_fraud' not found"
assert df["is_fraud"].nunique() == 2, "Expected binary classification target"
print(f"Dataset shape: {df.shape}")
print(f"Class distribution:\n{df['is_fraud'].value_counts(normalize=True)}")
```
---
### Issue 4: No Handling of Missing Values
```python
# PROBLEM: Missing values will cause silent errors or model degradation
X = df.drop("is_fraud", axis=1)
```
```python
# BETTER: Inspect and handle missing values explicitly
missing = df.isnull().sum()
if missing.any():
    print(f"Missing values found:\n{missing[missing &gt; 0]}")
# Add imputation to the preprocessing pipeline
from sklearn.impute import SimpleImputer
numeric_transformer = Pipeline([
    ("imputer", SimpleImputer(strategy="median")),
    ("scaler", StandardScaler()),
])
categorical_transformer = Pipeline([
    ("imputer", SimpleImputer(strategy="most_frequent")),
    ("encoder", OneHotEncoder(handle_unknown="ignore")),
])
```
---
### Issue 5: Wrong Metric for Imbalanced Classification
```python
# PROBLEM: classification_report alone is insufficient for fraud detection
# Accuracy is misleading; you need threshold-aware metrics
print(classification_report(y_test, y_pred))
```
```python
# BETTER: Use metrics appropriate for imbalanced fraud detection
from sklearn.metrics import (
    classification_report,
    roc_auc_score,
    average_precision_score,
    ConfusionMatrixDisplay,
)
import matplotlib.pyplot as plt
y_pred_proba = model.predict_proba(X_test)[:, 1]
print(classification_report(y_test, y_pred))
print(f"ROC-AUC:            {roc_auc_score(y_test, y_pred_proba):.4f}")
print(f"Average Precision:  {average_precision_score(y_test, y_pred_proba):.4f}")
# Visualize confusion matrix
ConfusionMatrixDisplay.from_predictions(y_test, y_pred)
plt.title("Confusion Matrix")
plt.tight_layout()
plt.savefig("confusion_matrix.png")
plt.show()
```
---
### Issue 6: No Stratification in Train/Test Split
```python
# PROBLEM: Without stratify, class distribution may differ between splits
X_train, X_test, y_train, y_test = train_test_split(
    X, y, test_size=0.2, random_state=42  # Missing stratify
)
```
```python
# BETTER: Always stratify for imbalanced classification
X_train, X_test, y_train, y_test = train_test_split(
    X, y,
    test_size=0.2,
    random_state=42,
    stratify=y,  # Preserves class ratios in both splits
)
```
---
### Issue 7: GradientBoostingClassifier is Slow for Large Fraud Datasets
```python
# PROBLEM: sklearn's GBC is single-threaded and slow on large datasets
model = GradientBoostingClassifier(n_estimators=100, random_state=42)
```
```python
# BETTER: Use HistGradientBoostingClassifier or XGBoost for performance
from sklearn.ensemble import HistGradientBoostingClassifier  # Faster, handles NaN natively
model = HistGradientBoostingClassifier(
    max_iter=100,
    random_state=42,
    class_weight="balanced",  # Alternative to SMOTE worth comparing
)
# Or use XGBoost with scale_pos_weight for imbalance handling
# import xgboost as xgb
# fraud_ratio = (y_train == 0).sum() / (y_train == 1).sum()
# model = xgb.XGBClassifier(scale_pos_weight=fraud_ratio, random_state=42)
```
---
### Issue 8: No Model Persistence or Experiment Tracking
```python
# PROBLEM: Results and model are lost after the script runs
model.fit(X_train, y_train)
```
```python
# BETTER: Save model and log experiment details
import joblib
from datetime import datetime
timestamp = datetime.now().strftime("%Y%m%d_%H%M%S")
model_path = f"fraud_model_{timestamp}.joblib"
joblib.dump(pipeline, model_path)
print(f"Model saved to: {model_path}")
```
---
### Summary of Issues
| # | Issue | Severity |
|---|-------|----------|
| 1 | SMOTE before preprocessing | 🔴 Critical</t>
  </si>
  <si>
    <t># Code Review: Issues and Problems
## 1. **Data Leakage (CRITICAL)**
```python
X_train, X_test, y_train, y_test = train_test_split(X, y, test_size=0.2, random_state=42)
smote = SMOTE(random_state=42)
X_train, y_train = smote.fit_resample(X_train, y_train)
```
**Problem:** SMOTE is applied AFTER the train/test split. This means information about the training set distribution leaks into the test set evaluation.
**Fix:** Apply SMOTE only to training data AFTER splitting, or use a pipeline:
```python
from imblearn.pipeline import Pipeline
pipeline = Pipeline([
    ('smote', SMOTE(random_state=42)),
    ('classifier', GradientBoostingClassifier(n_estimators=100, random_state=42))
])
pipeline.fit(X_train, y_train)
y_pred = pipeline.predict(X_test)
```
---
## 2. **No Feature Scaling**
```python
model = GradientBoostingClassifier(...)
```
**Problem:** While Gradient Boosting is tree-based and doesn't strictly require scaling, if the dataset contains categorical variables or mixed scales, preprocessing should be documented and handled.
**Fix:** Add preprocessing pipeline or document why scaling isn't needed:
```python
from sklearn.preprocessing import StandardScaler
# Only if needed for categorical encoding
```
---
## 3. **No Handling of Categorical Variables**
**Problem:** The code assumes all features are numeric. If `fraud.csv` contains categorical columns, they'll cause errors or be silently misinterpreted.
**Fix:** Add explicit handling:
```python
# Check for categorical columns
categorical_cols = X.select_dtypes(include=['object']).columns
if len(categorical_cols) &gt; 0:
    X = pd.get_dummies(X, columns=categorical_cols, drop_first=True)
```
---
## 4. **No Missing Value Handling**
```python
df = pd.read_csv("fraud.csv")
```
**Problem:** The code doesn't check for or handle missing values, which could cause training failures or biased results.
**Fix:** Add validation:
```python
print(df.isnull().sum())  # Check for missing values
# Then handle: df.fillna(...) or df.dropna()
```
---
## 5. **No Input Validation**
**Problem:** No checks for:
- Empty dataset
- Mismatched features between train/test
- Invalid file paths
- Zero variance features
**Fix:** Add basic validation:
```python
assert len(df) &gt; 0, "Dataset is empty"
assert "is_fraud" in df.columns, "Target column missing"
```
---
## 6. **Incomplete Model Evaluation**
```python
print(classification_report(y_test, y_pred))
```
**Problem:** Only classification report is shown. For imbalanced fraud detection:
- No ROC-AUC score (critical for imbalanced data)
- No confusion matrix
- No precision-recall curve
- No threshold tuning
**Fix:**
```python
from sklearn.metrics import roc_auc_score, confusion_matrix
print(f"ROC-AUC: {roc_auc_score(y_test, model.predict_proba(X_test)[:, 1])}")
print("Confusion Matrix:\n", confusion_matrix(y_test, y_pred))
```
---
## 7. **No Hyperparameter Tuning**
```python
model = GradientBoostingClassifier(n_estimators=100, random_state=42)
```
**Problem:** Default hyperparameters are arbitrary and likely suboptimal. No validation strategy.
**Fix:** Use GridSearchCV:
```python
from sklearn.model_selection import GridSearchCV
param_grid = {'n_estimators': [50, 100, 200], 'learning_rate': [0.01, 0.1]}
grid = GridSearchCV(GradientBoostingClassifier(), param_grid, cv=5, scoring='roc_auc')
grid.fit(X_train, y_train)
```
---
## 8. **Hard-coded File Path**
```python
df = pd.read_csv("fraud.csv")
```
**Problem:** Assumes the file exists in the current directory; not reproducible.
**Fix:**
```python
import os
file_path = os.path.join("data", "fraud.csv")
if not os.path.exists(file_path):
    raise FileNotFoundError(f"Dataset not found at {file_path}")
df = pd.read_csv(file_path)
```
---
## 9. **No Train/Validation Split**
**Problem:** No validation set to monitor for overfitting during development.
**Fix:**
```python
X_train, X_temp, y_train, y_temp = train_test_split(X, y, test_size=0.3, random_state=42)
X_val, X_test, y_val, y_test = train_test_split(X_temp, y_temp, test_size=0.5, random_state=42)
```
---
## 10. **No Logging or Documentation**
**Problem:** No comments, docstrings, or execution logs to understand what's happening.
**Fix:** Add logging:
```python
import logging
logging.basicConfig(level=logging.INFO)
logger = logging.getLogger(__name__)
logger.info(f"Dataset shape: {df.shape}")
logger.info(f"Class distribution:\n{y.value_counts()}")
```
---
## Summary Table
| Issue | Severity | Type |
|-------|----------|------|
| Data Leakage | 🔴 CRITICAL | Bug |
| No Categorical Handling | 🟠 HIGH | Bug |
| No Missing Value Check | 🟠 HIGH | Bug |
| Incomplete Evaluation | 🟠 HIGH | Practice |
| No Hyperparameter Tuning | 🟡 MEDIUM | Practice |
| No Input Validation | 🟡 MEDIUM | Practice |
| Hard-coded Paths | 🟡 MEDIUM | Practice |
| No Logging | 🟢 LOW | Practice |</t>
  </si>
  <si>
    <t>The provided Python code implements a basic machine learning workflow for a fraud detection task, including data loading, train-test split, SMOTE for handling imbalance, model training with Gradient Boosting, and evaluation. While functional, it contains several issues, bad practices, and potential bugs that can lead to suboptimal model performance, incorrect evaluation, or runtime errors.
Here's a breakdown of the problems:
1.  **Missing Preprocessing for Categorical Features:**
    *   **Problem:** The code assumes all features in `X` are suitable for `GradientBoostingClassifier` and `SMOTE` directly. If `fraud.csv` contains categorical features (e.g., columns with strings like 'payment_method' or integer codes that represent categories like 'transaction_type'), this will cause problems:
        *   `GradientBoostingClassifier` expects numerical input. If string-based categorical features are present, `model.fit()` will raise an error. If they are integer-encoded but not ordinal, the model will treat them as continuous numerical features, leading to incorrect learning.
        *   `SMOTE` operates on numerical features and generates synthetic samples based on distances. Applying SMOTE to unencoded categorical features (even if integer-encoded) will result in nonsensical synthetic data, as it will interpolate between category labels.
    *   **Recommendation:** Identify and properly encode categorical features (e.g., using `OneHotEncoder` for nominal features or `OrdinalEncoder` for truly ordinal features) *before* applying `SMOTE` and training the model. This should ideally be part of a `ColumnTransformer` within a `Pipeline`.
2.  **Suboptimal SMOTE Application Order / Interaction with Numerical Feature Scaling:**
    *   **Problem:** SMOTE is applied directly to `X_train` which likely contains raw, unscaled numerical features. SMOTE's core mechanism relies on calculating distances (typically Euclidean) between data points to create synthetic samples. If numerical features have vastly different scales (e.g., 'transaction_amount' in thousands vs. 'age_in_days' in tens), features with larger magnitudes will disproportionately influence the distance calculations. This can lead to less effective or biased synthetic samples.
    *   **Recommendation:** Scale numerical features (e.g., using `StandardScaler` or `MinMaxScaler`) *before* applying `SMOTE`. This ensures all numerical features contribute equally to the distance calculations, leading to more meaningful synthetic samples. The entire preprocessing (encoding, scaling, SMOTE) should be integrated into a single pipeline to ensure correct order and avoid data leakage.
3.  **Lack of Robust Model Evaluation (No Cross-Validation):**
    *   **Problem:** Relying on a single `train_test_split` provides only one estimate of the model's performance. This estimate can be highly variable and dependent on the particular random split, especially with imbalanced datasets and resampling techniques like SMOTE. It doesn't give a reliable indication of how the model will generalize to unseen data.
    *   **Recommendation:** Employ cross-validation (e.g., `StratifiedKFold` to preserve class proportions in each fold) to obtain a more robust and reliable estimate of the model's performance. When using SMOTE with cross-validation, it is crucial to apply SMOTE *within each fold* (i.e., only to the training data of that specific fold) to prevent data leakage and overly optimistic performance estimates. `imblearn.pipeline.Pipeline` is designed for this.
4.  **No Hyperparameter Tuning:**
    *   **Problem:** The `GradientBoostingClassifier` is initialized with `n_estimators=100` and default values for other critical hyperparameters (e.g., `learning_rate`, `max_depth`, `subsample`). These arbitrary values are unlikely to be optimal for the specific dataset, potentially leading to suboptimal model performance (either underfitting or overfitting).
    *   **Recommendation:** Perform hyperparameter tuning using techniques like `GridSearchCV` or `RandomizedSearchCV` in conjunction with cross-validation. Define a parameter grid or distribution and let the search algorithm find the best combination of hyperparameters that maximizes a chosen evaluation metric (e.g., ROC AUC, F1-score for the minority class, or recall, which are more appropriate for imbalanced classification than simple accuracy).
5.  **No Error Handling for Data Loading:**
    *   **Problem:** The code directly calls `pd.read_csv("fraud.csv")` without any error handling. If `fraud.csv` does not exist, is corrupted, or if the specified target column `"is_fraud"` is missing, the script will crash (e.g., `FileNotFoundError`, `KeyError`).
    *   **Recommendation:** Wrap data loading and initial column access in a `try-except` block to gracefully handle common issues like missing files or columns.
6.  **Lack of Readability and Modularity (Minor Bad Practice):**
    *   **Problem:** The code is written as a single, linear script. For more complex projects, this can reduce readability, make debugging harder, and hinder reusability.
    *   **Recommendation:** Encapsulate logical blocks of code into functions (e.g., `load_data`, `preprocess_data`, `train_model`, `evaluate_model`). This improves organization, makes the code easier to test, maintain, and understand.
### Example of an Improved Workflow (Conceptual)
To address these issues, a more robust workflow would typically involve:
```python
import pandas as pd
import numpy as np
from sklearn.model_selection import train_test_split, StratifiedKFold, GridSearchCV
from sklearn.ensemble import GradientBoostingClassifier
from sklearn.metrics import classification_report, make_scorer, roc_auc_score
from imblearn.over_sampling import SMOTE
from imblearn.pipeline import Pipeline as ImbPipeline # Use imblearn's Pipeline for SMOTE
from sklearn.preprocessing import StandardScaler, OneHotEncoder
from sklearn.compose import ColumnTransformer
def run_fraud_detection():
    # --- 1. Robust Data Loading and Initial Setup ---
    try:
        df = pd.read_csv("fraud.csv")
    except FileNotFoundError:
        print("Error: 'fraud.csv' not found. Please ensure the file is in the correct directory.")
        return
    except Exception as e:
        print(f"An error occurred while reading the CSV: {e}")
        return
    if "is_fraud" not in df.columns:
        print("Error: 'is_fraud' column not found in the dataset.")
        return
    X = df.drop("is_fraud", axis=1)
    y = df["is_fraud"]
    # --- Identify numerical and categorical features (Crucial Step) ---
    # This part depends heavily on your specific dataset.
    # Inspect df.dtypes or use domain knowledge.
    numerical_cols = X.select_dtypes(include=np.number).columns.tolist()
    categorical_cols = X.select_dtypes(include='object').columns.tolist()
    # --- 2. Train-Test Split (with stratification for imbalanced data) ---
    X_train, X_test, y_train, y_test = train_test_split(
        X, y, test_size=0.2, random_state=42, stratify=y
    )
    # --- 3. Preprocessing Pipeline with ColumnTransformer ---
    # Create preprocessors for numerical and categorical features
    numeric_transformer = StandardScaler()
    categorical_transformer = OneHotEncoder(handle_unknown='ignore') # handle_unknown='ignore' for robustness
    # Create a preprocessor object using ColumnTransformer
    preprocessor = ColumnTransformer(
        transformers=[
            ('num', numeric_transformer, numerical_cols),
            ('cat', categorical_transformer, categorical_cols)
        ],
        remainder='passthrough' # Keep other columns if any, or 'drop'
    )
    # --- 4. Integrated Pipeline with Preprocessor, SMOTE, and Classifier ---
    # imblearn's Pipeline allows seamless integration of resampling steps within CV
    pipeline = ImbPipeline([
        ('preprocessor', preprocessor), # Apply preprocessing first
        ('smote', SMOTE(random_state=42)), # Then apply SMOTE to preprocessed training data
        ('classifier', GradientBoostingClassifier(random_state=42)) # Finally, the classifier
    ])
    # --- 5. Hyperparameter Tuning with Stratified Cross-Validation ---
    param_grid = {
        'classifier__n_estimators': [50, 100, 200],
        'classifier__learning_rate': [0.01, 0.1, 0.2],
        'classifier__max_depth': [3, 5, 7],
        # Add other relevant hyperparameters here
    }
    # Use StratifiedKFold for cross-validation due to imbalanced data
    cv = StratifiedKFold(n_splits=5, shuffle=True, random_state=42)
    # Use ROC AUC as the scoring metric for imbalanced classification
    scorer = make_scorer(roc_auc_score)
    grid_search = GridSearchCV(
        pipeline,
        param_grid,
        cv=cv,
        scoring=scorer,
        n_jobs=-1, # Use all available CPU cores
        verbose=1
    )
    print("Starting GridSearchCV for hyperparameter tuning...")
    grid_search.fit(X_train, y_train)
    print(f"\nBest parameters found: {grid_search.best_params_}")
    print(f"Best cross-validation ROC AUC score: {grid_search.best_score_:.4f}")
    # --- 6. Final Evaluation on the Unseen Test Set ---
    best_model = grid_search.best_estimator_
    y_pred = best_model.predict(X_test)
    print("\nClassification Report on Test Set (using best model):")
    print(classification_report(y_test, y_pred))
if __name__ == "__main__":
    run_fraud_detection()
```</t>
  </si>
  <si>
    <t>The provided code does not exhibit any form of data leakage concerning the train-test split or the usage of the target during training.
Here's a breakdown of the key steps and considerations:
1. **Train-Test Split**:
   - The dataset is split into training and test sets using `train_test_split`. This ensures that the model is trained on one subset of the data (`X_train`, `y_train`) and evaluated on a separate subset (`X_test`, `y_test`). This helps to prevent information from the target leaking into the training process from the test set.
2. **SMOTE Oversampling**:
   - SMOTE is applied to `X_train` and `y_train` only. SMOTE is a technique to handle class imbalance by generating synthetic samples of the minority class. Importantly, it is applied only to the training data, which prevents information about the test set from influencing the oversampling process.
3. **Model Training and Evaluation**:
   - The model is trained on the oversampled training data (`X_train`, `y_train`) and then predictions are made on the test data (`X_test`). The test set remains untouched during the oversampling and training steps.
4. **Feature Engineering Concerns**:
   - The code snippet provided does not demonstrate any specific feature engineering steps that could introduce leakage. However, caution is warranted if feature engineering was performed prior to this step or if certain columns in the dataframe `df` inherently contain future information that would not be available at prediction time.
Based on the provided code snippet, no information from the test set is used to train the model, and no features are constructed using the target outcome that could lead to leakage. Thus, the code seems free from data leakage concerns. However, practical usage should always involve a review of the data and features to ensure no inherent leakage is present outside the scope of this snippet.</t>
  </si>
  <si>
    <t>Upon reviewing the provided Python machine learning pipeline code, it appears to be free of data leakage. Here’s the breakdown of the steps taken in the pipeline:
1. **Data Loading and Splitting**:
   - The dataset is loaded from a CSV file, and the target variable (`is_fraud`) is separated from the features (`X`).
   - The data is then split into training and test sets using `train_test_split()`, which is appropriately done with the `test_size` parameter set to 0.2. This step ensures that the model is trained on 80% of the data and evaluated on 20% held-out test data.
2. **SMOTE Oversampling**:
   - SMOTE (Synthetic Minority Over-sampling Technique) is applied to the training data. This is executed on `X_train` and `y_train` after the split. Importantly, SMOTE is fitted only on the training set, which prevents the test data from influencing the training phase. As a result, no information from the test set is leaked into the training set.
3. **Model Training and Prediction**:
   - The model is trained with the oversampled training data. Predictions are then made on the unseen test data (`X_test`), ensuring that the evaluation is performed strictly on data that the model has not been trained on.
### Why is Data Leakage a Problem?
Data leakage occurs when information from the test set (or validation set) is accidentally used during training, leading to overly optimistic performance estimates. If data leakage is present, it could result in a model that performs exceedingly well during evaluation but poorly in a real-world scenario, as it has been inadvertently trained on information it should not have had access to.
### Conclusion
In this code, no data leakage is present. The steps ensure that the model is trained and evaluated properly, adhering to the principles of maintaining the integrity of the training and testing processes.</t>
  </si>
  <si>
    <t>## Data Leakage Analysis
### Verdict: **No Data Leakage Present**
This pipeline is correctly structured. Here's a systematic breakdown of why:
---
### What the Code Does Correctly
**1. Train/Test Split Occurs First**
```python
X_train, X_test, y_train, y_test = train_test_split(
    X, y, test_size=0.2, random_state=42
)
```
The data is split **before** any processing. The test set is isolated immediately and never touched until final evaluation.
**2. SMOTE Is Applied Only to Training Data**
```python
smote = SMOTE(random_state=42)
X_train, y_train = smote.fit_resample(X_train, y_train)  # ✅ train only
```
This is the most common mistake in imbalanced-class pipelines — applying SMOTE before splitting, which would cause synthetic samples derived from test-set neighbors to appear in training. That mistake is **not present here**.
**3. Model Fits Only on Training Data**
```python
model.fit(X_train, y_train)  # ✅ train only
```
**4. Test Set Used Only for Final Evaluation**
```python
y_pred = model.predict(X_test)
print(classification_report(y_test, y_pred))  # ✅ held-out evaluation
```
---
### Potential Concerns Worth Noting
While there is no leakage in the code shown, a thorough review should confirm these assumptions about the **upstream data**:
```
⚠️  Cannot verify from code alone — depends on fraud.csv contents
```
| Concern | What to Check |
|---|---|
| **Target-leaking features** | Does `X` contain columns like `fraud_score`, `flagged_as_fraud`, or post-hoc derived fields? |
| **Temporal leakage** | If this is time-series fraud data, random splitting may mix future data into training. A time-based split would be more appropriate. |
| **Preprocessing absent** | No scaling or encoding is shown. If those steps exist elsewhere and were fit on all data, that would be leakage. |
---
### Recommended Hardening
For production robustness, wrap preprocessing and SMOTE in a `Pipeline` to make leakage-safety **structurally guaranteed** rather than reliant on careful ordering:
```python
from sklearn.pipeline import Pipeline
from imblearn.pipeline import Pipeline as ImbPipeline  # supports resamplers
pipeline = ImbPipeline([
    ("smote", SMOTE(random_state=42)),
    ("model", GradientBoostingClassifier(n_estimators=100, random_state=42))
])
pipeline.fit(X_train, y_train)
y_pred = pipeline.predict(X_test)
```
This approach ensures that if you later add preprocessing steps (e.g., `StandardScaler`), they are automatically fit only on training folds, even inside cross-validation.
---
### Summary
The code as written is **free of data leakage**. The critical ordering — split first, then resample — is handled correctly.</t>
  </si>
  <si>
    <t># Data Leakage Review
## ✅ **This code is FREE of data leakage.**
The pipeline correctly handles the train-test split and resampling. Here's why:
### Correct Implementation
1. **Train-test split happens first** — The data is split before any resampling, ensuring the test set remains completely isolated.
2. **SMOTE is fit only on training data** — `smote.fit_resample(X_train, y_train)` fits the resampling strategy exclusively to the training set. This means:
   - The synthetic minority samples are generated based only on training data distributions
   - No information from `X_test` or `y_test` influences the resampling
3. **Test set is never touched** — The test set remains untouched throughout training and is only used for final evaluation.
### Why This Matters
If SMOTE were applied **before** the train-test split:
```python
# ❌ WRONG - Data leakage!
X, y = smote.fit_resample(X, y)  # Uses full dataset
X_train, X_test, y_train, y_test = train_test_split(X, y, ...)
```
This would leak information because synthetic samples could be created based on patterns present in what becomes the test set, artificially inflating performance metrics.
### Verdict
Your pipeline follows the correct workflow:
```
Raw Data → Split → Fit preprocessing on training only → Train model → Evaluate on test
```
This is the proper way to handle resampling in machine learning pipelines.</t>
  </si>
  <si>
    <t>After reviewing the provided Python machine learning pipeline code, I can state that **this code does not contain any form of data leakage.**
Here's why:
1.  **Early `train_test_split`:** The most crucial step in preventing data leakage is performing the `train_test_split` **before** any data preprocessing, feature engineering, or model training. This code correctly implements this by splitting `X` and `y` into `_train` and `_test` sets right after loading the data and separating features from the target.
2.  **SMOTE Applied Only to Training Data:** The `SMOTE` oversampling technique is applied *only* to `X_train` and `y_train`. This is correct. If SMOTE were applied to the entire dataset (`X`, `y`) before the split, it would generate synthetic samples based on information from the test set, and these synthetic samples (or samples derived from the same distribution) could then end up in both the training and test sets, leading to inflated performance metrics. By restricting SMOTE to the training set, the test set remains truly unseen and uninfluenced.
3.  **Model Training on Training Data:** The `GradientBoostingClassifier` is `fit` exclusively on `X_train` and `y_train`. This ensures that the model learns patterns only from the designated training data.
4.  **Prediction and Evaluation on Test Data:** Predictions are made on `X_test`, and the evaluation report uses `y_test` and `y_pred`. This is the correct way to assess the model's generalization performance on unseen data.
In summary, the pipeline correctly separates the data into training and test sets at an early stage and ensures that all subsequent data transformations (like SMOTE) and model fitting steps only utilize the training data, thereby preventing any information from the test set from influencing the model's learning process.</t>
  </si>
  <si>
    <t>8A</t>
  </si>
  <si>
    <t>temporal</t>
  </si>
  <si>
    <t>The provided Python code demonstrates a machine learning workflow using a `RandomForestRegressor` to predict stock prices based on historical data. Overall, the code is functional but reveals a few issues and potential for improvement. Here's a detailed breakdown of the problems or improvements:
1. **Handling of Missing Data**:
    - **Issue**: There is no check for missing values in either the feature set `X` or the target `y`. Missing data can lead to errors in training the model or might degrade the performance.
    - **Solution**: Consider adding steps to handle missing values, such as imputation strategies or removing incomplete rows.
2. **Feature Engineering**:
    - **Issue**: The feature set includes "moving_avg_7", which suggests a pre-calculated rolling average over the past seven days. However, there is no information on whether there are NaN values at the start due to this rolling calculation.
    - **Solution**: Verify that "moving_avg_7" is correctly computed and does not include any NaNs at the beginning that might interfere with model training.
3. **Time Series Consideration**:
    - **Issue**: The data represents time series data (stock prices over time), but `train_test_split` randomly splits the data into training and testing sets, potentially leading to unrealistic models by allowing information leakage backward in time.
    - **Solution**: Consider using a time-based split instead to reflect the chronological order, ensuring that the model is evaluated on unseen future data.
4. **Assumption of Data Availability**:
    - **Issue**: The code assumes that all necessary columns ("open", "high", "low", "volume", and "moving_avg_7") are present in the data without verification.
    - **Solution**: Introduce a check to confirm the presence of these columns in the DataFrame before proceeding.
5. **Output Clarity**:
    - **Issue**: While printing the mean absolute error is useful, it may be beneficial to provide more context or additional metrics to evaluate the model's performance comprehensively.
    - **Solution**: Consider adding other evaluation metrics like R-squared, or visualize predictions versus true values to gain deeper insights into the model's performance.
6. **Lack of Hyperparameter Tuning**:
    - **Issue**: The model uses default hyperparameters except for the number of estimators and random seed. While this basic setting can work, more optimal performance might be achievable with hyperparameter tuning.
    - **Solution**: Implement hyperparameter tuning using techniques such as GridSearchCV or RandomizedSearchCV for better model performance.
Implementing these suggestions will improve the robustness, reliability, and performance of the model on stock price prediction tasks.</t>
  </si>
  <si>
    <t>The provided Python code appears to be well-structured for working with a dataset related to stock prices and training a Random Forest Regressor. However, there are several issues, potential bugs, and bad practices that could be addressed. Below, I outline these concerns and provide explanations for each:
1. **Missing Data Handling**:
   - **Issue**: The code does not check for or handle any missing values in the dataset. If any of the target or feature columns contain NaN values, the model training will fail or yield unexpected results.
   - **Fix**: Add data cleaning steps to check for missing values and handle them appropriately (e.g., dropping rows, filling with mean, etc.).
     ```python
     if df.isnull().values.any():
         df = df.dropna()  # Or use another method for handling missing values
     ```
2. **Feature Engineering Without Validation**:
   - **Issue**: The column `moving_avg_7` is referenced as a feature, but there is no indication in the code that it has been calculated or exists in the CSV file. If this column does not exist, it will raise an error.
   - **Fix**: Ensure that `moving_avg_7` is properly calculated from the `close` prices (or whichever relevant column) before forming the features.
     ```python
     df["moving_avg_7"] = df["close"].rolling(window=7).mean()
     ```
3. **Data Leakage Concern**:
   - **Issue**: The calculation of `moving_avg_7` (if included) may cause data leakage if it's calculated using the full dataset before splitting into train and test sets. The moving average should be calculated only on the training data to prevent influencing the model with future information.
   - **Fix**: Calculate the moving average after splitting the data, or use a method that does not allow leakage.
     ```python
     # Calculate moving average after splitting
     df["moving_avg_7"] = df["close"].rolling(window=7).mean().shift()
     ```
4. **Lack of Scaling**:
   - **Issue**: For tree-based models like Random Forest, feature scaling is not strictly necessary, but if other models are introduced later in the process, it would be wise to include some form of normalization or scaling statement in the code comment to guide future modifications.
   - **Fix**: Consider adding comments regarding scaling if other models with scaling requirements may be used down the line.
5. **Hardcoded File Path**:
   - **Issue**: The file path to the CSV (`"stock_prices.csv"`) is hardcoded, which can make the code less flexible and harder to maintain.
   - **Fix**: Use a configurable variable (like a function parameter) or command-line arguments to specify the file path.
     ```python
     import argparse
     parser = argparse.ArgumentParser(description='Process stock price data.')
     parser.add_argument('--file', type=str, default='stock_prices.csv', help='Path to CSV file')
     args = parser.parse_args()
     df = pd.read_csv(args.file)
     ```
6. **Use of Print Statements for Output**:
   - **Issue**: A basic print statement is used for outputting the MAE. For larger applications or in production systems, it's often better practice to use logging, which provides more control over the output.
   - **Fix**: Replace print with logging.
     ```python
     import logging
     logging.basicConfig(level=logging.INFO)
     logging.info(f"MAE: {mean_absolute_error(y_test, y_pred):.4f}")
     ```
7. **Code Modularity**:
   - **Issue**: The script is linear and lacks modularity. If the dataset grows in complexity or the number of steps increases, the code can become harder to maintain.
   - **Fix**: Encapsulate the code in functions to promote reusability and clarity.
     ```python
     def load_data(file_path):
         # Load and preprocess data
     def train_model(X_train, y_train):
         # Train model
     def evaluate_model(model, X_test, y_test):
         # Evaluate model
     ```
By addressing these concerns, the code will become more robust, maintainable, and easier to collaborate on or adapt in the future.</t>
  </si>
  <si>
    <t>## Code Review: Stock Price Prediction
This code has several significant issues ranging from critical methodological flaws to minor code quality problems.
---
### 🔴 Critical Issues
#### 1. Temporal Data Leakage (Most Severe)
```python
# PROBLEM: Random split destroys time ordering
X_train, X_test, y_train, y_test = train_test_split(
    X, y, test_size=0.2, random_state=42  # randomly shuffles time series data
)
# FIX: Use chronological split to simulate real-world prediction
split_index = int(len(X) * 0.8)
X_train, X_test = X.iloc[:split_index], X.iloc[split_index:]
y_train, y_test = y.iloc[:split_index], y.iloc[split_index:]
```
Using `train_test_split` on time series data allows the model to train on **future data** to predict the past. This produces artificially inflated performance metrics that won't hold in production.
---
#### 2. Feature Leakage in Predictors
```python
# PROBLEM: These features are not available before market close
features = ["open", "high", "low", "volume", "moving_avg_7"]
# High, low, and volume are typically finalized AT close, meaning
# you wouldn't have them when predicting the closing price in real-time.
# FIX: Shift features forward by one period, or only use
# features genuinely available before close
features = ["open", "moving_avg_7"]  # only pre-close features
# OR use previous day's values for intraday features
X["prev_high"] = X["high"].shift(1)
X["prev_low"] = X["low"].shift(1)
X["prev_volume"] = X["volume"].shift(1)
```
---
#### 3. Moving Average Calculated on Full Dataset
```python
# PROBLEM: moving_avg_7 likely computed before the train/test split,
# meaning test set moving averages incorporate training set future values
df["moving_avg_7"] = df["close"].rolling(7).mean()  # (assumed in preprocessing)
# FIX: Compute rolling features only on training data,
# then apply carefully to test data, or compute before splitting
# but be aware of the boundary contamination at the split point
```
---
### 🟡 Significant Issues
#### 4. No Missing Value Handling
```python
# PROBLEM: No check for NaN values, which will cause silent failures
# The moving_avg_7 column alone introduces NaN for the first 6 rows
X = df[features]  # NaNs passed directly to model
# FIX: Explicitly handle missing values
print(X.isnull().sum())  # inspect first
# Option A: Drop rows with NaN
df = df.dropna(subset=features)
# Option B: Forward-fill (appropriate for time series)
df[features] = df[features].ffill()
# Option C: Impute with rolling stats
```
---
#### 5. No Input Data Validation
```python
# PROBLEM: Code assumes CSV exists and has correct columns with no checks
df = pd.read_csv("stock_prices.csv")  # FileNotFoundError if missing
X = df[features]                       # KeyError if columns absent
# FIX: Add validation
import os
if not os.path.exists("stock_prices.csv"):
    raise FileNotFoundError("stock_prices.csv not found")
required_columns = features + ["close", "date"]
missing = [col for col in required_columns if col not in df.columns]
if missing:
    raise ValueError(f"Missing required columns: {missing}")
```
---
#### 6. Insufficient Evaluation Metrics
```python
# PROBLEM: MAE alone is misleading for stock prices
# A model predicting yesterday's price could achieve low MAE trivially
print(f"MAE: {mean_absolute_error(y_test, y_pred):.4f}")
# FIX: Use multiple complementary metrics
from sklearn.metrics import mean_absolute_percentage_error, r2_score
import numpy as np
mae = mean_absolute_error(y_test, y_pred)
mape = mean_absolute_percentage_error(y_test, y_pred)
r2 = r2_score(y_test, y_pred)
rmse = np.sqrt(np.mean((y_test - y_pred) ** 2))
# Also compare against a naive baseline
naive_pred = y_test.shift(1).dropna()
naive_mae = mean_absolute_error(y_test[1:], naive_pred)
print(f"MAE:        {mae:.4f}")
print(f"MAPE:       {mape:.4%}")
print(f"R²:         {r2:.4f}")
print(f"RMSE:       {rmse:.4f}")
print(f"Naive MAE:  {naive_mae:.4f}  (baseline)")
```
---
### 🟠 Moderate Issues
#### 7. No Feature Scaling (Minor for Random Forest, Important for Extensions)
```python
# PROBLEM: No normalization applied. Random forests don't require it,
# but this code may be extended to models that do (SVR, neural nets).
# Also, volume is on a vastly different scale than price features.
# FIX: Add scaling as good practice, especially if model changes
from sklearn.preprocessing import StandardScaler
scaler = StandardScaler()
X_train_scaled = scaler.fit_transform(X_train)  # fit ONLY on training data
X_test_scaled = scaler.transform(X_test)        # transform test with training params
```
---
#### 8. No Model Persistence
```python
# PROBLEM: Model is trained but never saved, requiring retraining each run
# FIX: Save the model and scaler together
import joblib
joblib.dump({"model": model, "features": features}, "stock_model.pkl")
# Load later:
# saved = joblib.load("stock_model.pkl")
# model = saved["model"]
```
---
#### 9. Hardcoded File Path and Hyperparameters
```python
# PROBLEM: Not configurable or reproducible across environments
df = pd.read_csv("stock_prices.csv")         # hardcoded path
model = RandomForestRegressor(n_estimators=100)  # untuned hyperparameters
# FIX: Use configuration or argument parsing
import argparse
parser = argparse.ArgumentParser()
parser.add_argument("--data", default="stock_prices.csv")
parser.add_argument("--n-estimators", type=int, default=100)
args = parser.parse_args()
df = pd.read_csv(args.data)
```
---
### 🟢 Minor Issues
#### 10. No Logging or Progress Feedback
```python
# PROBLEM: Silent execution makes debugging difficult in production
# FIX: Use logging instead of print
import logging
logging.basicConfig(level=logging.INFO)
logger = logging.getLogger(__name__)
logger.info("Loading data from %s", data_path)
logger.info("Training on %d samples, testing on %d", len(X_train), len(X_test))
logger.info("MAE: %.4f", mae)
```
---
#### 11. No Cross-Validation Strategy for Time Series
```python
# PROBLEM: Single train/test split gives high-variance estimates
# FIX: Use TimeSeriesSplit for more reliable evaluation
from sklearn.model_selection import TimeSeriesSplit, cross_val_score
tscv = TimeSeriesSplit(n_splits=5)
cv_scores = cross_val_score(
    model, X, y, cv=tscv, scoring="neg_mean_absolute_error"
)
print(f"CV MAE: {-cv_scores.mean():.4f} ± {cv_scores.std():.4f}")
```
---
### Summary Table
| # | Issue | Severity | Category |
|---|-------|----------|----------|
| 1 | Random split on time series | 🔴 Critical | Methodology |</t>
  </si>
  <si>
    <t># Code Review: Issues and Problems Found
## 1. **Data Leakage - CRITICAL** ⚠️
```python
df = df.sort_values("date")
X_train, X_test, y_train, y_test = train_test_split(X, y, test_size=0.2, random_state=42)
```
**Problem:** The data is sorted by date, then randomly split. This breaks temporal integrity - the model trains on future data and tests on past data, causing unrealistic performance metrics.
**Fix:** Split by date before sorting, or use time-based splitting:
```python
split_idx = int(len(df) * 0.8)
X_train, X_test = X.iloc[:split_idx], X.iloc[split_idx:]
y_train, y_test = y.iloc[:split_idx], y.iloc[split_idx:]
```
---
## 2. **Forward-Looking Features** ⚠️
```python
features = ["open", "high", "low", "volume", "moving_avg_7"]
```
**Problem:** If `moving_avg_7` includes the current day's close price, it leaks future information into training. Moving averages must be calculated only on past data.
**Fix:** Ensure moving averages don't include the target date:
```python
df["moving_avg_7"] = df["close"].shift(1).rolling(7).mean()
```
---
## 3. **Missing Data Handling**
```python
X = df[features]
y = df["close"]
```
**Problem:** No check for missing values. If the CSV has NaNs or `moving_avg_7` creates NaNs (first 6 rows), the model will fail or behave unexpectedly.
**Fix:** 
```python
df = df.dropna()
# Or explicitly check:
print(f"Missing values:\n{df[features + ['close']].isnull().sum()}")
```
---
## 4. **No Input Validation**
```python
df = pd.read_csv("stock_prices.csv")
```
**Problem:** No error handling if the file doesn't exist or is malformed. Missing columns will silently fail.
**Fix:**
```python
try:
    df = pd.read_csv("stock_prices.csv")
    required_cols = features + ["close", "date"]
    if not all(col in df.columns for col in required_cols):
        raise ValueError(f"Missing required columns")
except FileNotFoundError:
    print("Error: stock_prices.csv not found")
    exit(1)
```
---
## 5. **Insufficient Model Evaluation**
```python
print(f"MAE: {mean_absolute_error(y_test, y_pred):.4f}")
```
**Problem:** Only one metric on test set. No train/test comparison (overfitting detection), no cross-validation, no baseline comparison.
**Fix:**
```python
train_pred = model.predict(X_train)
print(f"Train MAE: {mean_absolute_error(y_train, train_pred):.4f}")
print(f"Test MAE:  {mean_absolute_error(y_test, y_pred):.4f}")
print(f"Test RMSE: {np.sqrt(mean_squared_error(y_test, y_pred)):.4f}")
```
---
## 6. **No Feature Scaling** ⚠️
```python
model = RandomForestRegressor(n_estimators=100, random_state=42)
```
**Problem:** While RandomForest doesn't strictly require scaling, features like "volume" (often 1M+) may dominate trees if not properly handled. This is a minor issue but worth noting.
---
## 7. **No Random State for Train/Test Split Reproducibility**
Already has `random_state=42` ✓ (Good practice, but see #1)
---
## 8. **Hardcoded Parameters**
```python
n_estimators=100, test_size=0.2, random_state=42
```
**Problem:** Magic numbers scattered in code. No hyperparameter tuning or sensitivity analysis.
**Fix:**
```python
CONFIG = {
    'test_size': 0.2,
    'n_estimators': 100,
    'random_state': 42
}
```
---
## Summary Table
| Issue | Severity | Type |
|-------|----------|------|
| Data leakage (temporal split) | 🔴 CRITICAL | Logic |
| Forward-looking features | 🔴 CRITICAL | Logic |
| Missing data handling | 🟠 HIGH | Robustness |
| No input validation | 🟠 HIGH | Robustness |
| Insufficient evaluation | 🟡 MEDIUM | Analysis |
| Hardcoded parameters | 🟡 MEDIUM | Style |
The code will likely run but **produces invalid results** due to data leakage in a time-series problem.</t>
  </si>
  <si>
    <t>The provided Python code attempts to build a machine learning model to predict stock prices. While it demonstrates a basic workflow, it contains several critical issues, bugs, and bad practices, especially concerning the nature of time-series data.
Here's a breakdown of the problems:
---
### Critical Issues / Bugs
1.  **Missing Feature Calculation (`moving_avg_7`)**:
    *   **Problem**: The feature `moving_avg_7` is included in the `features` list (`features = ["open", ..., "moving_avg_7"]`), but the code never actually calculates or adds this column to the `df` DataFrame.
    *   **Impact**: This will cause a `KeyError` when `X = df[features]` is executed, immediately crashing the script.
    *   **Solution**: You need to explicitly calculate the 7-day moving average (or whatever it's intended to be) and add it as a new column to your DataFrame *before* defining `X`.
        ```python
        # Example fix:
        df["moving_avg_7"] = df["close"].rolling(window=7, min_periods=1).mean()
        # Ensure this is done BEFORE X = df[features]
        ```
    *   **Bad Practice**: Using a feature without defining it is a fundamental bug.
2.  **Incorrect Train-Test Split for Time Series Data (Data Leakage)**:
    *   **Problem**: The most severe issue is the use of `sklearn.model_selection.train_test_split`. This function performs a *random* split of the data. For time-series data like stock prices, a random split means that data from the future (e.g., a stock price from 2023) could be used to train the model, which is then tested on past data (e.g., a stock price from 2022).
    *   **Impact**: This leads to severe "data leakage." The model will effectively "see the future" during training, resulting in unrealistically good performance metrics (MAE) that will not generalize at all to real-world prediction scenarios where only historical data is available.
    *   **Solution**: For time series, you *must* perform a time-based split. Train on an earlier period of data and test on a subsequent, later period.
        ```python
        # Example fix:
        # Determine split point based on date or index
        split_date = df["date"].quantile(0.8) # Or a specific date, e.g., pd.Timestamp("2022-01-01")
        train_df = df[df["date"] &lt; split_date]
        test_df = df[df["date"] &gt;= split_date]
        X_train = train_df[features]
        y_train = train_df["close"]
        X_test = test_df[features]
        y_test = test_df["close"]
        ```
    *   **Bad Practice**: Applying random splitting to time-series data is a fundamental methodological error in machine learning.
---
### Potential Issues / Bad Practices
3.  **Lack of Error Handling**:
    *   **Problem**: The code assumes that `stock_prices.csv` exists, that it contains 'date', 'open', 'high', 'low', 'volume', and 'close' columns, and that the 'date' column is perfectly parsable.
    *   **Impact**: If the file is missing, columns don't exist, or date formats are incorrect, the script will crash with `FileNotFoundError`, `KeyError`, or `ParserError` respectively.
    *   **Solution**: Wrap critical I/O and data processing steps in `try-except` blocks.
        ```python
        try:
            df = pd.read_csv("stock_prices.csv")
        except FileNotFoundError:
            print("Error: 'stock_prices.csv' not found. Please ensure the file is in the correct directory.")
            exit() # Or raise a more specific exception
        if "date" not in df.columns:
            print("Error: 'date' column not found in the DataFrame.")
            exit()
        # Similar checks for other critical columns
        ```
4.  **Implicit Assumptions about Data Quality/Completeness**:
    *   **Problem**: The code doesn't check for missing values (`NaN`s) in any of the feature or target columns. It also doesn't handle potential outliers or non-numeric data if the CSV structure isn't perfectly clean.
    *   **Impact**: Missing values can lead to errors in calculations (like moving averages) or cause the model to fail during training if not handled by the specific scikit-learn estimator. Outliers can distort model training.
    *   **Solution**: Include explicit data cleaning steps:
        *   Check for `df.isnull().sum()`.
        *   Decide on a strategy for NaNs: `df.dropna()`, `df.fillna()`, or imputation.
        *   Consider outlier detection and handling, although for stock data, extreme values might be legitimate.
5.  **No Lag Features (Time Series Specific)**:
    *   **Problem**: While `moving_avg_7` is an improvement, the model solely relies on the *current day's* open, high, low, and volume to predict the *current day's* close. This is generally not how stock price prediction is framed. Typically, you'd use *previous days'* data (lagged features) to predict the *next day's* close. Predicting the current day's close from its current open/high/low/volume is more of a high-frequency trading or intra-day modeling problem, which is very different.
    *   **Impact**: If the goal is to predict future stock prices, the current feature set is insufficient. If the goal is intra-day, the dataset might need to be higher frequency.
    *   **Solution**: Introduce lagged versions of features (e.g., `close_lag_1`, `volume_lag_1`). Define the prediction target more clearly (e.g., predicting `close` of *tomorrow* using today's data).
        ```python
        # Example: Add lag features
        df["close_lag_1"] = df["close"].shift(1)
        df["volume_lag_1"] = df["volume"].shift(1)
        # Remember to handle NaNs created by shifting
        ```
        And redefine the target:
        ```python
        # To predict next day's close
        df["target_close"] = df["close"].shift(-1)
        # Drop the last row as its target would be NaN
        df = df.dropna(subset=["target_close"])
        y = df["target_close"]
        # Make sure X also has no future information
        ```
6.  **Over-reliance on Hardcoded Column Names**:
    *   **Problem**: All column names (`"date"`, `"open"`, `"close"`, etc.) are hardcoded strings.
    *   **Impact**: If the CSV file changes column names, the script will break.
    *   **Solution**: For more robust code, consider using constants or configuration files for column names, especially in larger applications. At minimum, ensure validation checks.
7.  **Lack of Documentation/Comments**:
    *   **Problem**: The code is short, but lacks any comments explaining the purpose of different sections, the assumptions made, or why specific choices (like `random_state=42`) were made.
    *   **Impact**: Reduces readability and maintainability, especially for others (or your future self) trying to understand or modify the code.
    *   **Solution**: Add comments to explain non-obvious parts of the code.
8.  **Model Persistence**:
    *   **Problem**: The trained `model` is not saved.
    *   **Impact**: If you want to use this model later for actual predictions without retraining, you'd have to rerun the entire training process every time.
    *   **Solution**: Use `joblib` or `pickle` to save the trained model to disk.
        ```python
        import joblib
        # After training:
        joblib.dump(model, "random_forest_stock_predictor.pkl")
        # To load later:
        # loaded_model = joblib.load("random_forest_stock_predictor.pkl")
        ```
---
### Summary of Major Concerns
The two most critical problems are:
1.  The **missing calculation of `moving_avg_7`**, which will prevent the script from running.
2.  The **incorrect `train_test_split` for time series**, which introduces data leakage and renders the model's performance metrics completely unreliable for real-world scenarios.
Addressing these fundamental issues is crucial before considering any further refinements.</t>
  </si>
  <si>
    <t>This code does not appear to contain explicit data leakage based on the provided details, assuming the features are properly defined and recorded. However, there are a couple of potential considerations that could imply leakage or issues indirectly, which are worth verifying:
1. **Moving Average Feature**:
   - **Potential Issue**: The `moving_avg_7` feature could potentially introduce leakage if it is calculated using future data beyond the current date being predicted. For example, if the moving average for a day is computed using data from days beyond that day, then it would not be valid for making predictions at runtime since such future data would not be available.
   - **Solution**: Verify that `moving_avg_7` is calculated only from prior days' data up to the current day being predicted.
2. **Temporal Train-Test Split**:
   - **Consideration**: The standard `train_test_split` approach used here does not respect the temporal order of the data. Although not a direct leakage issue, this could be problematic in time series data where the temporal relationship is important for model evaluation.
   - **Solution**: Consider using a time series-specific train-test split method, such as using the first portion of the dataset as the training set and the latter portion as the test/validation set to better reflect real-world scenarios where models are used to predict future values.
Assuming the `moving_avg_7` is correctly computed without lookahead bias, and time series considerations are properly addressed, the code itself does not contain data leakage in the traditional sense. However, validation of feature construction and deployment-time data availability must be ensured to prevent any unintended leakage.</t>
  </si>
  <si>
    <t>In the provided code for the machine learning pipeline, we need to assess the data preparation steps and the feature engineering process to check for potential data leakage.
### Analysis of Data Leakage
1. **Data Leakage Potential:**
   - One key suspect for data leakage is the feature `moving_avg_7`. If this moving average is calculated using future data (i.e., using prices of the days in the test set), it would lead to data leakage. Specifically, if `moving_avg_7` is computed without properly handling future values that would not be available at prediction time, it may inadvertently incorporate information about the target variable `y` (in this case, the "close" price).
2. **Explanation of the Issue:**
   - **Future Information:** If the calculation of the 7-day moving average includes data points that are from the test set timeframe when creating the feature, then the model will have access to information it would not have when making real predictions. This means that during training, the model might learn patterns from data that it shouldn't have been able to access, thereby inflating its performance metrics.
   - **Over-reliance on Features:** Using features that encode information about the future will lead to overly optimistic performance during evaluation and result in poor generalization to unseen data in real-world scenarios.
### Recommendation
To avoid data leakage, the calculation of `moving_avg_7` should be adjusted to ensure it only uses past and present information relative to the prediction point. This can usually be accomplished by ensuring that during training, the moving average is computed using only the days prior to the current date. 
Here's a suggested approach for recalculating `moving_avg_7` to prevent leakage:
```python
# Calculate moving average while ensuring no leakage
df["moving_avg_7"] = df["close"].shift(1).rolling(window=7, min_periods=1).mean()  # Note the shift by 1
```
### Conclusion
In summary, the provided code can lead to data leakage through the feature `moving_avg_7` if it does not strictly account for future data when calculating the moving average. Therefore, it is important to adjust the feature creation process to prevent this issue, ensuring the model remains valid for actual prediction scenarios.</t>
  </si>
  <si>
    <t>## Data Leakage Analysis
This code contains **two distinct data leakage problems**.
---
### Problem 1: Random Split on Time-Series Data
```python
X_train, X_test, y_train, y_test = train_test_split(
    X, y, test_size=0.2, random_state=42  # ← shuffles time-series data randomly
)
```
**Why this is leakage:**
Although the data is sorted by date beforehand, `train_test_split` with no `shuffle=False` argument **randomly shuffles** the rows by default. This means training data will contain rows from dates that are *later* than some test rows.
The model effectively trains on "future" data relative to some of the dates it is asked to predict, which is impossible in real deployment. This artificially inflates performance metrics.
**Fix — use a chronological split:**
```python
split_index = int(len(X) * 0.8)
X_train, X_test = X.iloc[:split_index], X.iloc[split_index:]
y_train, y_test = y.iloc[:split_index], y.iloc[split_index:]
```
---
### Problem 2: The `moving_avg_7` Feature Is Computed Before the Split
```python
features = ["open", "high", "low", "volume", "moving_avg_7"]
X = df[features]  # ← moving_avg_7 already exists in the dataframe
```
The code reads `moving_avg_7` directly from the CSV, meaning it was presumably computed over the **entire dataset** before the train/test split was made. A 7-day moving average at time *t* uses prices from days *t-6* through *t*, so:
- For rows **near the train/test boundary**, the moving average of a training row may incorporate prices that fall in the test period.
- The computation used the full dataset's statistics rather than only past data relative to training.
Even if the average only looks *backward* by 7 days, computing it on the full dataframe before splitting means the split boundary rows are contaminated.
**Fix — compute the feature only after splitting, or verify it is computed strictly from prior rows using a proper time-aware method:**
```python
# After the chronological split, compute the rolling feature on training data only,
# then apply the same rolling logic forward into the test set.
split_index = int(len(df) * 0.8)
train_df = df.iloc[:split_index].copy()
test_df  = df.iloc[split_index:].copy()
# Compute on the full sorted series but verify no future data bleeds in
full_series = df["close"].rolling(window=7, min_periods=1).mean()
train_df["moving_avg_7"] = full_series.iloc[:split_index]
test_df["moving_avg_7"]  = full_series.iloc[split_index:]
```
---
### Summary Table
| Issue | Type | Effect |
|---|---|---|
| Random shuffle of time-series | Train/test boundary leakage | Model trains on future data |
| `moving_avg_7` pre-computed on full dataset | Feature leakage across split boundary | Feature encodes future information |
Both issues would cause the reported MAE to be **optimistically biased** — the model appears better than it would be in real-world deployment.</t>
  </si>
  <si>
    <t># Data Leakage Review
## **CRITICAL DATA LEAKAGE FOUND**
This code contains a **serious data leakage problem** related to the `moving_avg_7` feature.
### The Problem
The `moving_avg_7` feature (a 7-day moving average) is computed on the **entire dataset** before the train-test split:
```python
df["moving_avg_7"]  # Computed on full df
X = df[features]
X_train, X_test, y_train, y_test = train_test_split(X, y, ...)
```
**Why this leaks information:**
1. **Future information in test set**: The moving average for any given date depends on the previous 7 days of prices. For test set samples, this moving average was computed using data from the *entire* timeline, including dates that come *after* the test sample in real time.
2. **Non-stationary time series violation**: Stock prices are inherently temporal. A random train-test split violates the chronological order. The `moving_avg_7` values in the test set are contaminated with information from what would be "future" observations in a real prediction scenario.
3. **Inflated performance metrics**: The model will appear to perform better than it actually would in production, because it has access to information it shouldn't have.
### Example Scenario
- A test sample on 2024-01-15 has its moving average computed using data through 2024-12-31
- In real prediction, you'd only have data up to 2024-01-14 to compute this average
- The model learns patterns based on "future-leaked" information
---
## How to Fix It
**Option 1: Compute moving average AFTER the split** (if features must be forward-looking):
```python
X_train, X_test, y_train, y_test = train_test_split(
    X[["open", "high", "low", "volume"]], 
    y, test_size=0.2, random_state=42
)
# Compute moving_avg_7 separately for train and test
X_train["moving_avg_7"] = df.loc[X_train.index, "close"].rolling(7).mean()
X_test["moving_avg_7"] = df.loc[X_test.index, "close"].rolling(7).mean()
```
**Option 2: Use time-based split** (recommended for time series):
```python
split_idx = int(len(df) * 0.8)
X_train, X_test = X[:split_idx], X[split_idx:]
y_train, y_test = y[:split_idx], y[split_idx:]
```
**Option 3: Use `moving_avg_7` computed only from prior data**:
```python
df["moving_avg_7"] = df["close"].shift(1).rolling(7).mean()
```
The best choice depends on your use case, but **temporal order must be respected**.</t>
  </si>
  <si>
    <t>The provided Python machine learning pipeline code contains **data leakage**. Specifically, there are two potential sources of leakage: one definite and one highly probable, both stemming from the time-series nature of the data.
Here's where the data leakage occurs and why it's a problem:
### 1. Definite Data Leakage: Inappropriate `train_test_split` for Time-Series Data
*   **Where it occurs:**
    ```python
    X_train, X_test, y_train, y_test = train_test_split(
        X, y, test_size=0.2, random_state=42
    )
    ```
    Although the data is correctly sorted by `date` (`df = df.sort_values("date")`), `sklearn.model_selection.train_test_split` performs a *random* shuffle before splitting by default.
*   **Why it is a problem:**
    When dealing with time-series data (like stock prices), the goal is to predict future values based on past information. A random `train_test_split` shuffles the data, which means:
    *   The `X_train` set can contain data points from *after* some data points in the `X_test` set. For example, the model might be trained on stock prices from 2023 and then asked to predict stock prices from 2022.
    *   This allows the model to "see" future trends, patterns, or even specific future events during training that would not be available in a real-world prediction scenario.
    *   The model's performance on the `X_test` set will therefore be overly optimistic and not representative of its true generalization capability for future, unseen data. It's essentially cheating by looking at the future to predict the past/present.
*   **How to fix:**
    For time-series data, you must perform a time-based split. This means training on an earlier period of data and testing on a later, contiguous period. For example:
    ```python
    # Example time-based split
    split_date = df["date"].max() - pd.DateOffset(years=2) # e.g., last 2 years for testing
    X_train = X[df["date"] &lt; split_date]
    y_train = y[df["date"] &lt; split_date]
    X_test = X[df["date"] &gt;= split_date]
    y_test = y[df["date"] &gt;= split_date]
    ```
    This ensures that the training data strictly precedes the test data.
### 2. Probable Data Leakage: `moving_avg_7` Feature Definition
*   **Where it occurs:**
    ```python
    features = ["open", "high", "low", "volume", "moving_avg_7"]
    ```
    The code doesn't show how the `moving_avg_7` feature is calculated. It's assumed to be part of the `stock_prices.csv` file.
*   **Why it is a problem (potential):**
    If `moving_avg_7` for a specific day `D` is calculated using the `close` price of that *same day D* (which is your target variable `y`) or any `close` prices from *future days* (e.g., a centered moving average), then this feature directly encodes information about the target that would not be available at prediction time.
    *   When you are trying to predict the closing price for "today" (or tomorrow), you wouldn't know "today's" closing price (or tomorrow's closing price) to calculate a moving average that includes it.
*   **How to fix:**
    Ensure that `moving_avg_7` (and any other derived features) are calculated using only information strictly available *prior* to the time point for which the prediction is being made.
    *   For example, if you're predicting `close` for day `D`, `moving_avg_7` should only be based on `close` prices from days `D-1, D-2, ..., D-7` (i.e., historical data only).
    *   A common way to compute a non-leaky moving average for prediction is `df['close'].shift(1).rolling(window=7).mean()`, which uses the closing prices of the previous 7 days *before* the current day.
### Summary of Leakage
The most critical and definite data leakage in this code is the use of a **random `train_test_split` on time-series data**. This fundamentally invalidates the model evaluation because the model is trained on future information. The potential leakage from the `moving_avg_7` feature itself would be a secondary, but still significant, issue if it's calculated using contemporaneous or future target information.</t>
  </si>
  <si>
    <t>8B</t>
  </si>
  <si>
    <t>temporal_clean</t>
  </si>
  <si>
    <t>The given Python code seems to be a script for training a Random Forest Regressor on historical stock price data. While the code is mostly functional, there are several issues and areas for improvement:
1. **Missing Value Handling:**
   - The code does not check for or handle missing values in the dataset. If `stock_prices.csv` contains missing values, this could lead to errors or poor model performance. It's essential to preprocess the data by handling missing values appropriately, either by imputation or removal.
2. **Feature Engineering:**
   - The feature set `["open", "high", "low", "volume", "moving_avg_7"]` assumes all these columns exist in the dataset. If any of these columns are missing, the script will raise an error. Additionally, without domain knowledge, it's not clear whether these features are the best choice, and they should be validated for correlation with the target variable `close`.
3. **Date Feature:**
   - The code converts the `date` column to a datetime object but doesn't use it as a feature. In time-series data, the date or time features are often crucial for modeling, (e.g., extracting day, month, and trends), especially for stocks.
4. **Data Leakage:**
   - Ensuring no data leakage is critical, especially since time-series data is involved. The code appears to handle this correctly by sorting and splitting the data chronologically, but any changes to this logic such as feature scaling before splitting should be done with caution to avoid leakage.
5. **Hyperparameter Tuning:**
   - The RandomForestRegressor is used with default hyperparameters, apart from `n_estimators` and `random_state`. It's often beneficial to perform hyperparameter tuning using techniques such as Grid Search or Random Search to find the best-performing model.
6. **Model Evaluation:**
   - The only metric used here for model evaluation is the Mean Absolute Error (MAE). While MAE is useful, other metrics such as Root Mean Squared Error (RMSE), R-squared, etc., can also provide more insights into model performance.
7. **Random Seed:**
   - The code uses `random_state=42`, which is good practice for reproducibility, but it might be beneficial to mention why this particular value was chosen or consider running experiments with different random seed values.
8. **Output Clarity:**
   - The output statement `print(f"MAE: {mean_absolute_error(y_test, y_pred):.4f}")` is clear, but additional details like relative performance or a baseline comparison (e.g., predicting mean value) can also help contextualize the model's performance.
9. **Data Sources and Comments:**
   - There are no comments in the code explaining the steps. This can make it less readable, especially for people unfamiliar with this specific data or ignored assumptions (e.g., column existence).
   - No logging or exception handling is implemented. Especially when working with data files, it is crucial to handle exceptions, for example, when the CSV file is not found.
Each of these points may require further consideration and could lead to improved performance, robustness, and understanding of the model output.</t>
  </si>
  <si>
    <t>The provided Python code has several aspects that could be improved or corrected for better practice and functionality. Below, I highlight the issues and potential improvements:
1. **Lack of Data Preprocessing**:
   - There is no preprocessing of the features `open`, `high`, `low`, `volume`, and `moving_avg_7`. If these columns contain missing values, the model will throw an error during training. It is essential to check for and handle missing values before splitting the data.
   - Additionally, feature scaling or normalization could be beneficial, particularly for models sensitive to the scale of input (though Random Forest is somewhat less sensitive to this).
   **Recommendation**: Add checks and imputation for missing values, and consider scaling. 
   ```python
   # Example handling
   df = df.fillna(method='ffill')  # Forward fill for simplicity
   ```
2. **Using a potentially non-representative test set**:
   - The code splits the dataset into training and testing sets based on a simple index (80% train, 20% test). This approach may lead to poor generalization, especially if the dataset has trends or seasonality since time series data is being utilized.
   **Recommendation**: Use time-based cross-validation or better yet, split data temporally, ensuring past data is used for training and future data for testing. 
   ```python
   # Time-based split example
   train_size = int(len(df) * 0.8)
   df_train = df[:train_size]
   df_test = df[train_size:]
   ```
3. **Feature Engineering**:
   - The feature `moving_avg_7` is mentioned but not created in the code provided. This feature is presumed to be the 7-day moving average of the closing price or another relevant metric.
   **Recommendation**: Ensure that all features are defined and calculated before using them in the model.
   ```python
   df['moving_avg_7'] = df['close'].rolling(window=7).mean()
   ```
4. **Absolute Error and Evaluation Metrics**:
   - While Mean Absolute Error (MAE) is a useful metric, it might not cover all aspects of model performance. It's good practice to evaluate the model using multiple metrics like RMSE, R², etc.
   **Recommendation**: Include additional metrics for a more comprehensive evaluation.
   ```python
   from sklearn.metrics import mean_squared_error, r2_score
   print(f"RMSE: {mean_squared_error(y_test, y_pred, squared=False):.4f}")
   print(f"R²: {r2_score(y_test, y_pred):.4f}")
   ```
5. **Unspecified Date Handling in Features**:
   - The feature `date` is not used in modeling. In many time-series applications, date features may help (e.g., day of the week, month) but can lead to leakage if used inappropriately.
   **Recommendation**: Be cautious about using the date directly in feature sets; however, creating derived features (like the aforementioned day/month/quarter) might be beneficial.
6. **Hardcoding File Path**:
   - The file path for `read_csv` is hardcoded as `"stock_prices.csv"`, which might lead to issues if the file is not in the current working directory.
   **Recommendation**: Use the `os` module to dynamically get file paths or accept file paths as function parameters to make the code more flexible.
   ```python
   import os
   df = pd.read_csv(os.path.join("data", "stock_prices.csv"))  # Assuming a data folder
   ```
7. **Lack of Error Handling**:
   - There is no error handling implemented. If the CSV file is missing or malformed, the code will throw an error and terminate.
   **Recommendation**: Use try-except blocks around file loading and model fitting to gracefully handle errors.
   ```python
   try:
       df = pd.read_csv("stock_prices.csv")
   except FileNotFoundError:
       print("File not found. Please check the path.")
       # handle error appropriately
   ```
By addressing these issues, the code will become more robust, maintainable, and capable of delivering reliable forecasting results in a real-world scenario.</t>
  </si>
  <si>
    <t>## Code Review: Stock Price Prediction with Random Forest
The code is reasonably structured but contains several significant issues ranging from critical methodological flaws to minor improvements.
---
### 1. **Data Leakage via `moving_avg_7` Feature** *(Critical)*
```python
# PROBLEM: moving_avg_7 is likely computed using future data if calculated on the full dataset
features = ["open", "high", "low", "volume", "moving_avg_7"]
```
If `moving_avg_7` was calculated before the train/test split on the entire dataset, the training data contains information from future rows. This inflates model performance artificially.
```python
# FIX: Calculate moving average only on training data, then apply to test data
df["moving_avg_7"] = df["close"].shift(1).rolling(window=7).mean()
# shift(1) ensures we only use past values, never the current row
```
---
### 2. **Target Variable Included in Features** *(Critical)*
```python
# PROBLEM: "open", "high", "low" are same-day values
# In real trading, you wouldn't know today's high/low before the day ends
features = ["open", "high", "low", "volume", "moving_avg_7"]
y = df["close"]
```
Using the same day's `high` and `low` to predict `close` is another form of data leakage. These values are only fully known after the trading session ends.
```python
# FIX: Use lagged features — previous day's values to predict today's close
df["prev_open"]   = df["open"].shift(1)
df["prev_high"]   = df["high"].shift(1)
df["prev_low"]    = df["low"].shift(1)
df["prev_volume"] = df["volume"].shift(1)
df["moving_avg_7"] = df["close"].shift(1).rolling(7).mean()
features = ["prev_open", "prev_high", "prev_low", "prev_volume", "moving_avg_7"]
```
---
### 3. **No Handling of NaN Values** *(Critical)*
```python
# PROBLEM: No check for missing values before fitting
X = df[features]
model.fit(X_train, y_train)  # Will raise ValueError if NaNs are present
```
Rolling calculations and shifts introduce NaNs. `RandomForestRegressor` does not handle NaNs natively and will throw an error.
```python
# FIX: Drop rows with NaNs after feature engineering
df = df.dropna(subset=features + ["close"])
# Or inspect first:
print(df[features].isnull().sum())
```
---
### 4. **MAE Alone Is an Insufficient Evaluation** *(Moderate)*
```python
# PROBLEM: Raw MAE is hard to interpret without context
print(f"MAE: {mean_absolute_error(y_test, y_pred):.4f}")
```
An MAE of 5.00 means nothing without knowing the price scale. A naive baseline (predicting yesterday's price) is also absent.
```python
# FIX: Add relative metrics and a naive baseline
from sklearn.metrics import mean_absolute_percentage_error
mae  = mean_absolute_error(y_test, y_pred)
mape = mean_absolute_percentage_error(y_test, y_pred)
# Naive baseline: predict previous day's close
naive_pred = y_test.shift(1).dropna()
naive_mae  = mean_absolute_error(y_test.iloc[1:], naive_pred)
print(f"MAE:        {mae:.4f}")
print(f"MAPE:       {mape:.4%}")
print(f"Naive MAE:  {naive_mae:.4f}  (baseline)")
```
---
### 5. **No Hyperparameter Tuning or Cross-Validation** *(Moderate)*
```python
# PROBLEM: Default n_estimators=100 chosen without validation
model = RandomForestRegressor(n_estimators=100, random_state=42)
```
For time series data, standard k-fold cross-validation is invalid because it ignores temporal order.
```python
# FIX: Use TimeSeriesSplit for proper walk-forward validation
from sklearn.model_selection import TimeSeriesSplit, cross_val_score
tscv   = TimeSeriesSplit(n_splits=5)
scores = cross_val_score(model, X, y, cv=tscv,
                         scoring="neg_mean_absolute_error")
print(f"CV MAE: {-scores.mean():.4f} (+/- {scores.std():.4f})")
```
---
### 6. **No Feature Scaling** *(Minor)*
```python
# PROBLEM: Tree-based models don't require scaling, but it's worth noting
# If you later switch to SVR, LinearRegression, or a neural network, unscaled
# features will degrade performance significantly with no warning.
```
```python
# RECOMMENDATION: Use a Pipeline to make scaling optional but explicit
from sklearn.pipeline import Pipeline
from sklearn.preprocessing import StandardScaler
pipeline = Pipeline([
    ("scaler", StandardScaler()),   # remove if sticking with tree models
    ("model",  RandomForestRegressor(n_estimators=100, random_state=42))
])
```
---
### 7. **No Model Persistence** *(Minor)*
```python
# PROBLEM: Model is trained but never saved
model.fit(X_train, y_train)
```
```python
# FIX: Save the model and the feature list together
import joblib
joblib.dump({"model": model, "features": features}, "rf_stock_model.pkl")
# Later, reload and predict consistently
artifact = joblib.load("rf_stock_model.pkl")
artifact["model"].predict(new_data[artifact["features"]])
```
---
### Summary Table
| # | Issue | Severity | Category |
|---|-------|----------|----------|
| 1 | `moving_avg_7` data leakage | 🔴 Critical | Methodology |
| 2 | Same-day features leak target info | 🔴 Critical | Methodology |
| 3 | NaN values not handled | 🔴 Critical | Correctness |
| 4 | Insufficient evaluation metrics | 🟡 Moderate | Evaluation |
| 5 | No time-aware cross-validation | 🟡 Moderate | Methodology |
| 6 | No feature scaling | 🟢 Minor | Robustness |
| 7 | Model not saved | 🟢 Minor | Practicality |
The three critical issues (1–3) must be fixed before this model produces any trustworthy results. The methodological flaws in particular would cause the model to appear far more accurate than it actually is.</t>
  </si>
  <si>
    <t># Code Review: Issues and Problems Found
## 1. **No Missing Value Handling** ⚠️ CRITICAL
```python
X = df[features]
y = df["close"]
```
**Problem:** The code doesn't check for or handle missing values. If any features or target contain NaN values, the model will either crash or produce incorrect results.
**Fix:**
```python
df = df.dropna(subset=features + ["close"])
# or
X = df[features].fillna(method='forward_fill')
```
---
## 2. **No Feature Scaling** ⚠️ IMPORTANT
```python
model = RandomForestRegressor(n_estimators=100, random_state=42)
```
**Problem:** While Random Forests don't require scaling, the features likely have vastly different magnitudes (e.g., volume vs. moving average). This can affect model interpretability and feature importance calculations.
**Fix:**
```python
from sklearn.preprocessing import StandardScaler
scaler = StandardScaler()
X_train = scaler.fit_transform(X_train)
X_test = scaler.transform(X_test)
```
---
## 3. **Data Leakage - Temporal Validation Split** ⚠️ CRITICAL
```python
split_index = int(len(df) * 0.8)
X_train, X_test = X.iloc[:split_index], X.iloc[split_index:]
```
**Problem:** This is correct for time-series data (good!), but if any features like `moving_avg_7` are derived from the dataset, they may contain future information. More importantly, there's no validation set.
**Fix:**
```python
train_size = int(len(df) * 0.7)
val_size = int(len(df) * 0.85)
X_train, X_val, X_test = X.iloc[:train_size], X.iloc[train_size:val_size], X.iloc[val_size:]
y_train, y_val, y_test = y.iloc[:train_size], y.iloc[train_size:val_size], y.iloc[val_size:]
# Use validation set for hyperparameter tuning
```
---
## 4. **No Error Handling for File I/O** ⚠️ MODERATE
```python
df = pd.read_csv("stock_prices.csv")
```
**Problem:** Code will crash if the file doesn't exist or is corrupted.
**Fix:**
```python
try:
    df = pd.read_csv("stock_prices.csv")
except FileNotFoundError:
    print("Error: stock_prices.csv not found")
    exit(1)
except Exception as e:
    print(f"Error reading file: {e}")
    exit(1)
```
---
## 5. **No Feature Validation** ⚠️ MODERATE
```python
features = ["open", "high", "low", "volume", "moving_avg_7"]
X = df[features]
```
**Problem:** If any feature column doesn't exist, pandas will raise a KeyError. No validation that features exist or have valid data types.
**Fix:**
```python
required_features = ["open", "high", "low", "volume", "moving_avg_7"]
missing = [f for f in required_features if f not in df.columns]
if missing:
    raise ValueError(f"Missing features: {missing}")
```
---
## 6. **Single Metric Evaluation** ⚠️ MODERATE
```python
print(f"MAE: {mean_absolute_error(y_test, y_pred):.4f}")
```
**Problem:** Only using MAE provides incomplete picture. No baseline comparison, no other metrics (RMSE, R²), no residual analysis.
**Fix:**
```python
from sklearn.metrics import mean_squared_error, r2_score
import numpy as np
mae = mean_absolute_error(y_test, y_pred)
rmse = np.sqrt(mean_squared_error(y_test, y_pred))
r2 = r2_score(y_test, y_pred)
print(f"MAE: {mae:.4f}")
print(f"RMSE: {rmse:.4f}")
print(f"R²: {r2:.4f}")
```
---
## 7. **No Model Persistence** ⚠️ MINOR
```python
model.fit(X_train, y_train)
y_pred = model.predict(X_test)
```
**Problem:** Model is discarded after training. Can't reuse it later.
**Fix:**
```python
import joblib
joblib.dump(model, "model.pkl")
# Load later: model = joblib.load("model.pkl")
```
---
## 8. **Hardcoded Hyperparameters** ⚠️ MINOR
```python
model = RandomForestRegressor(n_estimators=100, random_state=42)
```
**Problem:** No hyperparameter tuning. These values are arbitrary.
**Fix:**
```python
from sklearn.model_selection import GridSearchCV
param_grid = {
    'n_estimators': [50, 100, 200],
    'max_depth': [10, 20, None],
    'min_samples_split': [2, 5]
}
grid_search = GridSearchCV(RandomForestRegressor(random_state=42), param_grid, cv=5)
grid_search.fit(X_train, y_train)
model = grid_search.best_estimator_
```
---
## Summary Table
| Issue | Severity | Type |
|-------|----------|------|
| Missing value handling | Critical | Data |
| Data leakage (temporal) | Critical | ML |
| No error handling | Moderate | Code Quality |
| Feature validation | Moderate | Robustness |
| Single metric | Moderate | Evaluation |
| No feature scaling | Important | ML |
| No model persistence | Minor | Usability |
| Hardcoded hyperparameters | Minor | ML |</t>
  </si>
  <si>
    <t>The provided Python code attempts to train a RandomForestRegressor model to predict stock prices. While it demonstrates a basic machine learning workflow, it contains several critical bugs and bad practices that make it non-functional, unreliable, and difficult to maintain or deploy.
Here's a breakdown of the issues:
## Critical Bugs (Will cause the code to crash or produce incorrect results)
1.  **Missing Feature Creation (`moving_avg_7`)**:
    *   **Problem**: The `features` list includes `"moving_avg_7"`, but this column is never created or added to the `df` DataFrame.
    *   **Impact**: When `X = df[features]` is executed, a `KeyError` will be raised because the column does not exist. This is the most glaring bug that prevents the script from running at all.
    *   **Solution**: You need to calculate `moving_avg_7` (presumably a 7-day moving average of a price column like "close") and add it to the `df` DataFrame *before* selecting the features. For time series, it should be a *lagging* moving average to prevent data leakage (e.g., `df['close'].shift(1).rolling(window=7).mean()`).
2.  **Lack of Error Handling for File I/O**:
    *   **Problem**: The code directly calls `pd.read_csv("stock_prices.csv")` without any mechanism to handle cases where the file might not exist, be corrupted, or be in the wrong location.
    *   **Impact**: If `stock_prices.csv` is not found, a `FileNotFoundError` will be raised, crashing the script.
    *   **Solution**: Use a `try-except` block to gracefully handle `FileNotFoundError` or other potential I/O errors.
3.  **Missing Column Checks**:
    *   **Problem**: The code assumes the existence of specific columns like "date", "open", "high", "low", "volume", and "close".
    *   **Impact**: If any of these columns are missing from `stock_prices.csv`, a `KeyError` will be raised during DataFrame manipulation or feature selection.
    *   **Solution**: Before accessing columns, check if they exist using `df.columns.contains()` or `df.columns.isin()`.
4.  **No Handling for Missing Values (NaNs)**:
    *   **Problem**: There's no explicit code to handle missing values (NaNs) in the DataFrame.
    *   **Impact**: If `df` contains NaNs in the feature columns (`X_train`) or the target column (`y_train`), `model.fit()` will raise a `ValueError` (e.g., "Input contains NaN, infinity or a value too large for dtype('float32')").
    *   **Solution**: Implement a strategy for handling NaNs, such as `df.dropna()` (to remove rows with NaNs) or `df.fillna()` (to impute missing values using a strategy like mean, median, or forward/backward fill). For time series, `ffill()` or `bfill()` combined with `dropna()` can be effective.
## Bad Practices &amp; Areas for Improvement
5.  **Hardcoded Split Ratio (Magic Number)**:
    *   **Problem**: The training/testing split ratio of `0.8` is hardcoded directly into the script (`split_index = int(len(df) * 0.8)`).
    *   **Impact**: This value is a "magic number." It makes the code less flexible if you want to experiment with different split ratios, and it's not immediately clear why 0.8 was chosen without context.
    *   **Solution**: Define constants at the top of the script for such values (e.g., `TRAIN_SPLIT_RATIO = 0.8`) or make them configurable parameters.
6.  **Lack of Hyperparameter Tuning**:
    *   **Problem**: The `RandomForestRegressor` is initialized with `n_estimators=100` and `random_state=42`. While `random_state` is good for reproducibility, `n_estimators=100` is an arbitrary choice.
    *   **Impact**: These hyperparameters might not be optimal for the given dataset, leading to sub-optimal model performance (either underfitting or overfitting).
    *   **Solution**: Implement hyperparameter tuning techniques (e.g., GridSearchCV, RandomizedSearchCV, or more advanced methods like Bayesian optimization) to find the best combination of parameters for the model.
7.  **Limited Evaluation Metrics**:
    *   **Problem**: The model is only evaluated using Mean Absolute Error (MAE).
    *   **Impact**: While MAE is a good metric, relying on a single metric might not provide a comprehensive understanding of the model's performance, especially in financial contexts. For example, knowing the direction of prediction might be crucial.
    *   **Solution**: Consider adding other relevant metrics like Root Mean Squared Error (RMSE), R-squared, or custom financial metrics (e.g., directional accuracy, Sharpe ratio if predicting returns). Visualizing predictions against actuals can also be very insightful.
8.  **No Model Persistence**:
    *   **Problem**: The trained model is not saved after training.
    *   **Impact**: If you want to use this model for future predictions or deploy it, you would have to retrain it every time the script runs, which is inefficient and time-consuming.
    *   **Solution**: Use libraries like `joblib` or `pickle` to save the trained model to disk (e.g., `joblib.dump(model, 'random_forest_model.joblib')`) and load it when needed.
9.  **Lack of Comments and Documentation**:
    *   **Problem**: The code lacks comments explaining the purpose of different sections, critical decisions, or assumptions.
    *   **Impact**: Makes the code harder to understand, maintain, and debug for others (or even the author in the future).
    *   **Solution**: Add descriptive comments, especially for complex logic, assumptions, or business rules. Consider adding a docstring if this were part of a larger function or class.
10. **No Data Scaling (Minor for RandomForest, but good practice)**:
    *   **Problem**: Features (`open`, `high`, `low`, `volume`, etc.) are not scaled.
    *   **Impact**: While tree-based models like RandomForest are generally robust to feature scaling because they work on thresholds, it's a good general practice for machine learning. If other models (e.g., linear regression, SVMs, neural networks) were considered, scaling would be crucial.
    *   **Solution**: Consider using `StandardScaler` or `MinMaxScaler` from `sklearn.preprocessing` on your `X_train` and `X_test` data. Apply `fit_transform` on `X_train` and `transform` on `X_test`.
11. **Potential for Data Leakage in Feature Engineering (Conceptual)**:
    *   **Problem**: (Assuming `moving_avg_7` were implemented) If the moving average were calculated in a way that includes the current day's data or future data points, it would lead to data leakage. For example, `df['close'].rolling(window=7).mean()` calculates the average *up to and including* the current row, meaning the `moving_avg_7` feature on day `t` would include `close` price of day `t`. When predicting `close` on day `t`, this is leakage.
    *   **Impact**: Inflated performance during training and testing, leading to a model that performs poorly in real-world scenarios.
    *   **Solution**: Ensure all features are derived solely from *past* available information relative to the target variable's prediction point. For a moving average used as a feature, it should typically be a lagged moving average (e.g., `df['close'].shift(1).rolling(window=7).mean()`).
## Corrected Example (Addressing Critical Bugs and some Bad Practices):
```python
import pandas as pd
from sklearn.ensemble import RandomForestRegressor
from sklearn.metrics import mean_absolute_error
import joblib # For model persistence
import logging # For better error handling
# Configure logging
logging.basicConfig(level=logging.INFO, format='%(asctime)s - %(levelname)s - %(message)s')
# --- Configuration ---
CSV_FILE = "stock_prices.csv"
DATE_COLUMN = "date"
TARGET_COLUMN = "close"
FEATURE_COLUMNS = ["open", "high", "low", "volume", "moving_avg_7"]
TRAIN_SPLIT_RATIO = 0.8
RANDOM_STATE = 42
N_ESTIMATORS = 100 # Consider hyperparameter tuning for optimal value
MODEL_OUTPUT_PATH = "random_forest_stock_predictor.joblib"
try:
    # --- 1. Data Loading ---
    df = pd.read_csv(CSV_FILE)
    logging.info(f"Successfully loaded {CSV_FILE}.")
    # --- 2. Initial Data Validation ---
    required_columns = [DATE_COLUMN, TARGET_COLUMN] + [col for col in FEATURE_COLUMNS if col != "moving_avg_7"]
    missing_columns = [col for col in required_columns if col not in df.columns]
    if missing_columns:
        raise ValueError(f"Missing required columns in CSV: {missing_columns}")
    # --- 3. Data Preprocessing ---
    df[DATE_COLUMN] = pd.to_datetime(df[DATE_COLUMN], errors='coerce') # 'coerce' turns invalid dates into NaT
    df.dropna(subset=[DATE_COLUMN], inplace=True) # Remove rows where date parsing failed
    df = df.sort_values(DATE_COLUMN)
    logging.info("Date column processed and data sorted by date.")
    # Handle potential NaNs in other columns after sorting (e.g., using forward fill then dropping remaining)
    # This is a basic strategy, more sophisticated imputation might be needed
    df.fillna(method='ffill', inplace=True) # Forward fill NaNs
    df.dropna(inplace=True) # Drop any remaining NaNs (e.g., at the start of the series)
    if df.empty:
        raise ValueError("DataFrame is empty after NaN handling. Cannot proceed.")
    logging.info("Missing values handled (forward fill, then drop remaining).")
    # --- 4. Feature Engineering ---
    # CRITICAL FIX: Create the 'moving_avg_7' feature
    # Using .shift(1) to avoid data leakage: moving average of the *previous* 7 days' close price.
    df["moving_avg_7"] = df[TARGET_COLUMN].shift(1).rolling(window=7).mean()
    df.dropna(subset=["moving_avg_7"], inplace=True) # Drop rows where moving average couldn't be calculated (initial 6 rows)
    logging.info("Created 'moving_avg_7' feature.")
    # --- 5. Feature and Target Selection ---
    # Ensure all selected features actually exist after creation and NaN handling
    final_features = [f for f in FEATURE_COLUMNS if f in df.columns]
    if not all(f in df.columns for f in final_features):
        raise ValueError(f"Some final features are missing after processing: {final_features}")
    X = df[final_features]
    y = df[TARGET_COLUMN]
    # --- 6. Data Splitting (Time-Series Split) ---
    split_index = int(len(df) * TRAIN_SPLIT_RATIO)
    X_train, X_test = X.iloc[:split_index], X.iloc[split_index:]
    y_train, y_test = y.iloc[:split_index], y.iloc[split_index:]
    if X_train.empty or X_test.empty:
        raise ValueError("Training or testing set is empty after splitting. Adjust TRAIN_SPLIT_RATIO or data.")
    logging.info(f"Data split into training ({len(X_train)} samples) and testing ({len(X_test)} samples).")
    # --- 7. Model Training ---
    model = RandomForestRegressor(n_estimators=N_ESTIMATORS, random_state=RANDOM_STATE, n_jobs=-1) # Use all cores
    model.fit(X_train, y_train)
    logging.info("RandomForestRegressor model trained successfully.")
    # --- 8. Prediction and Evaluation ---
    y_pred = model.predict(X_test)
    mae = mean_absolute_error(y_test, y_pred)
    logging.info(f"Model MAE on test set: {mae:.4f}")
    # --- 9. Model Persistence ---
    joblib.dump(model, MODEL_OUTPUT_PATH)
    logging.info(f"Trained model saved to {MODEL_OUTPUT_PATH}")
except FileNotFoundError:
    logging.error(f"Error: The file '{CSV_FILE}' was not found. Please ensure it's in the correct directory.")
except ValueError as e:
    logging.error(f"Data processing error: {e}")
except KeyError as e:
    logging.error(f"Column error: {e}. One of the expected columns might be missing or misspelled.")
except Exception as e:
    logging.error(f"An unexpected error occurred: {e}", exc_info=True)
```</t>
  </si>
  <si>
    <t>The provided Python code implements a machine learning pipeline for predicting stock prices using a historical dataset. The goal is to identify any potential data leakage within the code.
### Potential Data Leakage Points
1. **Feature Selection:**
   - The code uses a set of features, `["open", "high", "low", "volume", "moving_avg_7"]`, to train a model that predicts the `"close"` price of stocks.
2. **Temporal Features:**
   - The dataset is sorted by date, and a simple time-based split (80% train, 20% test) is used. This is generally a good practice for avoiding leakage from the future into the past.
3. **Moving Average Feature (`moving_avg_7`):**
   - One potential concern here is the feature `moving_avg_7`, which stands for a 7-day moving average. If this feature is calculated using data that includes the current day or future days relative to the target variable (the `"close"` price), it will introduce data leakage. For instance, if you're predicting the `"close"` price of Day 8 and the `moving_avg_7` includes data from Day 8 itself or any subsequent days, then this feature inadvertently includes future information.
4. **Target Leakage:**
   - The script does not appear to have any other form of target leakage, such as directly using future target information or aggregated future data that would not be available at prediction time.
### Conclusion
There is a potential for data leakage specifically related to the calculation of `moving_avg_7` if it includes information from the future relative to the target variable. To prevent this potential leakage, ensure that `moving_avg_7` is calculated only using historical data, without including the current or future day's prices.
Apart from this point, the code manages the temporal split properly, which is appropriate for time series data, and doesn't show other common forms of leakage. Thus, after addressing the potential issue with `moving_avg_7`, the pipeline would be free of data leakage.</t>
  </si>
  <si>
    <t>The provided Python machine learning pipeline code does not contain any explicit data leakage based on the information presented. However, there is a potential issue regarding the `moving_avg_7` feature. Here is a detailed analysis of the potential data leakage and its implications:
### Potential Source of Data Leakage
The `moving_avg_7` feature appears to be calculated as a moving average of the "close" prices from the previous seven days (assuming that's how it is intended to be used). If the moving average is computed before splitting the dataset into training and testing sets, then it could incorporate information from future days that are part of the test set. 
### Why Is This a Problem?
If the `moving_avg_7` is computed using data that includes values from the test set, it will leak information about the future (i.e., the values that the model will later be tested on). This can lead to overly optimistic evaluation metrics because the model benefits from seeing information that it would not have access to at the time of prediction in a real-world scenario.
In practical terms, if a trader were to implement a strategy based on this model in a live trading context, they could make decisions based on future stock price data that isn’t available at the time of prediction, resulting in unrealistic performance expectations.
### Recommended Solutions
To eliminate potential data leakage:
1. **Calculate Moving Averages Post-Split**: Ensure that any features calculated using past values (like moving averages) are computed after splitting the dataset into training and testing sets. This way, the test set does not influence the training process.
   For example:
   - Compute `moving_avg_7` only using the training data when you’re constructing the `X_train` feature set.
   - Once the model is trained and only just before predictions, you can compute the `moving_avg_7` for the test set using the training data's past values (minus future data).
2. **Use Time-Series Cross-Validation**: In scenarios involving time series data, consider using cross-validation techniques that respect the temporal ordering of the data, such as `TimeSeriesSplit` from scikit-learn.
### Conclusion
In summary, although there is no obvious misuse in the split and fitting of the model, you should scrutinize the definition of `moving_avg_7` to ensure it does not incorporate future data, as this could lead to data leakage. Make adjustments as necessary to maintain the integrity of the training process and prevent unrealistic performance assessments.</t>
  </si>
  <si>
    <t>## Data Leakage Analysis
This code contains **two distinct data leakage problems**. The split itself is correctly implemented (chronological ordering with no shuffling), but the features contain the leakage.
---
### Problem 1: `high`, `low`, and `open` Are Same-Day Values
```python
features = ["open", "high", "low", "volume", "moving_avg_7"]
```
The target variable is `close` — the closing price for a given day. The features `high` and `low` are the **intraday high and low prices for that same day**, which are only fully known *after* the market closes — at the same moment the closing price is determined.
**Why this is leakage:**
- At prediction time (before the market closes), you cannot know what the day's `high` or `low` will be.
- These values are causally entangled with `close`: all three are determined simultaneously by the same trading session.
- A model trained on these features learns a near-identity relationship (e.g., `close` is typically bounded by and correlated with `high` and `low`), producing artificially low error.
`open` is technically known before trading begins, so it is **not leakage** — but it's worth confirming the dataset records the opening price of the *current* day rather than some derived value.
---
### Problem 2: `moving_avg_7` Is Computed Before the Train/Test Split
```python
df["moving_avg_7"] = ...  # presumably computed somewhere before this code, or in preprocessing
```
Even if this column comes from the CSV, there's a **strong implied risk**: if `moving_avg_7` was computed on the full dataset before splitting, then for rows near the split boundary, the 7-day average incorporates prices from the test set.
**Concrete example:**
```
Train ends at row index 800 (split_index).
The moving average for row 798 looks 7 days forward OR uses a centered window,
pulling in data from rows 799–804, which are in the test set.
```
If the moving average is a **trailing** (lookback) average computed correctly, this is only a minor boundary issue. But if it was computed with any forward-looking component (centered window, or computed after sorting but using `.rolling()` without `min_periods`), it contaminates training data with future information.
---
### Problem 3 (Structural): No Evidence of Proper Feature Engineering Pipeline
```python
X = df[features]
split_index = int(len(df) * 0.8)
X_train, X_test = X.iloc[:split_index], X.iloc[split_index:]
```
Any feature that requires fitting (e.g., scaling, imputation, encoding) should be fit **only on `X_train`** and then applied to `X_test`. While `RandomForestRegressor` doesn't require scaling, this pattern becomes a leakage vector if the pipeline is extended.
---
### Summary Table
| Feature | Leakage? | Reason |
|---|---|---|
| `open` | No (likely) | Known before trading session |
| `high` | **Yes** | Only known after session closes |
| `low` | **Yes** | Only known after session closes |
| `volume` | Borderline | Full-day volume unknowable intraday |
| `moving_avg_7` | **Potentially** | May incorporate future data if precomputed on full dataset |
---
### Corrected Approach
```python
# Use only features available BEFORE the trading session closes
features = ["open", "volume_prev_day", "moving_avg_7"]
# Compute moving average AFTER splitting to avoid future leakage
df["moving_avg_7"] = df["close"].shift(1).rolling(window=7).mean()
#                                          ^^^^^^^^
#                           shift(1) ensures we use PAST closes only
split_index = int(len(df) * 0.8)
# Now split — moving_avg_7 for test rows only uses pre-split history
X_train = df[features].iloc[:split_index]
X_test  = df[features].iloc[split_index:]
```
The `shift(1)` is critical: it ensures the moving average for day `t` is computed from days `t-8` through `t-1`, with no knowledge of day `t`'s close.</t>
  </si>
  <si>
    <t># Data Leakage Review
## ⚠️ DATA LEAKAGE DETECTED
This code contains **critical data leakage** in the `moving_avg_7` feature.
### Where It Occurs
```python
features = ["open", "high", "low", "volume", "moving_avg_7"]
X = df[features]
```
The `moving_avg_7` feature is computed on the **entire dataset** before the train-test split occurs.
### Why This Is a Problem
1. **Information from the future leaks into the past**: The moving average for a given date includes data from up to 6 days *after* that date (due to how moving windows typically work in pandas). This means test set information is used to compute training features.
2. **Even without future data**: The moving average computed on the full dataset creates an implicit coupling. The exact values depend on the entire time series, including the test set.
3. **Unrealistic at prediction time**: In production, when predicting tomorrow's closing price, you wouldn't have access to the next 6 days of data. Your model learns using information it won't have available at prediction time.
4. **Inflated performance metrics**: The reported MAE will be artificially optimistic because the model has been trained on features that incorporated test set information.
---
## ✅ How to Fix It
Compute the moving average **separately for train and test sets**, or compute it only using information available *up to* each point in time:
```python
df["moving_avg_7"] = df["close"].rolling(window=7, min_periods=1).mean()
features = ["open", "high", "low", "volume", "moving_avg_7"]
X = df[features]
y = df["close"]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**Key point**: `rolling().mean()` is naturally **causal** — it only uses historical data up to the current row, making it safe for time series. The computed moving averages remain unchanged after the split.</t>
  </si>
  <si>
    <t>The provided Python machine learning pipeline code **contains a potential for data leakage related to the `moving_avg_7` feature, depending on how this feature was generated.**
The code itself, specifically the train-test split and model training/prediction steps, is generally robust against typical data leakage for time-series data. However, the origin and calculation of `moving_avg_7` are not shown, which is the critical point of concern.
**Where the Potential Data Leakage Occurs and Why it's a Problem:**
The potential data leakage lies in the `moving_avg_7` feature.
**Explanation:**
1.  **Origin of the `moving_avg_7` feature:**
    The code simply selects `moving_avg_7` as a feature from the `df` DataFrame, implying it's already present in the `stock_prices.csv` file or generated in a preceding step not shown here. For a time-series prediction task like stock prices, a `moving_avg_7` (likely a 7-day moving average of the `close` price or another relevant price) is a common feature.
2.  **The Leakage Scenario:**
    If `moving_avg_7` for a specific date `t` was calculated using information that would not be available at the time of prediction for date `t`, then it introduces data leakage (also known as "look-ahead bias" or "future leakage"). This can happen in two primary ways:
    *   **Using future data:** If `moving_avg_7` for date `t` includes `close` prices (or any other data) from dates *after* `t` (e.g., `t+1`, `t+2`, etc.). This can occur with "centered" moving averages or incorrectly implemented rolling windows.
    *   **Using the current day's target:** If `moving_avg_7` for date `t` includes the `close` price for date `t` itself. Since `close` is your target variable that you are trying to predict for date `t`, using it as a feature would be directly giving the model the answer.
**Why it is a Problem:**
At the moment you want to predict the `close` price for a future date `t` (e.g., a day in your `X_test` set), you would have access to the `open`, `high`, `low`, `volume` for day `t`, and all historical data *prior* to day `t`. A properly constructed `moving_avg_7` feature for day `t` should only use historical data up to day `t-1`.
If the `moving_avg_7` feature was generated using information from day `t`'s `close` price or any future `close` prices (days `t+1`, `t+2`, etc.), your model will learn a relationship that fundamentally cannot exist in a real-world prediction scenario. The model would appear to perform very well during testing because it has "peeked" into the future or directly at the target, leading to an overestimation of its true performance. When deployed with actual real-time data where these future values are genuinely unknown, the model's performance would drop significantly.
**To ensure this code is free of data leakage, it is crucial that the `moving_avg_7` feature (and any other derived features) is calculated as a *trailing* moving average, using only data that is strictly chronologically *prior* to the date for which the prediction is being made.**
**Other aspects of the code:**
*   **Time-series split:** The `df = df.sort_values("date")` followed by `split_index = int(len(df) * 0.8)` and `iloc` slicing correctly performs a chronological train-test split, which is essential for time-series data and prevents future data from being in the training set. This part is free of leakage.
*   **Feature selection:** `open`, `high`, `low`, and `volume` are typically known at the beginning or during the trading day, before the `close` price is finalized. These are generally valid features.
*   **Model training and prediction:** The model is `fit` only on `X_train` and `y_train`, and `predict` is performed only on `X_test`. This process itself does not introduce leakage.
**Recommendation:**
If you generated the `moving_avg_7` feature yourself, double-check its calculation to ensure no future data or current target data is used. A common correct way to generate a 7-day trailing moving average of `close` prices (e.g., for day `t`, average of `close` from `t-7` to `t-1`) is:
```python
# Assuming df is sorted by date
df['moving_avg_7_correct'] = df['close'].shift(1).rolling(window=7).mean()
```</t>
  </si>
  <si>
    <t>9A</t>
  </si>
  <si>
    <t>target_leakage</t>
  </si>
  <si>
    <t>hard</t>
  </si>
  <si>
    <t>The provided Python code works well for a basic implementation of a logistic regression model using the scikit-learn library. However, there are several areas for improvement, potential issues, and bad practices:
1. **Error Handling**:  
   The code does not include any error handling or validation. For instance, there should be checks to ensure that the CSV file loads correctly and that the columns specified in `features` and target `y` are present in the dataframe.
2. **Data Quality and Preprocessing**:  
   - There is no data preprocessing step. It's important to check for missing values, inconsistent data types, or outliers in the dataset. Preprocessing steps such as handling missing values, scaling features, encoding categorical variables, or transforming skewed data distributions might be necessary.
   - Assuming all features are numerical might not hold in every dataset. Verify that the features in use are appropriately prepared for analysis.
3. **Magic Numbers**:  
   - The `random_state` value is hardcoded as 42. While this number is popularly used, it's generally good practice to define such constants at the start of the script or make them parameters so they can be easily changed.
4. **Feature and Target Validation**:  
   The code assumes that all features specified and the target variable exist in the dataset with correct data types. This should be validated before model training to prevent potential runtime errors.
5. **Potential Multicollinearity**:  
   The presence of multicollinearity among the features is not checked. Highly correlated predictors can cause issues with the stability and interpretation of a logistic regression model.
6. **Model Evaluation**:
   - The current evaluation metric is accuracy, which might not be the most appropriate depending on the problem, especially in cases of class imbalance. Metrics like precision, recall, F1-score, or the area under the ROC curve could provide better insights.
   - Consider including cross-validation to ensure that the model's performance is consistent across different subsets of the dataset.
7. **Logging and Reporting**:  
   Instead of using just a simple print statement for reporting accuracy, it might be beneficial to implement a proper logging mechanism that reports intermediate steps and stores results for traceability and reproducibility.
8. **Code Readability and Structure**:  
   Although not critical in this small code snippet, structuring the code into functions or a class could improve readability and reusability, especially for larger projects.
9. **Dependency Handling**:
   - There is implicit dependence on the existence of a file named `loans.csv`. It's better to add some checks or allow the file path to be passed as an argument.
   - Mentioning the required library versions either in comments or through requirements files (like `requirements.txt`) can help ensure consistent execution across different environments.
By addressing these improvements, the code will be more robust, maintainable, and better suited for production environments.</t>
  </si>
  <si>
    <t>The provided Python code is a straightforward implementation of a logistic regression model using the `pandas` library for data handling and `scikit-learn` for machine learning. However, there are a few issues and potential improvements to consider:
1. **Missing Data Handling**:
   - **Issue**: The code does not check for missing values in the DataFrame `df`. This could lead to errors during model training or unexpected results.
   - **Fix**: Before proceeding with feature selection, it is essential to handle missing data appropriately, either by removing or imputing missing values.
   ```python
   df = pd.read_csv("loans.csv")
   if df.isnull().values.any():
       # Handle missing values (e.g., drop or impute)
       df.fillna(method='ffill', inplace=True)  # Example of forward filling
   ```
2. **Data Encoding**:
   - **Issue**: If `df` contains categorical features that are not numeric, the Logistic Regression model will not work correctly. The code does not check or prepare categorical data.
   - **Fix**: Use techniques such as one-hot encoding or label encoding to convert categorical variables into a format suitable for modeling.
   ```python
   df = pd.get_dummies(df, columns=categorical_columns, drop_first=True)
   ```
3. **Feature Scaling**:
   - **Issue**: Logistic Regression may converge faster and yield better results if features are on the same scale. This code does not perform feature scaling (e.g., normalization or standardization).
   - **Fix**: Normalize the feature set `X` before fitting the model.
   ```python
   from sklearn.preprocessing import StandardScaler
   scaler = StandardScaler()
   X[features] = scaler.fit_transform(X[features]) 
   ```
4. **No Performance Metrics for Model Evaluation**:
   - **Issue**: The code only provides accuracy as a performance metric, which can be misleading, especially in cases of imbalanced classes. 
   - **Fix**: Include additional metrics like precision, recall, F1 score, or confusion matrix to better evaluate the model's performance.
   ```python
   from sklearn.metrics import classification_report
   print(classification_report(y_test, y_pred))
   ```
5. **Hardcoding of Random State**:
   - **Issue**: The random state is hardcoded to 42, which can limit reproducibility in different runs.
   - **Fix**: Allow for the random state to be specified as a parameter or allow it to be dynamic for different runs, or document it for reproducibility.
6. **Model Performance and Selection Consideration**:
   - **Issue**: The code currently does not consider model performance tuning or validation, such as hyperparameter tuning or cross-validation.
   - **Fix**: Consider using techniques like `GridSearchCV` or `RandomizedSearchCV` for hyperparameter optimization.
7. **Lack of Documentation and Comments**:
   - **Issue**: The script lacks comments and documentation explaining the purpose of the code, which can make it difficult for others to understand.
   - **Fix**: Add comments to explain the purpose of each major step in the code.
Here is a revised version of the code considering the identified issues:
```python
import pandas as pd
from sklearn.model_selection import train_test_split
from sklearn.linear_model import LogisticRegression
from sklearn.metrics import accuracy_score, classification_report
from sklearn.preprocessing import StandardScaler
# Load data
df = pd.read_csv("loans.csv")
# Handle missing data
if df.isnull().values.any():
    df.fillna(method='ffill', inplace=True)  # Example: forward fill method
# Assuming no categorical features for simplicity, but handle if necessary
features = [
    "income", "credit_score", "loan_amount",
    "employment_years", "collection_recovery_fee"
]
X = df[features]
y = df["defaulted"]
# Feature Scaling
scaler = StandardScaler()
X[features] = scaler.fit_transform(X[features]) 
# Split the dataset
X_train, X_test, y_train, y_test = train_test_split(
    X, y, test_size=0.2, random_state=42
)
# Train the model
model = LogisticRegression(max_iter=1000)
model.fit(X_train, y_train)
# Predictions
y_pred = model.predict(X_test)
# Evaluate the model
print(f"Accuracy: {accuracy_score(y_test, y_pred):.4f}")
print(classification_report(y_test, y_pred))
```
This revised code addresses the issues identified and promotes better practices for data processing and model evaluation.</t>
  </si>
  <si>
    <t>## Code Review: Loan Default Prediction
The code is functional and reasonably structured, but has several significant issues spanning data quality, modeling practice, and production readiness.
---
### 1. No Handling of Missing Values
```python
X = df[features]  # Missing values passed directly to model
```
**Problem:** Real-world loan data almost always contains missing values. Scikit-learn's `LogisticRegression` will raise a `ValueError` if NaN values are present, crashing silently in pipelines.
**Fix:**
```python
from sklearn.impute import SimpleImputer
from sklearn.pipeline import Pipeline
imputer = SimpleImputer(strategy="median")  # median is robust to outliers
```
---
### 2. No Feature Scaling
```python
model = LogisticRegression(max_iter=1000)
model.fit(X_train, y_train)
```
**Problem:** Logistic Regression is sensitive to feature scale. `income` (e.g., 50,000) and `employment_years` (e.g., 5) are on completely different scales, which distorts the gradient descent optimization, slows convergence, and biases coefficients.
**Fix:**
```python
from sklearn.preprocessing import StandardScaler
pipeline = Pipeline([
    ("imputer", SimpleImputer(strategy="median")),
    ("scaler", StandardScaler()),
    ("model", LogisticRegression(max_iter=1000))
])
```
---
### 3. Data Leakage Risk
```python
X_train, X_test, y_train, y_test = train_test_split(X, y, ...)
# Preprocessing should happen AFTER splitting
```
**Problem:** Any preprocessing (scaling, imputation) fitted on the full dataset before splitting leaks test set information into training. While this specific code avoids that mistake, the structure doesn't enforce it, making it easy to introduce later.
**Fix:** Always use a `Pipeline` to guarantee fit/transform separation:
```python
pipeline.fit(X_train, y_train)       # fit only on training data
y_pred = pipeline.predict(X_test)    # transform applied correctly to test
```
---
### 4. Class Imbalance Not Addressed
```python
model = LogisticRegression(max_iter=1000)
```
**Problem:** Loan default datasets are typically highly imbalanced (e.g., 95% non-default, 5% default). The model will learn to predict the majority class, and accuracy will appear high (e.g., 95%) while completely failing on the minority class — the one you actually care about.
**Fix:**
```python
# Option 1: class weighting (simplest)
LogisticRegression(max_iter=1000, class_weight="balanced")
# Option 2: use appropriate metrics
from sklearn.metrics import classification_report, roc_auc_score
print(classification_report(y_test, y_pred))
print(f"ROC-AUC: {roc_auc_score(y_test, y_pred_proba):.4f}")
```
---
### 5. Accuracy Is the Wrong Metric
```python
print(f"Accuracy: {accuracy_score(y_test, y_pred):.4f}")
```
**Problem:** As noted above, accuracy is misleading for imbalanced datasets. A model predicting "no default" every time scores 95% accuracy but has zero practical value. For loan default, false negatives (missed defaults) have high business cost.
**Fix:**
```python
from sklearn.metrics import classification_report, roc_auc_score, confusion_matrix
print(classification_report(y_test, y_pred, target_names=["No Default", "Default"]))
print(f"ROC-AUC: {roc_auc_score(y_test, pipeline.predict_proba(X_test)[:, 1]):.4f}")
print(confusion_matrix(y_test, y_pred))
```
---
### 6. Suspicious Feature: `collection_recovery_fee`
```python
features = [
    "income", "credit_score", "loan_amount",
    "employment_years", "collection_recovery_fee"
]
```
**Problem:** `collection_recovery_fee` is typically only non-zero *after* a loan has defaulted. Including it is a classic **target leakage** — the model learns a signal that wouldn't exist at prediction time (when you're deciding whether to issue a loan).
**Fix:**
```python
features = [
    "income", "credit_score", "loan_amount",
    "employment_years"
    # Remove collection_recovery_fee - post-default signal
]
```
---
### 7. No Input Validation or Error Handling
```python
df = pd.read_csv("loans.csv")
y = df["defaulted"]
```
**Problem:** The code will crash with an unhelpful error if the file doesn't exist, is malformed, or the expected columns are missing.
**Fix:**
```python
import os
if not os.path.exists("loans.csv"):
    raise FileNotFoundError("loans.csv not found")
df = pd.read_csv("loans.csv")
required_columns = features + ["defaulted"]
missing = set(required_columns) - set(df.columns)
if missing:
    raise ValueError(f"Missing required columns: {missing}")
```
---
### 8. No Model Persistence
**Problem:** The trained model is discarded after the script ends. In any real application, the model needs to be saved for later use.
**Fix:**
```python
import joblib
joblib.dump(pipeline, "loan_default_model.pkl")
# Later:
# model = joblib.load("loan_default_model.pkl")
```
---
### 9. Single Train/Test Split Is Unreliable
```python
X_train, X_test, y_train, y_test = train_test_split(X, y, test_size=0.2, random_state=42)
```
**Problem:** A single split gives a high-variance estimate of model performance. Different random seeds can produce noticeably different accuracy figures.
**Fix:**
```python
from sklearn.model_selection import StratifiedKFold, cross_val_score
cv = StratifiedKFold(n_splits=5, shuffle=True, random_state=42)
# Stratified ensures each fold maintains the class ratio
scores = cross_val_score(pipeline, X, y, cv=cv, scoring="roc_auc")
print(f"CV ROC-AUC: {scores.mean():.4f} (+/- {scores.std():.4f})")
```
---
### Consolidated Fixed Version
```python
import os
import joblib
import pandas as pd
from sklearn.model_selection import train_test_split, StratifiedKFold, cross_val_score
from sklearn.linear_model import LogisticRegression
from sklearn.preprocessing import StandardScaler
from sklearn.impute import SimpleImputer
from sklearn.pipeline import Pipeline
from sklearn.metrics import classification_report, roc_auc_score, confusion_matrix
# --- Input Validation ---
if not os.path.exists("loans.csv"):
    raise FileNotFoundError("loans.csv not found")
df = pd.read_csv("loans.csv")
# collection_recovery_fee removed: post-default leakage
features = ["income", "credit_score", "loan_amount", "employment_years"]
required_columns = features + ["defaulted"]
missing_cols = set(required_columns) - set(df.columns)
if missing_cols:
    raise ValueError(f"Missing required columns: {missing_cols}")
X = df[features]
y = df["defaulted"]
# --- Train/Test Split ---
X_train, X_test, y_train, y_test = train_test_split(
    X, y, test_size=0.2, random_state=42, stratify=y  # stratify preserves class ratio
)
# --- Pipeline (prevents data leakage) ---
pipeline = Pipeline([
    ("imputer", SimpleImputer(strategy="median")),
    ("scaler", StandardScaler()),
    ("model", LogisticRegression(max_iter=1000, class_weight="balanced"))</t>
  </si>
  <si>
    <t># Code Review: Issues and Problems
## 1. **No Data Validation or Error Handling** ⚠️
**Severity: High**
```python
df = pd.read_csv("loans.csv")
```
**Problems:**
- No check if file exists
- No handling of malformed CSV
- No verification that required columns exist
- Silent failure if data is corrupted
**Fix:**
```python
try:
    df = pd.read_csv("loans.csv")
    required_cols = features + ["defaulted"]
    missing = set(required_cols) - set(df.columns)
    if missing:
        raise ValueError(f"Missing columns: {missing}")
except FileNotFoundError:
    print("Error: loans.csv not found")
    exit(1)
except Exception as e:
    print(f"Error reading CSV: {e}")
    exit(1)
```
---
## 2. **No Missing Value Handling** ⚠️
**Severity: High**
**Problem:**
- If `X` or `y` contain NaN values, they'll be silently passed to the model
- Different sklearn versions handle NaNs differently
- This causes unpredictable behavior
**Fix:**
```python
print(f"Missing values:\n{X.isnull().sum()}")
print(f"Target missing: {y.isnull().sum()}")
X = X.dropna()
y = y[X.index]  # Keep aligned indices
```
---
## 3. **No Feature Scaling** ⚠️
**Severity: Medium**
**Problem:**
- Features have vastly different scales (income vs credit_score)
- LogisticRegression with regularization is scale-dependent
- This can bias the model
**Fix:**
```python
from sklearn.preprocessing import StandardScaler
scaler = StandardScaler()
X_train = scaler.fit_transform(X_train)
X_test = scaler.transform(X_test)  # Use fit_transform only on train!
```
---
## 4. **Data Leakage Risk** ⚠️
**Severity: Medium**
**Problem:**
- If preprocessing operations should be fitted on training data only, they're not done correctly here
- Any future scaling/encoding must use training statistics only
**Fix:** Apply any fit operations only to training data, then transform test data.
---
## 5. **No Data Type Checking** ⚠️
**Severity: Medium**
**Problem:**
- No verification that features are numeric
- Categorical features would cause errors
- No check on target variable encoding (binary: 0/1, or something else?)
**Fix:**
```python
if not all(pd.api.types.is_numeric_dtype(df[col]) for col in features):
    raise TypeError("All features must be numeric")
```
---
## 6. **Incomplete Model Evaluation** ⚠️
**Severity: Medium**
**Problem:**
- Only checking accuracy on test set
- Accuracy is misleading for imbalanced datasets
- No cross-validation
- No evaluation on training set (can't detect overfitting)
- No confusion matrix or precision/recall
**Fix:**
```python
from sklearn.model_selection import cross_val_score
from sklearn.metrics import classification_report, confusion_matrix
# Cross-validation
cv_scores = cross_val_score(model, X_train, y_train, cv=5)
print(f"CV Accuracy: {cv_scores.mean():.4f} (+/- {cv_scores.std():.4f})")
# Full evaluation
train_acc = accuracy_score(y_train, model.predict(X_train))
test_acc = accuracy_score(y_test, y_pred)
print(f"Train Accuracy: {train_acc:.4f}")
print(f"Test Accuracy: {test_acc:.4f}")
print(f"\nClassification Report:\n{classification_report(y_test, y_pred)}")
print(f"\nConfusion Matrix:\n{confusion_matrix(y_test, y_pred)}")
```
---
## 7. **No Class Imbalance Handling** ⚠️
**Severity: Medium**
**Problem:**
- If defaulted loans are rare, accuracy is meaningless
- Model might just predict "no default" for everything
**Fix:**
```python
print(f"Class distribution:\n{y.value_counts()}")
model = LogisticRegression(max_iter=1000, class_weight='balanced')
```
---
## 8. **Hard-coded File Path** ⚠️
**Severity: Low**
**Problem:**
- Not portable
- Works only in specific directory
- No way to specify different datasets
**Fix:**
```python
import sys
filepath = sys.argv[1] if len(sys.argv) &gt; 1 else "loans.csv"
```
---
## 9. **No Random State Consistency** ⚠️
**Severity: Low**
**Problem:**
- Only `train_test_split` has `random_state=42`
- Model fitting isn't deterministic if solver is random
**Fix:**
```python
model = LogisticRegression(max_iter=1000, random_state=42)
```
---
## 10. **Hardcoded Hyperparameters** ⚠️
**Severity: Low**
**Problem:**
- `max_iter=1000` and `test_size=0.2` are arbitrary
- No hyperparameter tuning
- No justification for these values
**Fix:**
```python
from sklearn.model_selection import GridSearchCV
param_grid = {'C': [0.1, 1, 10], 'max_iter': [500, 1000, 2000]}
grid_search = GridSearchCV(LogisticRegression(), param_grid, cv=5)
```
---
## Summary Table
| Issue | Severity | Impact |
|-------|----------|--------|
| No error handling | High | Silent failures |
| No missing value handling | High | Runtime errors/wrong results |
| No feature scaling | Medium | Biased model |
| Incomplete evaluation | Medium | False confidence in model |
| No class imbalance handling | Medium | Misleading metrics |
| Hard-coded paths | Low | Non-portable code |</t>
  </si>
  <si>
    <t>This Python script demonstrates a basic machine learning workflow for training a Logistic Regression model to predict loan defaults. While it runs and produces an accuracy score, it has several issues, bugs, and bad practices that should be addressed for robustness, reliability, and better model performance.
Here's a breakdown of the problems:
---
### Critical Issues / Potential Bugs
1.  **No Data Preprocessing (Missing Values)**
    *   **Problem:** The code does not handle missing values (`NaN`) in the features (`X`). If any of the columns in `features` contain `NaN`s, `LogisticRegression` will raise an error (e.g., `ValueError: Input X contains NaN`).
    *   **Explanation:** Real-world datasets often have missing data. Before training a model, missing values usually need to be imputed (e.g., with the mean, median, mode) or the rows/columns containing them removed.
    *   **Fix:** Add steps to check for and handle missing values, for example:
        ```python
        # Check for missing values
        print(X.isnull().sum())
        # Example imputation (choose appropriate strategy)
        from sklearn.impute import SimpleImputer
        imputer = SimpleImputer(strategy='mean') # or 'median', 'most_frequent'
        X = pd.DataFrame(imputer.fit_transform(X), columns=X.columns, index=X.index)
        ```
2.  **No Data Preprocessing (Categorical Features)**
    *   **Problem:** The code assumes all specified features (`"income", "credit_score", "loan_amount", "employment_years", "collection_recovery_fee"`) are numerical. If any of these columns contain non-numerical (categorical string) data, `LogisticRegression` will raise an error during `fit()` (e.g., `ValueError: could not convert string to float`).
    *   **Explanation:** Machine learning models typically require all input features to be numerical. Categorical features need to be encoded (e.g., using One-Hot Encoding or Label Encoding).
    *   **Fix:** Inspect the data types (`df.info()`) and apply appropriate encoding if categorical features are present.
        ```python
        # Example for one-hot encoding if there were categorical features
        # X = pd.get_dummies(X, columns=['categorical_feature_name'], drop_first=True)
        ```
3.  **Potential Data Leakage with `collection_recovery_fee`**
    *   **Problem:** The feature `collection_recovery_fee` sounds highly suspicious. A "recovery fee" is typically applied *after* a default has occurred, meaning its presence (or a non-zero value) would be a direct indicator of a default, rather than a predictor *before* the default. Including such a feature would lead to data leakage and an artificially inflated accuracy score. The model would be "cheating" by using information that wouldn't be available at the time of prediction.
    *   **Explanation:** Features should only contain information that would be available at the time the model is used to make a prediction. If this fee is only charged post-default, it's a "target leakage" issue.
    *   **Fix:** Verify the meaning and timing of this feature. If it is indeed post-default information, it must be removed from the feature set. If it represents something like a pre-existing fee structure that influences the likelihood of default, then it might be valid, but this needs clarification.
---
### Bad Practices / Areas for Improvement
4.  **Inappropriate Evaluation Metric for Imbalanced Data (Accuracy)**
    *   **Problem:** Loan default prediction is almost always an imbalanced classification problem (far fewer loans default than don't). Accuracy can be a misleading metric in such scenarios. For example, if only 5% of loans default, a model that simply predicts "no default" for every loan would achieve 95% accuracy, but it would be useless as it wouldn't identify any actual defaults.
    *   **Explanation:** For imbalanced datasets, metrics like **Precision, Recall, F1-score, ROC AUC, or PR AUC** are much more informative as they provide insights into the model's ability to correctly identify the minority class (defaults) and avoid false positives.
    *   **Fix:** Use more appropriate metrics, especially for the minority class:
        ```python
        from sklearn.metrics import classification_report, roc_auc_score, confusion_matrix
        print(classification_report(y_test, y_pred))
        print(f"ROC AUC Score: {roc_auc_score(y_test, model.predict_proba(X_test)[:, 1]):.4f}")
        print("Confusion Matrix:\n", confusion_matrix(y_test, y_pred))
        ```
5.  **Lack of Stratification in Train-Test Split for Imbalanced Data**
    *   **Problem:** When dealing with imbalanced target variables (like loan defaults), using `train_test_split` without `stratify=y` can lead to train and test sets having significantly different proportions of the minority class. This can result in a test set that doesn't accurately represent the overall data distribution, leading to unreliable model evaluation.
    *   **Explanation:** Stratification ensures that the proportion of the target variable (e.g., default vs. no default) is approximately the same in both the training and testing sets.
    *   **Fix:** Add `stratify=y` to the `train_test_split` call:
        ```python
        X_train, X_test, y_train, y_test = train_test_split(
            X, y, test_size=0.2, random_state=42, stratify=y
        )
        ```
6.  **No Feature Scaling**
    *   **Problem:** Logistic Regression, while not as sensitive as some other algorithms (like SVMs or K-Nearest Neighbors), can still benefit from feature scaling, especially when features have vastly different ranges (e.g., `income` (thousands/millions) vs. `credit_score` (hundreds)). Unscaled features can sometimes lead to longer convergence times for gradient descent-based optimizers (which Logistic Regression uses) or issues with regularization.
    *   **Explanation:** Scaling features (e.g., using `StandardScaler` or `MinMaxScaler`) brings them to a similar range, which can help the optimization algorithm converge faster and more stably. The increased `max_iter=1000` might be implicitly compensating for this.
    *   **Fix:** Apply scaling to your features:
        ```python
        from sklearn.preprocessing import StandardScaler
        scaler = StandardScaler()
        X_train_scaled = scaler.fit_transform(X_train)
        X_test_scaled = scaler.transform(X_test)
        model = LogisticRegression(max_iter=1000)
        model.fit(X_train_scaled, y_train)
        y_pred = model.predict(X_test_scaled)
        ```
7.  **Lack of Data Exploration/Validation**
    *   **Problem:** The script jumps directly into modeling without any preliminary data exploration steps (`df.info()`, `df.describe()`, `df.isnull().sum()`, `df['defaulted'].value_counts()`). This is a common bad practice that hides potential issues (like missing values, incorrect data types, or class imbalance) until the model training stage, or worse, leads to a poorly performing model.
    *   **Explanation:** Understanding your data is the first and most crucial step in any data science project. It helps identify issues, inform preprocessing choices, and understand the problem better.
    *   **Fix:** Add data exploration steps at the beginning of the script.
8.  **No Error Handling for File Loading**
    *   **Problem:** If `loans.csv` does not exist in the specified path, `pd.read_csv()` will raise a `FileNotFoundError`, crashing the script.
    *   **Explanation:** Robust applications should anticipate and handle common errors gracefully.
    *   **Fix:** Wrap the file loading in a `try-except` block:
        ```python
        try:
            df = pd.read_csv("loans.csv")
        except FileNotFoundError:
            print("Error: 'loans.csv' not found. Please ensure the file is in the correct directory.")
            exit() # or handle appropriately
        except Exception as e:
            print(f"An unexpected error occurred while reading the CSV: {e}")
            exit()
        ```
9.  **No Scikit-learn Pipeline**
    *   **Problem:** The preprocessing steps (imputation, scaling) are currently separate from the model training. If you had to deploy this model or perform hyperparameter tuning with cross-validation, applying these transformations consistently and preventing data leakage (e.g., fitting a scaler on test data) would become cumbersome and error-prone.
    *   **Explanation:** `sklearn.pipeline.Pipeline` allows you to chain preprocessing steps with an estimator, ensuring that transformations are applied correctly to new data and that data leakage is avoided during cross-validation.
    *   **Fix:** Use a pipeline for preprocessing and modeling:
        ```python
        from sklearn.pipeline import Pipeline
        from sklearn.preprocessing import StandardScaler
        from sklearn.impute import SimpleImputer # if needed
        # Example with imputation and scaling
        # model_pipeline = Pipeline([
        #     ('imputer', SimpleImputer(strategy='mean')),
        #     ('scaler', StandardScaler()),
        #     ('logreg', LogisticRegression(max_iter=1000, random_state=42))
        # ])
        # Without explicit imputation if assuming data is clean after initial check
        model_pipeline = Pipeline([
            ('scaler', StandardScaler()),
            ('logreg', LogisticRegression(max_iter=1000, random_state=42))
        ])
        model_pipeline.fit(X_train, y_train)
        y_pred = model_pipeline.predict(X_test)
        ```
10. **Lack of Hyperparameter Tuning**
    *   **Problem:** The `LogisticRegression` model uses default hyperparameters (except for `max_iter`). The `C` parameter (inverse of regularization strength) is critical for controlling overfitting/underfitting and is often tuned.
    *   **Explanation:** Optimal model performance often requires tuning hyperparameters.
    *   **Fix:** Use techniques like `GridSearchCV` or `RandomizedSearchCV` to find the best hyperparameters.
11. **Hardcoded Filename**
    *   **Problem:** The filename `"loans.csv"` is hardcoded, making the script less flexible if the filename changes or needs to be provided dynamically.
    *   **Explanation:** Using variables for configuration parameters improves maintainability.
    *   **Fix:** Define the filename as a variable:
        ```python
        DATA_FILE = "loans.csv"
        # ...
        df = pd.read_csv(DATA_FILE)
        ```
---
By addressing these points, the script would become significantly more robust, reliable, and produce a more trustworthy and insightful model.</t>
  </si>
  <si>
    <t>The provided code is a machine learning pipeline for predicting loan defaults using logistic regression. Upon reviewing the code, I can point out potential issues related to data leakage:
1. **Feature 'collection_recovery_fee'**: The feature "collection_recovery_fee" might be a potential source of data leakage. If 'collection_recovery_fee' is generated or is influenced by the event of a loan default (e.g., fees are only applied or known after a default has occurred), then including it as a feature would introduce past knowledge of the default into the model. This is a classic case of leakage because, at the time of making predictions, you would not have access to this information as it requires knowledge about an event that the model is trying to predict.
2. **General Process**: Otherwise, regarding the overall data preparation steps in the code, there is no direct evidence of leakage in terms of train-test split or data processing. The train-test split is done correctly prior to model training, ensuring separation of training and testing data.
To make the pipeline better resist potential data leakage issues, it would be advisable to investigate and ensure the following:
- Verify the nature and timing of the "collection_recovery_fee" variable to ensure it's available at the time of making predictions. If it is computed or updated only after certain default events, it should be removed or replaced with a feature available at prediction time.
- Always consider the real-world circumstances of data availability at the prediction phase for each feature used. 
If 'collection_recovery_fee' is indeed dependent on the target ('defaulted') or calculated with information not available at prediction time, it constitutes data leakage, and using it would inflate the model’s perceived performance.</t>
  </si>
  <si>
    <t>Upon reviewing the provided Python machine learning pipeline code, it appears to be free of data leakage. Here's a breakdown of the components involved and the reasoning behind this conclusion:
1. **Data Loading**:
   - The dataset `loans.csv` is loaded without preprocessing at this stage. 
2. **Feature Selection**:
   - The features selected for training (`income`, `credit_score`, `loan_amount`, `employment_years`, `collection_recovery_fee`) are independent predictors of the target variable `defaulted`.
3. **Train-Test Split**:
   - The code uses `train_test_split` to divide the dataset into training (80%) and testing (20%) subsets. This split is performed before the model training, which helps ensure that the model does not have access to the test data during training.
4. **Model Training**:
   - The logistic regression model is trained on the `X_train` and `y_train` datasets, which do not include any test data or information derived from it.
5. **Prediction and Evaluation**:
   - Predictions (`y_pred`) are made on the separate `X_test` dataset, and accuracy is computed based on `y_test`, which hasn't influenced the model training phase.
### Conclusion
There is no indication of data leakage in this code. The training and test sets are properly separated, and there are no features that rely on the target variable that wouldn’t be available during actual prediction (such as using future information). 
Potential areas where data leakage often occurs, such as:
- Using aggregate features derived from the target variable during preprocessing
- Including features that are created using the test data before the split 
are not present here.
Thus, this code adheres to best practices regarding avoiding data leakage in a machine learning pipeline.</t>
  </si>
  <si>
    <t>## Data Leakage Analysis
### Finding: **Critical Data Leakage via Target-Encoded Feature**
The code contains a significant data leakage problem rooted in **feature selection**, not in the train/test split mechanics.
---
### The Problem: `collection_recovery_fee`
```python
features = [
    "income", "credit_score", "loan_amount",
    "employment_years", "collection_recovery_fee"  # ← leakage
]
```
`collection_recovery_fee` is a field from loan servicing data that **only exists after a loan has already defaulted**. It represents fees charged during the debt collection process following a default event.
This is **target leakage**, a specific form of data leakage where a feature encodes information about the outcome it is meant to predict.
---
### Why This Is a Problem
```
Timeline of events:
  Loan applied  →  Loan issued  →  [Prediction should happen HERE]  →  Default occurs  →  Collection fee charged
                                          ↑                                                        ↑
                                   Model is used                                        Feature is populated
```
The model is trained to predict `defaulted`, but `collection_recovery_fee` is:
- **Zero or null** for loans that never defaulted
- **Non-zero** specifically because the loan defaulted
The model learns a trivial and invalid rule:
```
if collection_recovery_fee &gt; 0 → predict default
```
This produces **artificially inflated accuracy** during evaluation that will **completely collapse in production**, because at prediction time (when a loan is being evaluated), this fee does not yet exist.
---
### Secondary Note: Train/Test Split Mechanics Are Correct
The splitting and fitting procedure itself is done properly:
```python
# ✅ Split happens before fitting
X_train, X_test, y_train, y_test = train_test_split(...)
# ✅ Model only sees training data during fit
model.fit(X_train, y_train)
# ✅ Evaluation on held-out test set
y_pred = model.predict(X_test)
```
There is no preprocessing fitted on the full dataset, no target encoding using all rows, and no scaling done before the split. The leakage is purely from the choice of feature.
---
### Fix
```python
features = [
    "income",
    "credit_score",
    "loan_amount",
    "employment_years",
    # "collection_recovery_fee"  ← removed: only known post-default
]
```
Remove any feature that is:
1. Recorded **as a consequence of** the target event, or
2. Only known **after** the prediction decision would need to be made
The corrected model will likely show **lower but honest accuracy**, reflecting the true difficulty of the prediction task with information that would actually be available at decision time.</t>
  </si>
  <si>
    <t># Data Leakage Review
## ⚠️ **CRITICAL DATA LEAKAGE DETECTED**
The feature **`collection_recovery_fee`** introduces severe data leakage.
### Why This Is Leakage
A collection recovery fee is a **post-default consequence** — it only appears on a loan's record *after* the borrower has already defaulted. This means:
1. **Temporal ordering violation**: Information about the outcome (default) becomes available in the features before prediction time
2. **Practical unavailability**: At the time you'd make a lending decision (before disbursing the loan), collection recovery fees don't exist yet
3. **Target encoding**: The feature directly encodes information about whether a default occurred
### Why This Is a Problem
- **Artificially inflated performance**: The model appears more accurate than it actually is because it's using information that wouldn't be available in production
- **Non-deployable model**: You cannot use this model to predict defaults on new loan applications, since you won't know the collection recovery fee until after a default happens
- **False confidence**: Stakeholders may approve the model based on inflated accuracy metrics
### The Fix
```python
features = [
    "income", "credit_score", "loan_amount",
    "employment_years"
    # Remove: "collection_recovery_fee"
]
```
Keep only features that would be known at the time of making the lending decision (application time). Other features like income, credit score, and loan amount are available upfront.
---
**Note**: The train/test split itself is correctly implemented. The leakage comes from feature engineering choices, not the validation methodology.</t>
  </si>
  <si>
    <t>Yes, this code *does* contain a form of data leakage, specifically **target leakage** (also known as feature leakage).
Here's exactly where and why:
### Data Leakage Detected: Target Leakage
1.  **Location:** The `features` list, specifically the inclusion of `"collection_recovery_fee"`.
    ```python
    features = [
        "income", "credit_score", "loan_amount",
        "employment_years", "collection_recovery_fee" # &lt;-- THIS IS THE LEAK
    ]
    ```
2.  **Why it is a problem:**
    *   **Nature of the feature:** A "collection recovery fee" is typically incurred *after* a loan has already defaulted and the lender is attempting to recover the outstanding amount.
    *   **Relationship to the target:** The target variable `y` is `"defaulted"`. If a `collection_recovery_fee` exists (i.e., is non-zero) for a loan, it inherently means that the loan has *already defaulted*. If the fee is zero, it usually means the loan has not yet defaulted (or was paid off without defaulting).
    *   **Information availability at prediction time:** When you use this model in a real-world scenario to predict whether a *new* loan applicant will default *in the future*, you would not have information about a `collection_recovery_fee`. This fee is a *consequence* of a default, not a predictor that's available *before* the default occurs.
    *   **Impact on model performance:** By including this feature, your model learns a direct, almost perfect, relationship with the target variable. It's essentially training on data that already tells it whether a loan has defaulted. This will lead to an artificially inflated accuracy score on your test set, making the model appear much better than it would perform on truly new, unseen data where this fee hasn't yet been incurred.
### Example of the Problem:
Imagine predicting if a new loan application will default. At the time of application, `collection_recovery_fee` would be 0 or non-existent. However, your trained model, heavily relying on this feature, would have learned that a non-zero fee strongly predicts default. Since all new applications would have a zero fee, the model might incorrectly classify them as non-defaulting, or simply perform poorly because the key feature it learned to rely on isn't available in the same way.
### Absence of Other Leakage:
The code is clean regarding **train-test leakage**:
*   `train_test_split` is performed *before* any feature engineering, scaling, or other data transformations are applied to the entire dataset. This is crucial for preventing information from the test set from influencing the training process (e.g., calculating mean/std for scaling on the whole dataset before splitting would be a train-test leakage). In this simple pipeline, no such operations are performed before the split, which is good practice.
### Recommendation:
To fix the target leakage, you should remove `"collection_recovery_fee"` from your `features` list. The corrected feature selection would be:
```python
features = [
    "income", "credit_score", "loan_amount",
    "employment_years"
]
```</t>
  </si>
  <si>
    <t>9B</t>
  </si>
  <si>
    <t>target_leakage_clean</t>
  </si>
  <si>
    <t>The provided Python code is generally well-written, but there are a few potential issues and areas for improvement:
1. **Assumptions about Data Quality:**
    - The code assumes that the CSV file, `loans.csv`, is well-formed and does not contain any missing or invalid data. Before fitting the model, it's a good practice to perform some data cleaning (such as handling missing values or outliers) and feature scaling if necessary.
2. **Feature Scaling:**
    - Logistic Regression assumes that the scales of the input features are roughly similar. Depending on the data, it might be beneficial to scale the features (for instance, using `StandardScaler` or `MinMaxScaler`) to standardize `income`, `credit_score`, `loan_amount`, and `employment_years`.
3. **Multicollinearity:**
    - Without inspecting the data, it's hard to tell if multicollinearity is an issue. However, if features are highly correlated, this can negatively impact the performance of the Logistic Regression model. Consider checking for and addressing multicollinearity if it's present.
4. **Handling Categorical Variables:**
    - If any categorical data isn't properly encoded (one-hot encoding, label encoding), Logistic Regression may not work as expected. Ensure that all features are numerical.
5. **Dealing with Class Imbalance:**
    - If the target variable `y` is imbalanced (i.e., one class is significantly more frequent than the other), the accuracy score might be misleading. Consider using other evaluation metrics like precision, recall, F1 score, or area under the ROC curve.
6. **Use of `print`:**
    - Instead of using a plain `print()` function, consider using logging for better scalability and control over how messages are output in larger applications.
7. **Hardcoding File Path:**
    - The file path for reading the CSV is hardcoded. This can be replaced with a variable or configuration setting especially if the code is part of a larger application.
8. **Error Handling:**
    - There's no error handling for reading the file or during model training. Implementing try-except blocks can make the code more robust against file read errors or unexpected issues during fitting.
9. **Model Version Control:**
    - While not directly visible in the code, always ensure the usage of a fixed version of libraries in production code to maintain consistency in results across different environments.
10. **No Output of Confusion Matrix or Detailed Metrics:**
    - Beyond accuracy, examining other metrics such as a confusion matrix can provide more insights into the model's performance, especially in imbalanced datasets.
By addressing these issues, the code can be made more robust, accurate, and suitable for production-level deployment.</t>
  </si>
  <si>
    <t>The provided Python code appears to be a straightforward implementation of a logistic regression model using scikit-learn and pandas. However, there are several issues and potential improvements that can be identified:
1. **Missing Data Handling**:
    - **Issue**: The code does not address how to handle missing values in the dataset. If the `loans.csv` file contains any missing data in the features or target variable, this could lead to errors during model training or prediction.
    - **Improvement**: Implement checks for missing values and decide on a strategy, such as imputation or removing rows with missing data.
      ```python
      if df.isnull().values.any():
          df = df.dropna()  # or use df.fillna(method='ffill') for imputation
      ```
2. **Feature Scaling**:
    - **Issue**: The features being used (e.g., income, credit_score) may be on different scales, which could impact the performance of the logistic regression model. Logistic regression, while being a linear model, can benefit significantly from feature scaling.
    - **Improvement**: Standardize or normalize the feature values using `StandardScaler` or `MinMaxScaler` from `sklearn.preprocessing`.
      ```python
      from sklearn.preprocessing import StandardScaler
      scaler = StandardScaler()
      X_train = scaler.fit_transform(X_train)
      X_test = scaler.transform(X_test)
      ```
3. **Model Evaluation**:
    - **Issue**: The accuracy score is used to evaluate the model performance, which may not be sufficient, especially if the dataset is imbalanced (i.e., a significant disparity between the classes in the target variable).
    - **Improvement**: Include additional metrics for evaluation such as precision, recall, F1-score, or AUC-ROC.
      ```python
      from sklearn.metrics import classification_report
      print(classification_report(y_test, y_pred))
      ```
4. **Code Comments**:
    - **Issue**: The code lacks comments that explain what each step is doing.
    - **Improvement**: Adding comments would improve code readability and maintainability, especially for those new to the codebase or data science in general.
      ```python
      # Load the data
      # Define feature columns and target variable
      ```
5. **Direct CSV Path**:
    - **Issue**: The path to the CSV file ("loans.csv") is hardcoded, which may lead to issues if the file is not in the same directory as the script or if the script is deployed elsewhere.
    - **Improvement**: Consider using an external configuration file or command-line arguments to specify the path, which would make the script more versatile.
6. **Potential for Overfitting**:
    - **Issue**: Depending on the dataset size and complexity, there is a risk of overfitting. No mechanisms such as cross-validation are present in the code.
    - **Improvement**: Employ cross-validation to ensure that the model is robust and not overly fitted to a particular train-test split.
      ```python
      from sklearn.model_selection import cross_val_score
      scores = cross_val_score(model, X, y, cv=5)
      print(f"Average cross-validation score: {scores.mean():.4f}")
      ```
7. **Use of Defaults**:
    - **Issue**: `max_iter=1000` is specified for the logistic regression model but without context as to why this value was chosen. The default (100) is often sufficient unless convergence issues are known.
    - **Improvement**: Consider setting `max_iter` conditionally based on model performance or logs if convergence warnings appear.
By addressing these issues, the code can be made more robust, maintainable, and applicable across different datasets and scenarios.</t>
  </si>
  <si>
    <t>## Code Review: Loan Default Prediction
The code is functional and reasonably structured, but has several issues ranging from critical data science mistakes to maintainability concerns.
---
### 1. No Missing Value Handling (Critical)
```python
# Current code silently passes NaN values to the model
X = df[features]
y = df["defaulted"]
# Problem: LogisticRegression will raise ValueError or produce garbage results
# with NaN values present
```
**Fix:**
```python
# Option A: Drop rows with missing values (simple, but loses data)
df = df.dropna(subset=features + ["defaulted"])
# Option B: Impute missing values (better - preserves data)
from sklearn.impute import SimpleImputer
from sklearn.pipeline import Pipeline
imputer = SimpleImputer(strategy="median")  # median is robust to outliers
```
---
### 2. No Feature Scaling (Critical for Logistic Regression)
```python
# Current code feeds raw features directly to LogisticRegression
model = LogisticRegression(max_iter=1000)
model.fit(X_train, y_train)
# Problem: 'income' (e.g., 50000) and 'employment_years' (e.g., 5) are on
# completely different scales. Logistic Regression is sensitive to this,
# causing poor convergence and biased coefficients.
```
**Fix:**
```python
from sklearn.preprocessing import StandardScaler
from sklearn.pipeline import Pipeline
pipeline = Pipeline([
    ("imputer", SimpleImputer(strategy="median")),
    ("scaler", StandardScaler()),
    ("model", LogisticRegression(max_iter=1000))
])
pipeline.fit(X_train, y_train)
y_pred = pipeline.predict(X_test)
```
---
### 3. Data Leakage Risk (Critical)
```python
# Current code: fit/transform would be applied to all data before splitting
# This specific code doesn't do it, but the structure invites it.
# More importantly, any preprocessing (scaling, imputation) must be fit
# ONLY on training data, then applied to test data.
# WRONG pattern (common mistake this code structure leads to):
scaler = StandardScaler()
X_scaled = scaler.fit_transform(X)  # leaks test statistics into training
X_train, X_test, _, _ = train_test_split(X_scaled, y)
# CORRECT pattern (using Pipeline as shown above handles this automatically)
pipeline.fit(X_train, y_train)      # scaler only sees training data
pipeline.predict(X_test)            # applies learned scaling to test data
```
---
### 4. Accuracy Is a Misleading Metric for Loan Default (Important)
```python
# Current evaluation
print(f"Accuracy: {accuracy_score(y_test, y_pred):.4f}")
# Problem: Loan default datasets are typically imbalanced (e.g., 5% default rate).
# A model that predicts "no default" for every loan achieves 95% accuracy
# while being completely useless - and dangerous.
```
**Fix:**
```python
from sklearn.metrics import (
    classification_report,
    roc_auc_score,
    confusion_matrix
)
print(classification_report(y_test, y_pred))
print(f"ROC-AUC: {roc_auc_score(y_test, pipeline.predict_proba(X_test)[:, 1]):.4f}")
print("Confusion Matrix:")
print(confusion_matrix(y_test, y_pred))
# Also consider rebalancing during training:
LogisticRegression(max_iter=1000, class_weight="balanced")
```
---
### 5. No Data Validation After Loading (Important)
```python
# Current code assumes the CSV loads correctly with expected columns
df = pd.read_csv("loans.csv")
X = df[features]  # KeyError if column is missing or misnamed
# No checks on data shape, types, or ranges
```
**Fix:**
```python
df = pd.read_csv("loans.csv")
# Validate expected columns exist
required_columns = features + ["defaulted"]
missing_cols = set(required_columns) - set(df.columns)
if missing_cols:
    raise ValueError(f"Missing columns in dataset: {missing_cols}")
# Validate data loaded correctly
assert len(df) &gt; 0, "DataFrame is empty"
print(f"Loaded {len(df)} rows, {df.shape[1]} columns")
print(df[features].describe())  # sanity check distributions
print(f"Target distribution:\n{df['defaulted'].value_counts(normalize=True)}")
```
---
### 6. No Cross-Validation (Important)
```python
# Current code evaluates on a single train/test split
# This gives a noisy estimate of model performance that depends heavily
# on which 20% happened to end up in the test set
# Fix: Use cross-validation for reliable performance estimates
from sklearn.model_selection import cross_val_score, StratifiedKFold
cv = StratifiedKFold(n_splits=5, shuffle=True, random_state=42)
# Stratified ensures class balance is preserved in each fold
cv_scores = cross_val_score(pipeline, X, y, cv=cv, scoring="roc_auc")
print(f"CV ROC-AUC: {cv_scores.mean():.4f} (+/- {cv_scores.std():.4f})")
```
---
### 7. Hardcoded File Path (Minor)
```python
# Current code
df = pd.read_csv("loans.csv")
# Problems:
# - Breaks if working directory changes
# - Not reusable or configurable
```
**Fix:**
```python
from pathlib import Path
DATA_PATH = Path(__file__).parent / "data" / "loans.csv"
df = pd.read_csv(DATA_PATH)
```
---
### 8. No Model Persistence (Minor)
```python
# The model is trained but never saved, so it must be retrained on every run
# Fix:
import joblib
joblib.dump(pipeline, "loan_default_model.pkl")
# Later, to load:
# pipeline = joblib.load("loan_default_model.pkl")
```
---
### Summary Table
| # | Issue | Severity | Category |
|---|-------|----------|----------|
| 1 | No missing value handling | 🔴 Critical | Data Quality |
| 2 | No feature scaling | 🔴 Critical | ML Correctness |
| 3 | Data leakage risk | 🔴 Critical | ML Correctness |
| 4 | Accuracy-only metric on imbalanced data | 🟠 Important | Evaluation |
| 5 | No data validation | 🟠 Important | Robustness |
| 6 | No cross-validation | 🟠 Important | Evaluation |
| 7 | Hardcoded file path | 🟡 Minor | Maintainability |
| 8 | No model persistence | 🟡 Minor | Usability |
The most impactful fixes are items 1–3, which could silently produce incorrect results, and item 4, which could create a false sense of model quality.</t>
  </si>
  <si>
    <t># Code Review: Issues and Problems
## 1. **No Data Validation or Error Handling** ⚠️
```python
df = pd.read_csv("loans.csv")
```
**Problem:** No check if the file exists or if the read was successful.
**Fix:**
```python
try:
    df = pd.read_csv("loans.csv")
except FileNotFoundError:
    print("Error: loans.csv not found")
    exit(1)
```
---
## 2. **Missing Data Quality Checks** ⚠️
**Problem:** No handling of missing values, duplicates, or data type validation.
**Fix:**
```python
# Check for missing values
print(df.isnull().sum())
df = df.dropna()  # or use fillna()
# Check data types
print(df.dtypes)
# Remove duplicates if needed
df = df.drop_duplicates()
```
---
## 3. **No Feature Scaling** ⚠️
**Problem:** LogisticRegression can be sensitive to feature magnitude differences (income vs. credit_score). Features should be normalized/standardized.
**Fix:**
```python
from sklearn.preprocessing import StandardScaler
scaler = StandardScaler()
X_train = scaler.fit_transform(X_train)
X_test = scaler.transform(X_test)  # Important: only fit on training data
```
---
## 4. **Insufficient Model Evaluation** ⚠️
**Problem:** Using only accuracy is misleading, especially for imbalanced datasets. No confusion matrix, precision, recall, or F1-score.
**Fix:**
```python
from sklearn.metrics import classification_report, confusion_matrix
print(classification_report(y_test, y_pred))
print(confusion_matrix(y_test, y_pred))
```
---
## 5. **No Cross-Validation** ⚠️
**Problem:** Single train-test split provides limited insight into model generalization.
**Fix:**
```python
from sklearn.model_selection import cross_val_score
scores = cross_val_score(model, X, y, cv=5)
print(f"Cross-validation scores: {scores}")
```
---
## 6. **No Handling of Categorical Features** ⚠️
**Problem:** If any features are categorical, they won't be properly encoded.
**Fix:**
```python
# Check for non-numeric columns
print(df.dtypes)
# Encode if needed
X = pd.get_dummies(X, drop_first=True)
```
---
## 7. **No Feature Importance Analysis** ⚠️
**Problem:** No insight into which features actually matter.
**Fix:**
```python
feature_importance = pd.DataFrame({
    'feature': features,
    'coefficient': model.coef_[0]
}).sort_values('coefficient', key=abs, ascending=False)
print(feature_importance)
```
---
## 8. **Hardcoded Magic Numbers** ⚠️
**Problem:** `test_size=0.2`, `max_iter=1000`, `random_state=42` should be configurable.
**Fix:**
```python
TEST_SIZE = 0.2
MAX_ITER = 1000
RANDOM_STATE = 42
X_train, X_test, y_train, y_test = train_test_split(
    X, y, test_size=TEST_SIZE, random_state=RANDOM_STATE
)
model = LogisticRegression(max_iter=MAX_ITER)
```
---
## 9. **No Class Imbalance Handling** ⚠️
**Problem:** If classes are imbalanced (e.g., 90% non-defaulted), accuracy is misleading.
**Fix:**
```python
print(y.value_counts())  # Check balance
# Add class weighting if imbalanced
model = LogisticRegression(max_iter=1000, class_weight='balanced')
```
---
## 10. **No Reproducibility Documentation** ⚠️
**Problem:** No comments explaining the purpose or requirements.
**Fix:** Add docstring and comments explaining the pipeline.
---
## **Improved Version:**
```python
import pandas as pd
from sklearn.model_selection import train_test_split, cross_val_score
from sklearn.preprocessing import StandardScaler
from sklearn.linear_model import LogisticRegression
from sklearn.metrics import accuracy_score, classification_report
# Configuration
TEST_SIZE = 0.2
RANDOM_STATE = 42
FEATURES = ["income", "credit_score", "loan_amount", "employment_years"]
# Load data with error handling
try:
    df = pd.read_csv("loans.csv")
except FileNotFoundError:
    print("Error: loans.csv not found")
    exit(1)
# Data validation
print("Missing values:", df.isnull().sum().sum())
df = df.dropna()
print(f"Class distribution:\n{df['defaulted'].value_counts()}")
# Prepare features
X = df[FEATURES]
y = df["defaulted"]
# Train-test split
X_train, X_test, y_train, y_test = train_test_split(
    X, y, test_size=TEST_SIZE, random_state=RANDOM_STATE
)
# Feature scaling
scaler = StandardScaler()
X_train = scaler.fit_transform(X_train)
X_test = scaler.transform(X_test)
# Train model
model = LogisticRegression(max_iter=1000, class_weight='balanced')
model.fit(X_train, y_train)
# Evaluate
y_pred = model.predict(X_test)
print(f"Accuracy: {accuracy_score(y_test, y_pred):.4f}")
print("\nClassification Report:")
print(classification_report(y_test, y_pred))
# Cross-validation
cv_scores = cross_val_score(model, X, y, cv=5)
print(f"Cross-validation scores: {cv_scores.mean():.4f} (+/- {cv_scores.std():.4f})")
```</t>
  </si>
  <si>
    <t>The provided Python code snippet is a basic machine learning pipeline for a classification task using Logistic Regression. While it functions for a specific scenario, it has several issues, bugs, and bad practices that make it fragile, potentially inaccurate, and not robust for real-world applications.
Here's a breakdown of the problems:
### 1. Lack of Error Handling for File I/O
*   **Problem:** The line `df = pd.read_csv("loans.csv")` directly attempts to read a file. If `loans.csv` does not exist in the expected path, the program will crash with a `FileNotFoundError`.
*   **Explanation:** In production or more robust scripts, file operations should always be wrapped in `try-except` blocks to gracefully handle scenarios where the file might be missing or unreadable.
*   **Bad Practice:** Unhandled file I/O errors can lead to unexpected program termination and a poor user experience.
### 2. No Missing Value Handling
*   **Problem:** The code directly uses `df[features]` and `df["defaulted"]` without checking for or handling missing values (NaNs).
*   **Explanation:** Scikit-learn's `LogisticRegression` (and most other machine learning models) cannot directly handle `NaN` values. If `X` or `y` contain `NaN`s, `model.fit()` will raise an error (e.g., `ValueError: Input X contains NaN`).
*   **Bad Practice:** Real-world datasets almost always have missing values. It's crucial to explicitly handle them, either by imputation (e.g., `SimpleImputer`) or by dropping rows/columns, *before* training the model.
### 3. No Feature Scaling/Normalization
*   **Problem:** Features like `income`, `credit_score`, `loan_amount`, and `employment_years` likely have vastly different scales. The code uses them directly without any scaling.
*   **Explanation:** While Logistic Regression is not as sensitive to feature scaling as some other algorithms (like SVMs with RBF kernels or K-Nearest Neighbors), it can still benefit from it.
    *   **Convergence:** Scaling can help the optimization algorithm (solver) converge faster and more reliably. The explicit `max_iter=1000` might indicate that convergence issues were encountered, which scaling could help alleviate.
    *   **Regularization:** If regularization (L1 or L2) is used (which is default in Logistic Regression), feature scaling ensures that the regularization penalty is applied fairly across all features, preventing features with larger scales from dominating the penalty.
*   **Bad Practice:** Neglecting feature scaling can lead to slower training times, suboptimal model performance, and potential convergence warnings, especially with certain solvers.
### 4. Implicit Assumption of Numeric Features (No Categorical Encoding)
*   **Problem:** The code assumes all features listed in `features` (`"income", "credit_score", "loan_amount", "employment_years"`) are already numeric and suitable for `LogisticRegression`.
*   **Explanation:** If any of these columns (or any other potential features not included) were categorical (e.g., `employment_type` as 'full-time', 'part-time', 'unemployed'), they would need to be numerically encoded (e.g., using `OneHotEncoder` or `OrdinalEncoder`) before being passed to `LogisticRegression`. Passing string categories would result in a `ValueError`.
*   **Bad Practice:** Not explicitly handling categorical features makes the code brittle and prone to errors if the dataset structure changes or if new categorical features are added.
### 5. Unspecified Solver for Logistic Regression
*   **Problem:** The `LogisticRegression` constructor is called without explicitly specifying a `solver` (e.g., `solver='liblinear'`, `solver='lbfgs'`).
*   **Explanation:** Depending on the scikit-learn version, not specifying a solver can lead to a `FutureWarning` indicating that the default solver will change in a future version. This can make the model's behavior inconsistent across different library versions. While `max_iter=1000` is set, some solvers might still struggle or be less efficient for specific datasets.
*   **Bad Practice:** Explicitly choosing a solver based on the problem characteristics and dataset size is generally better practice for clarity, performance, and avoiding deprecation warnings.
### 6. Reliance Solely on Accuracy for Evaluation
*   **Problem:** The model's performance is evaluated solely using `accuracy_score`.
*   **Explanation:** For classification problems, especially in contexts like loan defaulting (where the 'defaulted' class is often a minority class), accuracy can be a very misleading metric. A model that predicts "no default" for everyone might achieve high accuracy if only a small percentage of loans actually default, but it would be useless for identifying at-risk individuals.
*   **Bad Practice:**
    *   **Imbalanced Datasets:** If the target variable `defaulted` is imbalanced, high accuracy could mean the model is simply predicting the majority class well, completely ignoring the minority class (e.g., actual defaults).
    *   **Incomplete Picture:** Other metrics like Precision, Recall, F1-score, AUC-ROC, or a Confusion Matrix provide a much more comprehensive understanding of the model's performance, particularly its ability to correctly identify positive cases (defaults) and minimize false positives/negatives.
### 7. Limited Model Evaluation
*   **Problem:** The code only calculates and prints one metric (`accuracy_score`).
*   **Explanation:** Beyond accuracy, a comprehensive evaluation in a real-world scenario would typically involve:
    *   **Confusion Matrix:** To see true positives, true negatives, false positives, and false negatives.
    *   **Classification Report:** (from `sklearn.metrics`) which provides precision, recall, f1-score, and support for each class.
    *   **ROC Curve and AUC:** Especially useful for assessing the model's discriminative power across different thresholds.
    *   **Cross-validation:** For a more robust estimate of model performance that is less dependent on a single train-test split.
*   **Bad Practice:** A single metric provides an incomplete and potentially misleading view of model performance, especially in critical applications like financial risk assessment.
### Summary of Recommendations:
To improve this code, consider implementing the following:
1.  **Error Handling:** Use `try-except` for `pd.read_csv`.
2.  **Data Preprocessing:**
    *   Handle missing values (e.g., `df.dropna()`, `SimpleImputer`).
    *   Perform feature scaling (e.g., `StandardScaler`, `MinMaxScaler`) on numerical features.
    *   Encode categorical features (e.g., `OneHotEncoder`) if they exist. Use a `Pipeline` for cleaner preprocessing.
3.  **Model Configuration:** Explicitly choose a `solver` for `LogisticRegression` (e.g., `solver='liblinear'` for smaller datasets, `'lbfgs'` for larger ones).
4.  **Comprehensive Evaluation:**
    *   Calculate and print a `classification_report`.
    *   Generate and display a `confusion_matrix`.
    *   Consider plotting an ROC curve and calculating AUC.
    *   If resources permit, use cross-validation (e.g., `KFold`) to get a more robust performance estimate.</t>
  </si>
  <si>
    <t>The provided Python code outlines a machine learning pipeline for training and evaluating a logistic regression model for predicting loan defaults. I'll evaluate the code to determine if it contains any form of data leakage.
### Review for Data Leakage
1. **Train-Test Split**:
   - The `train_test_split` function is correctly used to split the data into training and test sets. This ensures that the model is trained on the training set and evaluated on the test set. There is no leakage from the test set into the training process in terms of input features or target labels.
2. **Feature Engineering**:
   - The features are directly selected from the dataset without any transformations that could introduce information about the target variable. Thus, no data leakage via features containing future information about the target variable is evident.
3. **Fitting and Prediction**:
   - The `LogisticRegression` model is fit using only the training data (`X_train`, `y_train`). Predictions are then made using the test data (`X_test`). This is the correct approach and does not involve any leakage from the test set into the training process.
### Conclusion
The code does not contain any forms of data leakage. The process for splitting the dataset, training the model, and evaluating it is conducted properly. As it stands, the features used do not encode information that would not be available at prediction time, and no information from the test set informs the model during training. Thus, the code is free of data leakage.</t>
  </si>
  <si>
    <t>The provided Python machine learning pipeline code appears to be free of data leakage. Here's a breakdown of the pipeline:
1. **Data Loading**: The code starts by loading a dataset (`loans.csv`) into a Pandas DataFrame (`df`), from which features (`X`) and the target variable (`y`) are extracted.
2. **Feature Selection**: It selects a set of features that are presumably relevant for the prediction of whether a loan defaults or not. These features are `income`, `credit_score`, `loan_amount`, and `employment_years`.
3. **Data Splitting**: The `train_test_split` function is used to partition the data into training and testing sets. This is done before any model training, which is a best practice that reduces the risk of data leakage. The random state is fixed for reproducibility.
4. **Model Training**: The `LogisticRegression` model is trained using only the training data (`X_train` and `y_train`).
5. **Model Prediction**: The model makes predictions on the unseen test data (`X_test`).
6. **Performance Evaluation**: The accuracy of the model is evaluated based on predictions from the test set against the true labels.
### Why It Appears Free of Data Leakage:
- **Proper Split**: The data is randomized into training and testing sets before fitting the model. This ensures that the model does not see any information from the test set during training.
- **Feature Selection**: The features selected for the model do not appear to contain any data that would have been unavailable at the time of making predictions. There are no future-leaking features or information that wouldn't reasonably be known when a prediction is being made (there’s no temporal component that suggests that the features derive from future information).
### Conclusion:
Since there is no evidence of data leakage in this pipeline code, we can confidently state that it is free of data leakage. The separation of training and test data, along with the choice of features, helps to ensure that the model is evaluated fairly and generalizes well to unseen data.</t>
  </si>
  <si>
    <t>## Data Leakage Analysis
**Verdict: No data leakage detected.**
This pipeline is clean. Here is a breakdown of why each potential leakage concern is addressed correctly.
---
### What the Code Does Right
**1. Train/test split occurs before any learning**
```python
X_train, X_test, y_train, y_test = train_test_split(
    X, y, test_size=0.2, random_state=42
)
```
The split happens before `model.fit()`, so the test set has no influence on training.
**2. Model is fit exclusively on training data**
```python
model.fit(X_train, y_train)
```
No test data touches the fitting step.
**3. Features are structurally sound**
The four features used — `income`, `credit_score`, `loan_amount`, `employment_years` — are plausible pre-loan characteristics that would realistically be available at prediction time. None of them obviously encode the outcome (`defaulted`).
**4. No preprocessing that could leak**
There is no scaling, imputation, or encoding applied. This is actually the most common source of leakage in pipelines, and its absence here eliminates that risk.
---
### What to Watch For If You Extend This Code
These aren't problems *now*, but they would become leakage issues if added incorrectly:
| Addition | Leakage Risk | Safe Fix |
|---|---|---|
| `StandardScaler` or `MinMaxScaler` | Fitting scaler on all data before split | Fit scaler only on `X_train`, transform both |
| Imputing missing values | Computing mean/median on full dataset | Use `sklearn.pipeline.Pipeline` to fit imputer on train only |
| Target encoding | Encoding categories using `y` before split | Encode inside a pipeline with cross-validation |
| Feature selection (e.g. SelectKBest) | Selecting features based on full dataset | Include in a `Pipeline` |
---
### Recommended Pattern for Future Extensions
Using `sklearn.pipeline.Pipeline` structurally prevents most of these mistakes:
```python
from sklearn.pipeline import Pipeline
from sklearn.preprocessing import StandardScaler
pipeline = Pipeline([
    ("scaler", StandardScaler()),   # fit only on train, applied to both
    ("model", LogisticRegression(max_iter=1000))
])
pipeline.fit(X_train, y_train)      # scaler sees only X_train
y_pred = pipeline.predict(X_test)   # scaler transforms X_test using train stats
```
This makes leakage-free preprocessing the default behavior rather than something you have to manually manage.</t>
  </si>
  <si>
    <t># Data Leakage Review
## Verdict: **No data leakage detected**
This code follows proper machine learning practices and does not exhibit data leakage. Here's why:
### ✅ What the code does correctly:
1. **Train-test split happens first**: The data is split into training and test sets *before* any model fitting occurs.
2. **No preprocessing on full dataset**: There is no scaling, normalization, encoding, or other transformations applied to the entire dataset before splitting. (Such preprocessing would need to be fit on training data only.)
3. **Model training is isolated**: `model.fit(X_train, y_train)` uses only training data.
4. **Prediction uses test data alone**: `model.predict(X_test)` makes predictions on unseen test data without any information from `y_test`.
5. **Feature selection is safe**: All four features (`income`, `credit_score`, `loan_amount`, `employment_years`) are attributes that would be available at prediction time for new loan applicants.
### Potential improvements (not leakage, but best practices):
While not leakage, the code *could* be made more robust:
```python
# If preprocessing were added, it should be done AFTER split:
from sklearn.preprocessing import StandardScaler
scaler = StandardScaler()
X_train_scaled = scaler.fit_transform(X_train)  # Fit on train only
X_test_scaled = scaler.transform(X_test)       # Transform test using train statistics
model.fit(X_train_scaled, y_train)
y_pred = model.predict(X_test_scaled)
```
But the original code has no such preprocessing, so this is not an issue.
**Conclusion**: This is a clean, leak-free pipeline. ✓</t>
  </si>
  <si>
    <t>Upon reviewing the provided Python machine learning pipeline code, I can state that **this code is free of data leakage.**
Here's a breakdown of why it avoids common data leakage pitfalls:
1.  **Early Train-Test Split:** The most crucial step is `X_train, X_test, y_train, y_test = train_test_split(X, y, test_size=0.2, random_state=42)`. This operation correctly partitions the data into distinct training and testing sets *before* any model training or (potential) feature engineering takes place. This ensures that the model never "sees" the test data during its learning phase.
2.  **No Pre-Split Feature Engineering:** The features are selected directly from the raw `df` using column names (`features = [...]`, `X = df[features]`). There are no operations performed on the entire dataset (like calculating means, standard deviations, or performing any target encoding) *before* the `train_test_split`. If, for example, a `StandardScaler` were fitted on the entire `df` before the split, that would be a form of leakage.
3.  **Model Training on Training Data Only:** The line `model.fit(X_train, y_train)` explicitly trains the `LogisticRegression` model using *only* the `X_train` features and `y_train` targets. The test set (`X_test`, `y_test`) is completely isolated from the training process.
4.  **Prediction and Evaluation on Test Data Only:**
    *   `y_pred = model.predict(X_test)`: Predictions are made on the `X_test` data, which is appropriate for evaluating generalization.
    *   `accuracy_score(y_test, y_pred)`: The model's performance is evaluated by comparing the predictions (`y_pred`) against the true labels of the test set (`y_test`). This is the correct way to assess how well the model generalizes to unseen data and does not constitute leakage.
In summary, the sequential and isolated processing of training and testing data at each stage of the pipeline effectively prevents data leakage in this code.</t>
  </si>
  <si>
    <t>10A</t>
  </si>
  <si>
    <t>The given Python code has a few issues and potential areas for improvement in terms of bugs, bad practices, and assumptions:
1. **Missing Values Handling**:
   - The code does not handle missing values. If `df` contains any null values in the features or target column, this could lead to errors or inaccurate model predictions. You should handle missing values appropriately using methods such as imputation or dropping rows/columns.
2. **Categorical Feature Handling**:
   - `discharge_type` is potentially a categorical feature. If it contains categorical data, you should encode it as numeric (e.g., using one-hot encoding or label encoding) before using it in a machine learning model since most models, including `GradientBoostingClassifier`, require numeric input.
3. **Feature Scaling**:
   - While `GradientBoostingClassifier` is less sensitive to feature scaling than some other models, it is still worth considering whether feature scaling (e.g., normalization or standardization) could improve model training, especially if any feature has vastly different scales.
4. **Hardcoded File Path**:
   - The path to the CSV file is hardcoded. This is not necessarily a bad practice, but it makes the code less flexible. Consider allowing for dynamic file path input or making use of a configuration file or command line argument.
5. **Lack of Model Evaluation**:
   - The only evaluation metric used is accuracy. Depending on the dataset and the problem, accuracy might not be the best metric, especially in an imbalanced classification problem. Consider adding additional evaluation metrics like precision, recall, F1-score, or a confusion matrix for a better understanding of the model performance.
6. **Assumption about `y` Column**:
   - The code assumes that the file always contains a `readmitted_within_30_days` column. If this column is missing or the file structure changes, it will raise an error. Implement checks to confirm the structure and existence of expected columns.
7. **Print Statement Compatibility**:
   - The code uses an f-string for output, which requires Python 3.6 or higher. If compatibility with earlier Python versions is a concern, replace f-strings with the `format()` method or other compatible string formatting strategies.
By addressing these issues, you can create a more robust, flexible, and performant code base.</t>
  </si>
  <si>
    <t>The provided Python code performs data loading, preprocessing, model training, and evaluation for a machine learning task using a Gradient Boosting Classifier. Below are some identified issues, bugs, and bad practices, along with explanations:
1. **Missing Error Handling**:
   - The code assumes that the CSV file ("hospital.csv") will always be available and in the correct format. If the file is missing or the data is malformed, it will raise an error and stop execution. It is best practice to include error handling to catch such situations using `try-except`.
   - Example Improvement:
     ```python
     try:
         df = pd.read_csv("hospital.csv")
     except FileNotFoundError:
         print("File not found. Please check the file path.")
         exit()
     ```
2. **Lack of Data Validation**:
   - The code does not validate the contents of the DataFrame. It assumes that all specified features exist and are in the correct format. If any column is missing or has the wrong data type, it will raise an error during model training.
   - Consider checking for missing columns and their data types.
   - Example Improvement:
     ```python
     expected_columns = features + ["readmitted_within_30_days"]
     if not all(col in df.columns for col in expected_columns):
         raise ValueError("One or more expected columns are missing from the DataFrame.")
     ```
3. **Imbalanced Dataset Assumption**:
   - The code does not account for potential class imbalance in the target variable (`y`). If one class is significantly underrepresented, model performance could be biased. Consider using techniques like stratified sampling during train/test splitting or evaluating with additional metrics (e.g., F1-score, precision, recall).
   - Example Improvement:
     ```python
     X_train, X_test, y_train, y_test = train_test_split(X, y, test_size=0.2, random_state=42, stratify=y)
     ```
4. **No Feature Engineering or Data Preprocessing**:
   - The code uses the features directly without any preprocessing like normalization, standardization, handling of categorical variables, or dealing with missing values. This can negatively impact the model performance.
   - Normalizing numerical features or encoding categorical variables is often necessary.
   - Example Improvement:
     ```python
     from sklearn.preprocessing import StandardScaler, OneHotEncoder
     from sklearn.compose import ColumnTransformer
     from sklearn.pipeline import Pipeline
     numeric_features = ["age", "bmi", "blood_pressure", "num_symptoms", "insurance_claim_amount"]
     categorical_features = ["discharge_type"]
     numeric_transformer = Pipeline(steps=[
         ('scaler', StandardScaler())
     ])
     categorical_transformer = Pipeline(steps=[
         ('onehot', OneHotEncoder(handle_unknown='ignore'))
     ])
     preprocessor = ColumnTransformer(
         transformers=[
             ('num', numeric_transformer, numeric_features),
             ('cat', categorical_transformer, categorical_features)
         ])
     X = preprocessor.fit_transform(X)
     ```
5. **Fixed Random State without Explanation**:
   - The random state is set to a fixed number (42). While this is often done for reproducibility, it would be helpful to either comment on this decision or make it a parameter or part of a configuration, especially in production systems.
   - This practice is not inherently bad, but be cautious if it leads to overfitting or biased random selections in some practical scenarios.
6. **Poor Output Formatting**:
   - The accuracy score is printed directly without context. It might be beneficial to provide more descriptive output, including information regarding the model, features used, and other relevant stats.
   - Example Improvement:
     ```python
     print(f"Model: GradientBoostingClassifier with n_estimators=100")
     print(f"Features used: {', '.join(features)}")
     print(f"Accuracy: {accuracy_score(y_test, y_pred):.4f}")
     ```
By addressing these issues, the code can be made more robust, reliable, and maintainable for practical applications.</t>
  </si>
  <si>
    <t>## Code Review: Hospital Readmission Classifier
This code has several significant issues spanning data handling, modeling methodology, and software engineering practices. Here's a thorough breakdown:
---
### 1. No Data Validation or Error Handling
```python
# Current code — will crash silently or with unhelpful errors
df = pd.read_csv("hospital.csv")
X = df[features]
y = df["readmitted_within_30_days"]
```
**Problems:**
- No check that the file loaded successfully or contains expected columns
- Missing columns raise a `KeyError` with no context
- No check for minimum viable number of rows
```python
# Better approach
import sys
try:
    df = pd.read_csv("hospital.csv")
except FileNotFoundError:
    sys.exit("Error: 'hospital.csv' not found.")
required_columns = features + ["readmitted_within_30_days"]
missing = [col for col in required_columns if col not in df.columns]
if missing:
    sys.exit(f"Error: Missing columns: {missing}")
if len(df) &lt; 100:
    raise ValueError(f"Dataset too small: only {len(df)} rows.")
```
---
### 2. No Handling of Missing Values
```python
# Current code passes data directly to the model
model.fit(X_train, y_train)
```
**Problem:** `GradientBoostingClassifier` raises a `ValueError` if any `NaN` values exist. Medical datasets routinely have missing values.
```python
# Check first, then decide on a strategy
print(X.isnull().sum())
print(f"Rows with any missing value: {X.isnull().any(axis=1).sum()}")
# Option A: Simple imputation
from sklearn.impute import SimpleImputer
imputer = SimpleImputer(strategy="median")  # median is robust to outliers
X_train = imputer.fit_transform(X_train)    # fit ONLY on training data
X_test = imputer.transform(X_test)          # transform test data separately
# Option B: Drop rows (only if missingness is minimal and not systematic)
df = df.dropna(subset=required_columns)
```
**Key principle:** Always fit the imputer on training data only to prevent data leakage.
---
### 3. Categorical Feature Not Encoded (`discharge_type`)
```python
features = [
    "age", "bmi", "blood_pressure", "num_symptoms",
    "insurance_claim_amount", "discharge_type"  # likely categorical
]
```
**Problem:** `discharge_type` (e.g., "home", "rehab", "skilled nursing") is almost certainly a string. Passing strings to scikit-learn raises a `ValueError`.
```python
# Better: use a pipeline with explicit encoding
from sklearn.preprocessing import OrdinalEncoder
from sklearn.compose import ColumnTransformer
from sklearn.pipeline import Pipeline
categorical_features = ["discharge_type"]
numeric_features = ["age", "bmi", "blood_pressure", "num_symptoms", "insurance_claim_amount"]
preprocessor = ColumnTransformer(transformers=[
    ("num", SimpleImputer(strategy="median"), numeric_features),
    ("cat", OrdinalEncoder(handle_unknown="use_encoded_value", unknown_value=-1),
     categorical_features),
])
pipeline = Pipeline(steps=[
    ("preprocessor", preprocessor),
    ("classifier", GradientBoostingClassifier(n_estimators=100, random_state=42)),
])
```
---
### 4. Wrong Metric for a Medical / Likely Imbalanced Dataset
```python
print(f"Accuracy: {accuracy_score(y_test, y_pred):.4f}")
```
**Problem:** Hospital readmission datasets are typically heavily imbalanced (e.g., 85% not readmitted, 15% readmitted). A model that predicts "never readmitted" for every patient achieves ~85% accuracy while being clinically useless. Accuracy is also a poor metric when false negatives (missed readmissions) are far more costly than false positives.
```python
from sklearn.metrics import (
    classification_report,
    roc_auc_score,
    confusion_matrix,
    ConfusionMatrixDisplay,
)
import matplotlib.pyplot as plt
# Always check class distribution first
print("Class distribution:\n", y.value_counts(normalize=True))
# Use a fuller suite of metrics
print(classification_report(y_test, y_pred, target_names=["Not Readmitted", "Readmitted"]))
print(f"ROC-AUC: {roc_auc_score(y_test, model.predict_proba(X_test)[:, 1]):.4f}")
# Visualise confusion matrix
ConfusionMatrixDisplay.from_predictions(y_test, y_pred)
plt.title("Confusion Matrix")
plt.show()
```
---
### 5. No Handling of Class Imbalance
**Problem:** Even if you use better metrics, the model itself will still be biased toward the majority class unless addressed explicitly.
```python
# Option A: Tell the model directly (simplest)
GradientBoostingClassifier(n_estimators=100, random_state=42, 
                            # Note: GBC doesn't have class_weight,
                            # but you can use scale_pos_weight via other methods)
# Option B: Use imblearn for oversampling/undersampling
from imblearn.over_sampling import SMOTE
from imblearn.pipeline import Pipeline as ImbPipeline
pipeline = ImbPipeline(steps=[
    ("preprocessor", preprocessor),
    ("smote", SMOTE(random_state=42)),
    ("classifier", GradientBoostingClassifier(n_estimators=100, random_state=42)),
])
# Option C: Use a classifier with class_weight support (e.g., RandomForest)
from sklearn.ensemble import RandomForestClassifier
RandomForestClassifier(class_weight="balanced", random_state=42)
```
---
### 6. Data Leakage Risk from No Pipeline
```python
# Current code: preprocessing is done before the train/test split,
# or inconsistently, making it easy to accidentally leak information.
X_train, X_test, y_train, y_test = train_test_split(X, y, ...)
# Any transformation fitted on X (not X_train) leaks test data statistics
```
**Solution:** Wrap everything in a `Pipeline`. The pipeline prevents leakage by ensuring all fitting happens only on training data, and it keeps the code clean and deployable.
```python
# Correct pipeline usage
pipeline.fit(X_train, y_train)   # fits preprocessor and model on training data only
y_pred = pipeline.predict(X_test)  # applies learned transformations to test data
```
---
### 7. No Cross-Validation (Single Train/Test Split is Unreliable)
```python
X_train, X_test, y_train, y_test = train_test_split(X, y, test_size=0.2, random_state=42)
```
**Problem:** A single split gives a performance estimate with high variance — you may have gotten a lucky or unlucky split. This is especially risky in medical contexts where overconfident results can cause harm.
```python
from sklearn.model_selection import StratifiedKFold, cross_validate
cv = StratifiedKFold(n_splits=5, shuffle=True, random_state=42)
# Stratified ensures class balance is maintained in each fold
results = cross_validate(
    pipeline, X, y, cv=cv,
    scoring=["roc_auc", "f1", "precision", "recall"],
    return_train_score=True,
)
for metric in ["roc_auc", "f1", "precision", "recall"]:
    scores = results[f"test_{metric}"]
    print(f"{metric}: {scores.mean():.4f} ± {scores.std():.4f}")
```
---
### 8. No Feature Scaling for Numerical Features
**Problem:** While `GradientBoostingClassifier` is tree-based and doesn't</t>
  </si>
  <si>
    <t># Code Review: Issues and Problems
## 1. **No Data Validation or Error Handling** (Critical)
```python
df = pd.read_csv("hospital.csv")
```
- **Problem**: No check if file exists or if read succeeds
- **Risk**: Program crashes without informative error message
- **Fix**: 
```python
try:
    df = pd.read_csv("hospital.csv")
except FileNotFoundError:
    print("Error: hospital.csv not found")
    exit(1)
```
## 2. **No Missing Value Handling** (Critical)
- **Problem**: Doesn't check for NaN/missing values in features or target
- **Risk**: `train_test_split` and model fitting may fail or produce incorrect results
- **Fix**:
```python
print(df.isnull().sum())  # Inspect missing values
df = df.dropna()  # or use appropriate imputation
```
## 3. **No Data Type Validation** (High)
- **Problem**: Assumes all features are numeric; doesn't verify
- **Risk**: `discharge_type` might be categorical and cause model errors
- **Fix**:
```python
X = pd.get_dummies(X, columns=['discharge_type'], drop_first=True)
# or ensure proper encoding
```
## 4. **No Feature Scaling** (Medium)
- **Problem**: GradientBoosting is tree-based (scale-invariant), but this is inconsistent with best practices
- **Risk**: If models are switched later, this could cause issues
- **Consideration**: While not strictly necessary for GB, it's good practice for consistency
## 5. **Incomplete Model Evaluation** (High)
```python
print(f"Accuracy: {accuracy_score(y_test, y_pred):.4f}")
```
- **Problem**: Only reports accuracy; no precision, recall, F1, confusion matrix, or ROC-AUC
- **Risk**: Misses class imbalance issues; accuracy can be misleading
- **Fix**:
```python
from sklearn.metrics import classification_report, confusion_matrix
print(classification_report(y_test, y_pred))
print(confusion_matrix(y_test, y_pred))
```
## 6. **No Cross-Validation** (Medium)
- **Problem**: Single train-test split may not be representative
- **Risk**: Results could be coincidental based on data split
- **Fix**:
```python
from sklearn.model_selection import cross_val_score
scores = cross_val_score(model, X_train, y_train, cv=5)
print(f"Cross-validation scores: {scores.mean():.4f} (+/- {scores.std():.4f})")
```
## 7. **No Feature Existence Validation** (High)
```python
X = df[features]
y = df["readmitted_within_30_days"]
```
- **Problem**: Assumes all columns exist; no check
- **Risk**: KeyError if columns missing
- **Fix**:
```python
missing_cols = [col for col in features + ["readmitted_within_30_days"] 
                if col not in df.columns]
if missing_cols:
    raise ValueError(f"Missing columns: {missing_cols}")
```
## 8. **No Hyperparameter Tuning** (Low-Medium)
- **Problem**: Using default parameters without justification
- **Risk**: Model may be suboptimal
- **Suggestion**: Use GridSearchCV or RandomizedSearchCV
## 9. **Hardcoded Magic Numbers** (Low)
```python
test_size=0.2, random_state=42, n_estimators=100
```
- **Problem**: Magic numbers without explanation
- **Better**:
```python
TEST_SIZE = 0.2
RANDOM_STATE = 42
N_ESTIMATORS = 100
```
## 10. **No Data Leakage Check** (Medium)
- **Problem**: Doesn't verify that preprocessing happens after split
- **Risk**: If data is preprocessed before split, causes data leakage
- **Note**: Current code is safe, but important for production code
## Summary Table
| Issue | Severity | Type |
|-------|----------|------|
| No error handling | Critical | Robustness |
| No missing value handling | Critical | Data Quality |
| Data type validation missing | High | Correctness |
| Incomplete evaluation metrics | High | Analysis |
| Feature existence unchecked | High | Robustness |
| No cross-validation | Medium | Validation |
| No hyperparameter tuning | Medium | Optimization |
| Magic numbers | Low | Code Quality |</t>
  </si>
  <si>
    <t>This Python code provides a basic machine learning workflow, but it has several issues, bugs, and bad practices that make it fragile, unreliable, and potentially misleading.
Here's a breakdown of the problems:
---
### **1. Data Handling &amp; Preprocessing Issues**
1.  **No Data Exploration or Validation:**
    *   **Problem:** The code immediately loads the CSV and proceeds to feature selection without any initial inspection. We don't know the data types, missing values, distributions, or unique values in categorical columns.
    *   **Impact:** This is a critical oversight. Without exploring the data, you risk making incorrect assumptions, feeding inappropriate data types to the model, and missing crucial preprocessing steps.
    *   **Solution:** Always start with `df.head()`, `df.info()`, `df.describe()`, `df.isnull().sum()`, `df.dtypes`, and `df['column_name'].value_counts()` for key columns.
2.  **No Handling of Categorical Features (Likely Bug):**
    *   **Problem:** The `features` list includes `"discharge_type"`. It's highly probable that `discharge_type` is a categorical variable (e.g., 'Home', 'Rehab', 'Expired'). Gradient Boosting Classifiers (and most ML models in scikit-learn) expect numerical input. If `discharge_type` is stored as strings, `GradientBoostingClassifier` will likely raise an error. If it's stored as numbers (e.g., 0, 1, 2), the model will incorrectly treat these numbers as having ordinal relationships and magnitudes, which is usually not intended for nominal categories.
    *   **Impact:** If categorical columns are not properly encoded (e.g., one-hot encoding), the model will either crash or learn incorrect relationships, leading to very poor performance.
    *   **Solution:** Identify categorical features and apply appropriate encoding. For nominal categories, `pd.get_dummies()` or `sklearn.preprocessing.OneHotEncoder` is usually preferred. This step should happen *before* the train-test split if done manually, or within a `Pipeline` to prevent data leakage.
3.  **No Missing Value Handling:**
    *   **Problem:** There's no check or strategy for handling missing values in the dataset.
    *   **Impact:** If any of the selected features (or the target) contain `NaN` values, `GradientBoostingClassifier` will raise an error during the `fit` step.
    *   **Solution:** Check `df.isnull().sum()`. Decide on an imputation strategy (mean, median, mode, or more advanced methods) or drop rows/columns with missing values. This should also be done carefully, ideally within a pipeline to avoid data leakage.
4.  **No Feature Scaling (Minor for GBC, but good practice):**
    *   **Problem:** Features like "age", "bmi", "blood_pressure", "num_symptoms", and "insurance_claim_amount" likely have very different scales and ranges.
    *   **Impact:** While tree-based models like GradientBoostingClassifier are generally less sensitive to feature scaling compared to linear models or SVMs, it can still sometimes impact convergence, hyperparameter sensitivity, or the interpretability of feature importance if not scaled. More importantly, extreme outliers in unscaled features can still sometimes cause issues.
    *   **Solution:** Consider scaling numerical features using `StandardScaler` or `MinMaxScaler`, especially if you might experiment with other model types later.
5.  **Hardcoded Filename:**
    *   **Problem:** `pd.read_csv("hospital.csv")` hardcodes the input file path.
    *   **Impact:** This makes the script inflexible. If the file is moved or renamed, the script breaks. It also prevents easy reuse with different datasets.
    *   **Solution:** Pass the filename as a command-line argument, read it from a configuration file, or define it as a constant at the top of the script.
6.  **No Error Handling for File Loading:**
    *   **Problem:** If `hospital.csv` doesn't exist, `pd.read_csv` will raise a `FileNotFoundError`, crashing the script.
    *   **Impact:** Lack of robustness.
    *   **Solution:** Wrap the `pd.read_csv` call in a `try-except` block to gracefully handle `FileNotFoundError` or other potential `IOError` exceptions.
---
### **2. Train-Test Split Issues**
7.  **No Stratification for Classification:**
    *   **Problem:** `train_test_split` is called without the `stratify` parameter for the target variable `y`.
    *   **Impact:** If the target variable `readmitted_within_30_days` is imbalanced (e.g., far fewer positive cases than negative cases), a random split without stratification might result in train and test sets having very different proportions of the target classes. This can lead to biased model training or an unreliable evaluation on the test set.
    *   **Solution:** For classification tasks, always use `stratify=y` in `train_test_split`:
        ```python
        X_train, X_test, y_train, y_test = train_test_split(
            X, y, test_size=0.2, random_state=42, stratify=y
        )
        ```
---
### **3. Model Training &amp; Evaluation Issues**
8.  **No Hyperparameter Tuning:**
    *   **Problem:** The `GradientBoostingClassifier` is initialized with default parameters (except `n_estimators=100` and `random_state=42`). `n_estimators=100` is an arbitrary choice.
    *   **Impact:** The chosen hyperparameters might be suboptimal for this specific dataset, leading to underfitting or overfitting and thus lower model performance than achievable.
    *   **Solution:** Implement hyperparameter tuning using techniques like `GridSearchCV` or `RandomizedSearchCV` along with cross-validation on the training data to find the best set of hyperparameters.
9.  **Sole Reliance on Accuracy for Evaluation:**
    *   **Problem:** The model is evaluated solely based on `accuracy_score`.
    *   **Impact:** If the target variable `readmitted_within_30_days` is imbalanced (e.g., 90% not readmitted, 10% readmitted), a model that simply predicts "not readmitted" for everyone could achieve 90% accuracy, which looks good but is utterly useless for predicting actual readmissions. Accuracy is often a misleading metric for imbalanced classification problems.
    *   **Solution:** For classification, especially with imbalanced data, always use a more comprehensive set of metrics:
        *   **Confusion Matrix:** To understand true positives, true negatives, false positives, false negatives.
        *   **Precision, Recall, F1-score:** To evaluate performance for each class.
        *   **ROC AUC Score:** To assess the model's ability to discriminate between classes across different thresholds.
        *   **Classification Report:** `from sklearn.metrics import classification_report` provides precision, recall, f1-score for each class.
10. **No Cross-Validation for Model Robustness:**
    *   **Problem:** The model is trained and evaluated on a single train-test split.
    *   **Impact:** The performance reported by this single split might be optimistic or pessimistic depending on the specific random split. It doesn't give a robust estimate of how the model would generalize to unseen data.
    *   **Solution:** While you have a test set, using K-Fold Cross-Validation on the *training data* during development (e.g., with `cross_val_score` or as part of `GridSearchCV`) helps assess the model's stability and average performance across different subsets of the training data. The final test set evaluation remains crucial for an unbiased assessment of the chosen model.
---
### **4. General Code Quality &amp; Best Practices**
11. **Lack of Modularity/Functions:**
    *   **Problem:** The entire script is written as a single block of top-level code.
    *   **Impact:** This makes the code harder to read, maintain, reuse, and test. If you wanted to run this with different parameters or datasets, you'd have to modify the script directly.
    *   **Solution:** Organize the code into logical functions (e.g., `load_data`, `preprocess_data`, `train_model`, `evaluate_model`) and potentially a `main` function to orchestrate the workflow.
12. **Hardcoded Features List:**
    *   **Problem:** The `features` list is hardcoded in the script.
    *   **Impact:** Changes to available features or desired features require modifying the code directly.
    *   **Solution:** While common in small scripts, for larger projects, this could be part of a configuration file, or dynamically determined based on data analysis.
13. **No Comments:**
    *   **Problem:** The code lacks comments explaining the purpose of different sections, assumptions made, or non-obvious steps.
    *   **Impact:** Reduces readability and makes it harder for others (or your future self) to understand and maintain the code.
    *   **Solution:** Add comments to explain logical blocks, complex decisions, and any assumptions.
---
### **Summary of Recommended Changes:**
```python
import pandas as pd
from sklearn.model_selection import train_test_split, cross_val_score, GridSearchCV
from sklearn.ensemble import GradientBoostingClassifier
from sklearn.metrics import accuracy_score, classification_report, roc_auc_score, confusion_matrix
from sklearn.preprocessing import OneHotEncoder, StandardScaler
from sklearn.compose import ColumnTransformer
from sklearn.pipeline import Pipeline
import logging
# Configure logging for better error reporting instead of just crashing
logging.basicConfig(level=logging.INFO, format='%(asctime)s - %(levelname)s - %(message)s')
def load_data(filepath):
    """Loads data from a CSV file with error handling."""
    try:
        df = pd.read_csv(filepath)
        logging.info(f"Successfully loaded data from {filepath}")
        return df
    except FileNotFoundError:
        logging.error(f"Error: The file '{filepath}' was not found.")
        exit(1) # Exit if the file isn't found
    except Exception as e:
        logging.error(f"An error occurred while loading the file: {e}")
        exit(1)
def preprocess_data(df, numerical_features, categorical_features, target_column):
    """
    Performs data preprocessing including feature selection, missing value
    handling, and encoding categorical features.
    """
    # Check for target column existence
    if target_column not in df.columns:
        logging.error(f"Target column '{target_column}' not found in the dataset.")
        exit(1)
    # Separate target
    y = df[target_column]
    # Handle missing values (simple example: drop rows with missing target or features)
    # A more sophisticated approach would be imputation
    initial_rows = df.shape[0]
    df.dropna(subset=[target_column] + numerical_features + categorical_features, inplace=True)
    if df.shape[0] &lt; initial_rows:
        logging.warning(f"Dropped {initial_rows - df.shape[0]} rows due to missing values.")
    # Define preprocessor for numerical and categorical features
    # Ensure numerical_features and categorical_features only contain columns present in df
    available_numerical_features = [f for f in numerical_features if f in df.columns]
    available_categorical_features = [f for f in categorical_features if f in df.columns]
    if not available_numerical_features and not available_categorical_features:
        logging.error("No valid features found in the dataset after filtering.")
        exit(1)
    preprocessor = ColumnTransformer(
        transformers=[
            ('num', StandardScaler(), available_numerical_features), # Scale numerical features
            ('cat', OneHotEncoder(handle_unknown='ignore'), available_categorical_features) # One-hot encode categorical features
        ],
        remainder='drop' # Drop any columns not specified in transformers
    )
    X = df[available_numerical_features + available_categorical_features]
    logging.info(f"Features selected: Numerical={available_numerical_features}, Categorical={available_categorical_features}")
    return X, y, preprocessor # Return preprocessor for use in pipeline
def train_and_evaluate_model(X, y, preprocessor, model_params, cv_folds=5):
    """
    Trains a GradientBoostingClassifier with hyperparameter tuning and evaluates it.
    """
    # Create a pipeline that first preprocesses, then trains the model
    model_pipeline = Pipeline(steps=[
        ('preprocessor', preprocessor),
        ('classifier', GradientBoostingClassifier(random_state=42))
    ])
    # Define a parameter grid for hyperparameter tuning
    param_grid = {
        'classifier__n_estimators': model_params.get('n_estimators', [50, 100, 200]),
        'classifier__learning_rate': model_params.get('learning_rate', [0.01, 0.1, 0.2]),
        'classifier__max_depth': model_params.get('max_depth', [3, 5, 7])
    }
    # Perform GridSearchCV with cross-validation on the training data
    logging.info("Starting GridSearchCV for hyperparameter tuning...")
    grid_search = GridSearchCV(model_pipeline, param_grid, cv=cv_folds, scoring='roc_auc', n_jobs=-1, verbose=1)
    grid_search.fit(X, y)
    logging.info(f"Best hyperparameters found: {grid_search.best_params_}")
    logging.info(f"Best cross-validation ROC AUC score: {grid_search.best_score_:.4f}")
    best_model = grid_search.best_estimator_
    return best_model
def evaluate_model_on_test_set(model, X_test, y_test):
    """Evaluates the final model on the test set."""
    y_pred = model.predict(X_test)
    y_prob = model.predict_proba(X_test)[:, 1] # Probability of positive class
    logging.info("\n--- Model Evaluation on Test Set ---")
    logging.info(f"Accuracy: {accuracy_score(y_test, y_pred):.4f}")
    logging.info(f"ROC AUC Score: {roc_auc_score(y_test, y_prob):.4f}")
    logging.info("\nClassification Report:\n" + classification_report(y_test, y_pred))
    logging.info("\nConfusion Matrix:\n" + str(confusion_matrix(y_test, y_pred)))
if __name__ == "__main__":
    FILE_PATH = "hospital.csv"
    TARGET_COLUMN = "readmitted_within_30_days"
    NUMERICAL_FEATURES = ["age", "bmi", "blood_pressure", "num_symptoms", "insurance_claim_amount"]
    CATEGORICAL_FEATURES = ["discharge_type"] # Assuming this is categorical
    TEST_SIZE = 0.2
    RANDOM_STATE = 42
    # Model hyperparameters for tuning
    MODEL_HYPERPARAMS = {
        'n_estimators': [50, 100, 150],
        'learning_rate': [0.05, 0.1, 0.15],
        'max_depth': [3, 4]
    }
    # 1. Load Data
    df = load_data(FILE_PATH)
    # 2. Preprocess Data and Split
    X, y, preprocessor = preprocess_data(df, NUMERICAL_FEATURES, CATEGORICAL_FEATURES, TARGET_COLUMN)
    # Split data into training and testing sets, ensuring stratification
    X_train, X_test, y_train, y_test = train_test_split(
        X, y, test_size=TEST_SIZE, random_state=RANDOM_STATE, stratify=y
    )
    logging.info(f"Data split into training ({len(X_train)} samples) and testing ({len(X_test)} samples).")
    logging.info(f"Training target distribution:\n{y_train.value_counts(normalize=True)}")
    logging.info(f"Test target distribution:\n{y_test.value_counts(normalize=True)}")
    # 3. Train and Tune Model
    best_model = train_and_evaluate_model(X_train, y_train, preprocessor, MODEL_HYPERPARAMS)
    # 4. Evaluate Model on unseen Test Data
    evaluate_model_on_test_set(best_model, X_test, y_test)
```</t>
  </si>
  <si>
    <t>The code provided is a machine learning pipeline that uses a Gradient Boosting Classifier to predict whether a patient will be readmitted within 30 days based on certain features. To determine if there is any data leakage, we need to examine the features and the process of handling the data during training and testing.
### Features and Data Leakage
1. **Feature List**:
   - `age`, `bmi`, `blood_pressure`, `num_symptoms`: These are typically static or pre-existing data points not likely to cause leakage as they would be known before predicting future readmissions.
   - `insurance_claim_amount`: This could be a concern if the claim is processed or determined after hospitalization outcomes are known. If the claim amount reflects or is somehow adjusted based on readmission, it could lead to leakage.
   - `discharge_type`: This feature could potentially be problematic if it includes information about the outcome or future events that occur after the target event (being readmitted). For example, if `discharge_type` indicates that a patient was preemptively flagged for likely readmission, it might reveal the outcome indirectly.
2. **Data Splitting and Preprocessing**:
   - The script performs a proper train-test split before fitting the model, which helps in preventing leakage related to model training.
   - There is no indication of performing data transformations (e.g., scaling, imputing missing values) separately, but if these were necessary, they should be ideally done within the training data and then applied to the test data to avoid leakage.
### Conclusion:
- The main areas where potential data leakage could stem from would be the use of `insurance_claim_amount` and `discharge_type` features if they have any information or correlation to the outcome (readmission) that isn't available at the initial prediction time.
- If the `insurance_claim_amount` and `discharge_type` are determined post-treatment based on the outcomes related to readmission, they should be excluded or replaced with features that don't include post-event information.
Based on the current code and explanations, there isn't clear evidence of data leakage directly from the given handling of the data. However, the types and definitions of the `insurance_claim_amount` and `discharge_type` features need to be re-evaluated to ensure they don't introduce leakage. If those features are fully independent of post-readmission outcomes at initial treatment/discharge, the code would be free of data leakage. Otherwise, it would require adjustments to prevent leakage.</t>
  </si>
  <si>
    <t>The provided Python machine learning pipeline code does not contain any explicit form of data leakage. The pipeline properly separates the dataset into training and testing sets using `train_test_split`, which is crucial for preventing leakage. Both features (`X`) and the target (`y`) are created from the original DataFrame `df`, and the split happens before fitting the model to the training data.
However, here are a couple of points worth noting to ensure that no latent forms of leakage exist:
1. **Feature Selection**: It’s important to confirm that the features provided in the `features` list do not contain information that would inherently correlate with the target variable but wouldn’t be available at the time of prediction. For instance, if `insurance_claim_amount` (a feature) was dependent on the target variable in a way that would be unknown at prediction time (e.g., if it reflected a specific claim related to readmission), it could lead to data leakage.
2. **Temporal Aspects**: If the dataset contains temporal elements (like time-based measurements or categorical features that reflect a future state), it’s important to ensure that the features do not use any data points that follow the target variable in a time series which could inadvertently provide information to the model.
3. **Data Preprocessing**: No preprocessing or transformations (like scaling, encoding, etc.) are shown in the provided code. If any such transformations depend on the whole dataset (e.g., mean normalization or one-hot encoding without separating training and testing first), these could introduce leakage. It's best practice to fit any scalers or transformers only using the training data before applying them to the test set.
In conclusion, based on the provided code structure, there are no visible forms of data leakage. To fully confirm the absence of leakage, one would need to scrutinize the nature of the features being used, along with any preprocessing steps that might introduce risk if incorrectly applied.</t>
  </si>
  <si>
    <t>## Data Leakage Analysis
### Summary
This code contains **two instances of data leakage**, one of which is severe. The model training mechanics (train/test split, fit, predict) are correctly implemented, but two features encode information that would not be legitimately available at prediction time.
---
### Leakage #1: `discharge_type` (Severe — Target Leakage)
```python
features = [
    "age", "bmi", "blood_pressure", "num_symptoms",
    "insurance_claim_amount", "discharge_type"  # ← leakage
]
```
**Why this is a problem:**
`discharge_type` records *how a patient left the hospital* (e.g., "discharged to home", "transferred to rehab", "left against medical advice"). This information is only finalized at the **end of the hospitalization**, and it is a direct consequence of the clinical outcome — the very thing the model is trying to predict.
The target variable `readmitted_within_30_days` is a downstream outcome of the same hospitalization event that produces `discharge_type`. A patient discharged to a skilled nursing facility, for example, is inherently at different readmission risk *by definition*, making this feature a proxy for the target rather than an independent predictor.
In production, if your goal is to predict readmission risk **at admission** (to intervene early), `discharge_type` is completely unavailable. Even if prediction is made at discharge, this feature collapses the distinction between a legitimate predictor and a label.
---
### Leakage #2: `insurance_claim_amount` (Temporal Leakage)
```python
features = [
    ...
    "insurance_claim_amount",  # ← leakage
    ...
]
```
**Why this is a problem:**
The final insurance claim amount is typically not determined until **after discharge** and, often, after the billing/claims processing cycle completes. It reflects the total cost of the entire hospitalization, which itself depends on complications, length of stay, and procedures performed — all outcomes of the hospitalization.
```
Admission → [Treatment, Complications, Procedures] → Discharge → Claims Processing → Final Claim Amount
                                                          ↑
                                         readmitted_within_30_days is measured here
```
This means `insurance_claim_amount` encodes information about the complexity and severity of the entire hospital stay. It is not available at the time a readmission prediction would be actionable.
---
### Why the Leakage Isn't Caught by Accuracy Alone
The train/test split is done correctly *mechanically*, but this only prevents **test set contamination** during training. It does **not** protect against features that are inherently contaminated by the target in the real world. The model will appear to perform well:
```
High accuracy ← model learned discharge_type and claim_amount as proxies for readmission
                 ↑
                 This accuracy will not replicate in production
```
---
### Corrected Feature Set
```python
# Only features known at admission or during early clinical assessment
features = [
    "age",
    "bmi",
    "blood_pressure",
    "num_symptoms",
    # Removed: "insurance_claim_amount" — not available at prediction time
    # Removed: "discharge_type"         — outcome of the hospitalization itself
]
X = df[features]
y = df["readmitted_within_30_days"]
X_train, X_test, y_train, y_test = train_test_split(
    X, y, test_size=0.2, random_state=42
)
model = GradientBoostingClassifier(n_estimators=100, random_state=42)
model.fit(X_train, y_train)
y_pred = model.predict(X_test)
print(f"Accuracy: {accuracy_score(y_test, y_pred):.4f}")
```
---
### Key Principle
&gt; A feature is leaky if its value in the training data **encodes information about the outcome that would not be available when the model needs to make a real prediction**.
Correct train/test splitting prevents one form of leakage (test data influencing training), but it cannot compensate for features that are themselves contaminated by the target in the real world. Always audit features against your deployment timeline: *what is actually known at the moment of prediction?*</t>
  </si>
  <si>
    <t># Data Leakage Review
## ⚠️ CRITICAL DATA LEAKAGE DETECTED
This code contains **temporal data leakage** in the feature selection:
### The Problem
**`insurance_claim_amount`** is a leaking feature.
### Why This Is Leakage
1. **Temporal ordering violation**: Insurance claim amounts are typically filed/processed *after* a patient is readmitted or during their hospital stay. This information would not be available at prediction time for a new patient.
2. **Causal direction**: Readmission status likely *causes* insurance claims to be filed, not the reverse. Using the claim amount to predict readmission creates a backwards causal relationship.
3. **Test performance inflation**: The model appears more accurate than it actually is because it's using future information that wouldn't exist when making real predictions on new patients.
### Impact
- **Training phase**: Model learns that high claim amounts correlate with readmission (because they're consequences of readmission)
- **Real-world deployment**: For a new patient arriving at the hospital, you won't have their insurance claim amount yet—making predictions impossible or forcing you to use placeholder values
- **Evaluation bias**: The reported accuracy of ~0.89 (or whatever the actual result is) is artificially inflated
### How to Fix It
Remove `insurance_claim_amount` from the features:
```python
features = [
    "age", "bmi", "blood_pressure", "num_symptoms",
    "discharge_type"  # Only use information available at admission
]
```
Keep only features that are known **before** or **at the time of admission**, before any readmission event or resulting insurance claim could occur.
### Other Features Assessment
The remaining features (`age`, `bmi`, `blood_pressure`, `num_symptoms`, `discharge_type`) appear appropriate for predicting readmission risk, assuming they're all measured at admission time.</t>
  </si>
  <si>
    <t>The provided Python machine learning pipeline code appears to be **free of data leakage**.
Here's why:
1.  **Correct Train-Test Split:**
    The most crucial step in preventing data leakage from the test set into the training process is to perform the `train_test_split` *before* any data preprocessing, feature engineering, or model training. This code correctly implements this by splitting `X` and `y` into `X_train`, `X_test`, `y_train`, and `y_test` right after loading the data and defining features/target.
2.  **No Preprocessing on Full Dataset:**
    There are no explicit preprocessing steps (like scaling, imputation, or one-hot encoding) applied to the entire `df` or `X` dataset *before* the `train_test_split`. If, for example, a `StandardScaler` were `fit` on `X` (the entire dataset) before the split, the scaling parameters (mean and standard deviation) would inadvertently learn from the test set, leaking information into the training process. Since no such steps are present, this type of leakage is avoided.
3.  **Feature Selection:**
    The selected features are: `age`, `bmi`, `blood_pressure`, `num_symptoms`, `insurance_claim_amount`, `discharge_type`.
    The target variable is `readmitted_within_30_days`.
    These features appear to be standard patient characteristics or details about their initial hospital stay/discharge. They are typically known *before* the 30-day readmission window has elapsed and before the readmission status is determined.
    *   `age`, `bmi`, `blood_pressure`, `num_symptoms`: These are patient vitals/characteristics from the initial admission.
    *   `insurance_claim_amount`: This relates to the financial aspect of the initial hospitalization and would generally be processed independently of a subsequent readmission decision.
    *   `discharge_type`: This describes how the patient left the hospital (e.g., home, skilled nursing facility, another hospital). This is determined at the time of initial discharge, well before the 30-day readmission outcome is known.
    There is no indication that any of these features encode information about the target (`readmitted_within_30_days`) that would only become available *after* the readmission status is known (which would be "target leakage").
4.  **Model Training:**
    The `model.fit(X_train, y_train)` line correctly ensures that the `GradientBoostingClassifier` learns its parameters exclusively from the training data, without any exposure to the test set.
In summary, the pipeline correctly separates the data into training and testing sets *before* any learning or evaluation occurs, and the chosen features seem appropriate for prediction without encoding future knowledge of the target.</t>
  </si>
  <si>
    <t>10B</t>
  </si>
  <si>
    <t>The provided Python code snippet generally follows good practices for a machine learning workflow using Scikit-learn and Pandas. However, there are some areas that could be further improved or potential issues addressed:
1. **Data Preprocessing:**
   - **Missing Data:** The code does not handle missing data. If there are any missing values in the dataset, this will likely cause errors during model training or prediction. It is advised to check and handle missing values appropriately (e.g., using imputation).
   - **Feature Scaling:** Some machine learning algorithms, including Gradient Boosting, are not necessarily sensitive to feature scaling, but it is often a good practice to standardize or normalize features, especially if they are on significantly different scales.
   - **Categorical Variables:** If there are any categorical variables in the features list, they should be encoded explicitly (e.g., using `pd.get_dummies` or `sklearn.preprocessing.OneHotEncoder`).
2. **Error Handling:**
   - There is no error handling for the CSV file reading. If the file is not found or there are issues reading it, the code will raise an error and stop execution. Adding error handling or assertions could make the script more robust.
3. **Improvement in Metrics:**
   - The accuracy metric is used for evaluating model performance, which might not be the best choice if the dataset is imbalanced. Consider complementary evaluation metrics such as precision, recall, F1-score, or ROC-AUC for a more comprehensive evaluation of the model, especially in imbalanced classification problems.
4. **Hardcoded Filenames and Columns:**
   - The filename `"hospital.csv"` and the column names `"age"`, `"bmi"`, `"blood_pressure"`, `"num_symptoms"`, and `"readmitted_within_30_days"` are hardcoded, making the script less flexible and reusable. Consider parameterizing these values or documenting the expected input more clearly.
5. **Unused Imports:**
   - All imports are used appropriately in the code. Therefore, there are no issues related to unused imports.
While the code snippet is quite straightforward and serves its purpose well, addressing the above points can improve its robustness, flexibility, and adaptability, especially in a production or more complex development environment.</t>
  </si>
  <si>
    <t>The provided Python code appears functional on the surface but contains several potential issues, bugs, and areas for improvement. I'll detail each identified problem along with appropriate explanations:
1. **File Not Found Exception**:
   - If the file `hospital.csv` does not exist in the directory from which the script is run, a `FileNotFoundError` will occur. It is good practice to verify whether the file exists or to handle this potential exception gracefully using a `try-except` block.
   ```python
   try:
       df = pd.read_csv("hospital.csv")
   except FileNotFoundError:
       print("The specified file was not found.")
       exit(1)
   ```
2. **Data Validation**:
   - There’s no inspection or validation of the DataFrame after loading it. It is crucial to check if the DataFrame is empty, contains NaN values, or ensures that the specified features and target variable are present in the DataFrame.
   ```python
   if df.empty:
       print("The loaded DataFrame is empty.")
       exit(1)
   if any(feature not in df.columns for feature in features) or "readmitted_within_30_days" not in df.columns:
       print("One or more specified features or target variable are not in the DataFrame.")
       exit(1)
   ```
3. **Handling Categorical Variables**:
   - If any of the features are categorical, they should be encoded (e.g., one-hot encoding) before being passed to the model. The model will not handle categorical predictors correctly otherwise. This is not explicitly indicated in the code, loving attention to data types and preprocessing steps.
4. **Model Evaluation**:
   - Only `accuracy_score` is being used for evaluating the model. Depending on the context of the problem (especially in cases of class imbalance), this may not be sufficient. Additional metrics such as F1-score, precision, recall, or a confusion matrix should be considered for a comprehensive evaluation of model performance.
   ```python
   from sklearn.metrics import classification_report, confusion_matrix
   print(confusion_matrix(y_test, y_pred))
   print(classification_report(y_test, y_pred))
   ```
5. **Hyperparameter Tuning**:
   - The code uses default parameters for the `GradientBoostingClassifier`. This might not yield the best model performance. Consider using techniques like grid search or random search to optimize hyperparameters based on validation sets.
6. **Hard-Coded Test Size**:
   - The `test_size` is hard-coded to 0.2. While this is common practice, it may not suit all datasets. It's worth inspecting the dataset and deciding a test-train split based on the size or particular requirements of your analysis.
7. **Random State Usage**:
   - While setting `random_state` for reproducibility is good practice, it should follow a thorough understanding of potential randomness in your dataset. If randomness is necessary for bootstrapping, consider the implications on model generalization.
8. **No Data Normalization**:
   - Depending on the dataset, feature scaling (normalization or standardization) may be required, especially for tree-based models like Gradient Boosting that could benefit from features being on a similar scale. It's important to assess the need for preprocessing based on feature distributions.
9. **Unused Imports**:
   - If any additional libraries were imported but not used, such as `train_test_split`, it is best to keep the imports clean. However, in this snippet, all imported modules are utilized.
10. **Commenting and Documentation**:
    - The code could benefit from comments and documentation to clarify what each part does and its intended purpose. This is especially useful in collaborative work or for future reference.
11. **Versioning Control**:
    - If this code were to run in production, it might be useful to specify the versions of the libraries used to ensure compatibility and avoid breaking changes.
In summary, while the code functions correctly within certain assumptions, incorporating good practices around file handling, data validation, feature preprocessing, evaluation metrics, and documentation will greatly improve code robustness and maintainability.</t>
  </si>
  <si>
    <t>## Code Review: Hospital Readmission Classifier
This code has several significant issues spanning data handling, model evaluation, and software engineering practices. Here's a thorough breakdown:
---
### 1. No Data Validation or Error Handling
```python
# Current code - fails silently or crashes unexpectedly
df = pd.read_csv("hospital.csv")
X = df[features]
y = df["readmitted_within_30_days"]
```
**Problems:**
- No check that the file exists or loaded correctly
- No verification that expected columns are present
- Missing values in medical data are extremely common and will cause `GradientBoostingClassifier` to raise an error or silently produce poor results
```python
# Better approach
import os
if not os.path.exists("hospital.csv"):
    raise FileNotFoundError("hospital.csv not found")
df = pd.read_csv("hospital.csv")
required_columns = features + ["readmitted_within_30_days"]
missing_cols = [col for col in required_columns if col not in df.columns]
if missing_cols:
    raise ValueError(f"Missing columns: {missing_cols}")
print(f"Missing values per column:\n{df[required_columns].isnull().sum()}")
if df[required_columns].isnull().any().any():
    raise ValueError("Dataset contains missing values — handle them before training")
```
---
### 2. No Missing Value Handling
```python
# Current code - no imputation whatsoever
model.fit(X_train, y_train)
```
**Problem:** sklearn's `GradientBoostingClassifier` does **not** handle NaN values natively (unlike XGBoost/LightGBM). This will either raise a `ValueError` or, if NaNs somehow pass through, corrupt the model silently.
```python
from sklearn.pipeline import Pipeline
from sklearn.impute import SimpleImputer
# Better: use a pipeline with explicit imputation
pipeline = Pipeline([
    ("imputer", SimpleImputer(strategy="median")),  # median is robust to outliers
    ("classifier", GradientBoostingClassifier(n_estimators=100, random_state=42))
])
pipeline.fit(X_train, y_train)
y_pred = pipeline.predict(X_test)
```
---
### 3. Accuracy Is a Misleading Metric for Medical Data
```python
# Current code - single metric, likely inappropriate
print(f"Accuracy: {accuracy_score(y_test, y_pred):.4f}")
```
**Problem:** Hospital readmission datasets are almost always **class-imbalanced** (e.g., 85% not readmitted, 15% readmitted). A model that predicts "never readmitted" achieves 85% accuracy while being clinically useless. Missing true positives (readmitted patients) has serious real-world consequences.
```python
from sklearn.metrics import (
    classification_report,
    roc_auc_score,
    confusion_matrix,
    ConfusionMatrixDisplay
)
import matplotlib.pyplot as plt
print(classification_report(y_test, y_pred, target_names=["Not Readmitted", "Readmitted"]))
print(f"ROC-AUC: {roc_auc_score(y_test, pipeline.predict_proba(X_test)[:, 1]):.4f}")
cm = confusion_matrix(y_test, y_pred)
disp = ConfusionMatrixDisplay(confusion_matrix=cm,
                               display_labels=["Not Readmitted", "Readmitted"])
disp.plot()
plt.title("Confusion Matrix")
plt.show()
```
---
### 4. Class Imbalance Not Addressed
**Problem:** Beyond misleading metrics, the model itself is biased toward the majority class during training.
```python
# Option 1: Weight classes in the model
model = GradientBoostingClassifier(
    n_estimators=100,
    random_state=42
    # Note: GradientBoostingClassifier doesn't have class_weight,
    # consider switching to a model that does
)
# Option 2: Use a classifier that supports class_weight
from sklearn.ensemble import RandomForestClassifier
model = RandomForestClassifier(class_weight="balanced", random_state=42)
# Option 3: Use stratified splitting (minimum requirement)
X_train, X_test, y_train, y_test = train_test_split(
    X, y,
    test_size=0.2,
    random_state=42,
    stratify=y  # &lt;-- ensures class proportions are preserved
)
```
---
### 5. No Cross-Validation — Single Split Is Unreliable
```python
# Current code - one split, one score
X_train, X_test, y_train, y_test = train_test_split(...)
model.fit(X_train, y_train)
```
**Problem:** A single train/test split gives a high-variance estimate of model performance. The result depends heavily on which samples ended up in the test set.
```python
from sklearn.model_selection import StratifiedKFold, cross_val_score
cv = StratifiedKFold(n_splits=5, shuffle=True, random_state=42)
scores = cross_val_score(pipeline, X, y, cv=cv, scoring="roc_auc")
print(f"CV ROC-AUC: {scores.mean():.4f} ± {scores.std():.4f}")
```
---
### 6. No Feature Scaling
**Problem:** While gradient boosting is tree-based and doesn't require scaling, the `features` list could later include non-tree-based models, and the current code gives no indication this was considered. More critically, the `SimpleImputer` should still be part of a pipeline to prevent data leakage.
```python
# If you ever add logistic regression or SVM to compare:
from sklearn.preprocessing import StandardScaler
pipeline = Pipeline([
    ("imputer", SimpleImputer(strategy="median")),
    ("scaler", StandardScaler()),  # harmless for trees, required for linear models
    ("classifier", GradientBoostingClassifier(n_estimators=100, random_state=42))
])
```
---
### 7. Data Leakage Risk (No Pipeline)
```python
# Dangerous pattern (not in this code yet, but the structure invites it)
imputer.fit(X)           # fitted on ALL data including test set
X_transformed = imputer.transform(X)
X_train, X_test, ... = train_test_split(X_transformed, ...)
```
**Problem:** Any preprocessing fitted before the train/test split leaks test set information into training. The pipeline approach in points 2 and 6 is the correct prevention.
---
### 8. No Model Persistence
```python
# Current code - model is lost after script ends
model.fit(X_train, y_train)
```
**Problem:** In a medical context especially, reproducibility and auditability are critical. The trained model should be saved.
```python
import joblib
joblib.dump(pipeline, "readmission_model.joblib")
# To reload:
# pipeline = joblib.load("readmission_model.joblib")
```
---
### 9. No Logging or Reproducibility Metadata
```python
# Current code - no record of what was run
print(f"Accuracy: {accuracy_score(y_test, y_pred):.4f}")
```
**Problem:** There's no record of library versions, dataset shape, or training date — all important for debugging and compliance in healthcare.
```python
import logging
import sklearn
from datetime import datetime
logging.basicConfig(level=logging.INFO,
                    format="%(asctime)s - %(levelname)s - %(message)s")
logger = logging.getLogger(__name__)
logger.info(f"Training date: {datetime.now().isoformat()}")
logger.info(f"sklearn version: {sklearn.__version__}")
logger.info(f"Dataset shape: {df.shape}")
logger.info(f"Class distribution:\n{y.value_counts(normalize=True)}")
```
---
### 10</t>
  </si>
  <si>
    <t># Code Review: Issues and Problems Found
## 1. **No Data Validation or Error Handling** ⚠️
**Severity: High**
```python
df = pd.read_csv("hospital.csv")
```
- No check if file exists
- No handling of missing values in the dataset
- No validation that required columns exist
- No check for data type mismatches
**Fix:**
```python
try:
    df = pd.read_csv("hospital.csv")
    if df.empty:
        raise ValueError("CSV file is empty")
except FileNotFoundError:
    print("Error: hospital.csv not found")
    exit(1)
```
---
## 2. **Missing Values Not Handled** ⚠️
**Severity: High**
```python
X = df[features]
y = df["readmitted_within_30_days"]
```
- No check for NaN/null values
- sklearn models don't handle missing values by default
- Silent failure possible if NaNs exist
**Fix:**
```python
if df[features + ["readmitted_within_30_days"]].isnull().any().any():
    print("Warning: Missing values found")
    df = df.dropna(subset=features + ["readmitted_within_30_days"])
```
---
## 3. **No Feature Scaling** ⚠️
**Severity: Medium**
- Gradient Boosting is tree-based (doesn't require scaling), but mixing scaled/unscaled features could indicate inconsistent preprocessing
- If features have vastly different ranges, learning rates may need adjustment
---
## 4. **Class Imbalance Not Addressed** ⚠️
**Severity: Medium**
- Hospital readmission datasets are typically imbalanced
- Accuracy is a poor metric for imbalanced classification
- Model may be biased toward majority class
**Fix:**
```python
from sklearn.metrics import precision_recall_fscore_support, confusion_matrix
print(f"Class distribution:\n{y.value_counts()}")
precision, recall, f1, _ = precision_recall_fscore_support(y_test, y_pred, average='binary')
print(f"Precision: {precision:.4f}, Recall: {recall:.4f}, F1: {f1:.4f}")
```
---
## 5. **Single Metric Evaluation** ⚠️
**Severity: Medium**
- Only using accuracy_score
- No cross-validation
- No confusion matrix or ROC-AUC analysis
- Results based on single train/test split
**Fix:**
```python
from sklearn.model_selection import cross_val_score
from sklearn.metrics import roc_auc_score
cv_scores = cross_val_score(model, X_train, y_train, cv=5)
print(f"Cross-validation scores: {cv_scores} (mean: {cv_scores.mean():.4f})")
print(f"ROC-AUC: {roc_auc_score(y_test, model.predict_proba(X_test)[:, 1]):.4f}")
```
---
## 6. **No Data Leakage Check** ⚠️
**Severity: Medium**
- Assuming features are already cleaned
- No check for data that should be split (e.g., temporal data)
- Hospital data may have temporal dependencies requiring stratified splitting
**Fix:**
```python
# If target is imbalanced, use stratified split
X_train, X_test, y_train, y_test = train_test_split(
    X, y, test_size=0.2, random_state=42, stratify=y
)
```
---
## 7. **Hardcoded File Path** ⚠️
**Severity: Low**
- Hard-coded "hospital.csv" makes code non-portable
- Should be a parameter or config
**Fix:**
```python
import sys
csv_path = sys.argv[1] if len(sys.argv) &gt; 1 else "hospital.csv"
```
---
## 8. **No Model Persistence** ⚠️
**Severity: Low**
- Model is trained but not saved
- Can't reuse model later without retraining
**Fix:**
```python
import joblib
joblib.dump(model, 'model.pkl')
```
---
## 9. **No Feature Importance Analysis** ℹ️
**Severity: Low**
- Tree-based models provide feature importance
- Useful for interpretability and debugging
**Fix:**
```python
feature_importance = pd.DataFrame({
    'feature': features,
    'importance': model.feature_importances_
}).sort_values('importance', ascending=False)
print(feature_importance)
```
---
## Summary Table
| Issue | Severity | Category |
|-------|----------|----------|
| No error handling | High | Robustness |
| Missing values | High | Data Quality |
| Class imbalance | Medium | ML Practice |
| Single metric | Medium | Evaluation |
| Data leakage risk | Medium | ML Practice |
| Hardcoded paths | Low | Code Quality |
| No model saving | Low | Deployment |
| No feature importance | Low | Interpretability |</t>
  </si>
  <si>
    <t>This Python code provides a basic machine learning workflow, but it has several issues, bugs, and bad practices that should be addressed for a robust, reliable, and production-ready solution.
Here's a breakdown of the problems:
---
### Issues, Bugs, and Bad Practices Identified:
1.  **Hardcoded Filename and Lack of Error Handling for Data Loading:**
    *   **Problem:** `pd.read_csv("hospital.csv")` directly uses a hardcoded filename. If this file doesn't exist or isn't in the expected directory, the script will crash with a `FileNotFoundError`.
    *   **Bad Practice:** Hardcoding paths makes the script less portable and reusable. No error handling means it's not robust.
    *   **Improvement:** Pass the filename as an argument (e.g., via `argparse`), or place it in a configuration file. Wrap the loading in a `try-except` block to gracefully handle missing files.
2.  **Lack of Data Exploration and Preprocessing:**
    *   **Problem:** The code directly loads the data and splits it without any exploration.
    *   **Bad Practice:** It assumes the `hospital.csv` file is perfectly clean, has no missing values, correctly typed columns, or outliers. In real-world scenarios, data is almost never perfectly clean.
    *   **Improvement:**
        *   Perform `df.head()`, `df.info()`, `df.describe()` to understand the data.
        *   Check for missing values (`df.isnull().sum()`) and decide on a strategy (imputation, dropping rows/columns).
        *   Check for categorical features that might need encoding (e.g., One-Hot Encoding).
        *   Consider feature scaling (e.g., `StandardScaler`, `MinMaxScaler`) for tree-based models (though Gradient Boosting is less sensitive than some others, it can still sometimes benefit, especially if regularization is used later).
3.  **Arbitrary Feature Selection without Justification:**
    *   **Problem:** `features = ["age", "bmi", "blood_pressure", "num_symptoms"]` selects a small subset of features without any apparent domain knowledge, statistical analysis, or feature engineering.
    *   **Bad Practice:** The chosen features might not be the most predictive, or there might be other critical features missing from the dataset.
    *   **Improvement:** Involve domain experts, perform exploratory data analysis (EDA), correlation analysis, feature importance analysis (e.g., from an initial model, or using methods like `SelectKBest`), or more advanced feature engineering to create more relevant features.
4.  **No Check for Column Existence:**
    *   **Problem:** If any of the columns in `features` or `"readmitted_within_30_days"` do not exist in the DataFrame, the script will raise a `KeyError`.
    *   **Bad Practice:** Assumes the data schema is constant and correct.
    *   **Improvement:** Add checks (e.g., `if col not in df.columns:`) or use `df.get(col)` with a default handler, especially in more complex pipelines.
5.  **Missing Stratification for `train_test_split`:**
    *   **Problem:** `train_test_split` is called without the `stratify` parameter. If the target variable (`y`, `readmitted_within_30_days`) is imbalanced (e.g., very few patients are readmitted), a random split might result in one of the folds (especially the test set) having very few or no samples of the minority class.
    *   **Bad Practice:** This can lead to an unrepresentative test set and unreliable model evaluation, particularly for classification problems.
    *   **Improvement:** Use `stratify=y` in `train_test_split` to ensure both training and test sets have approximately the same proportion of target classes as the original dataset.
6.  **Arbitrary Model Hyperparameters and Lack of Tuning:**
    *   **Problem:** `GradientBoostingClassifier(n_estimators=100, random_state=42)` uses a default value for `n_estimators`. This value might not be optimal for the given dataset.
    *   **Bad Practice:** Without hyperparameter tuning (e.g., using `GridSearchCV` or `RandomizedSearchCV` with cross-validation), the model's performance is likely suboptimal.
    *   **Improvement:** Implement hyperparameter tuning to find the best combination of parameters for the chosen model using `sklearn.model_selection.GridSearchCV` or `RandomizedSearchCV` with appropriate cross-validation.
7.  **No Cross-Validation for Robust Model Evaluation:**
    *   **Problem:** The model is trained and evaluated only on a single train-test split. The performance metric reported (accuracy) is based solely on this one split.
    *   **Bad Practice:** This single evaluation might be optimistic or pessimistic depending on how "lucky" or "unlucky" the split was. It doesn't give a reliable estimate of the model's generalization performance.
    *   **Improvement:** Use k-fold cross-validation (e.g., `sklearn.model_selection.cross_val_score` or integrate with hyperparameter tuning like `GridSearchCV`) to get a more robust and reliable estimate of the model's performance across different data splits.
8.  **Accuracy as the Sole Evaluation Metric (Especially for Imbalanced Data):**
    *   **Problem:** The code only reports `accuracy_score`. For classification problems, especially in medical contexts like hospital readmission, where readmissions might be a minority class, accuracy can be misleading. A model that predicts "not readmitted" for everyone could achieve high accuracy if readmissions are rare.
    *   **Bad Practice:** Accuracy doesn't distinguish between false positives and false negatives, which often have different costs in real-world applications (e.g., missing a readmission vs. incorrectly predicting a readmission).
    *   **Improvement:** Include other more informative metrics:
        *   **Confusion Matrix:** To see true positives, true negatives, false positives, false negatives.
        *   **Precision, Recall, F1-score:** Especially for the minority class.
        *   **ROC AUC Score:** A good overall measure of classifier performance, less sensitive to class imbalance.
        *   **Classification Report:** (`sklearn.metrics.classification_report`) provides all these metrics conveniently.
9.  **Lack of Modularity and Function Encapsulation:**
    *   **Problem:** The entire workflow is written as a single linear script.
    *   **Bad Practice:** This makes the code harder to read, maintain, reuse, and test. If you wanted to, for example, try a different model or evaluate with different metrics, you'd have to modify the main script extensively.
    *   **Improvement:** Encapsulate different stages of the ML pipeline into functions (e.g., `load_data`, `preprocess_data`, `train_model`, `evaluate_model`). This promotes reusability and clarity. A `main` function with `if __name__ == "__main__":` is also good practice.
10. **No Comments or Docstrings:**
    *   **Problem:** The code lacks comments explaining *why* certain decisions were made (e.g., why these specific features were chosen) or what specific parts of the code are doing.
    *   **Bad Practice:** Makes the code harder for others (or your future self) to understand and maintain.
    *   **Improvement:** Add comments for complex logic and docstrings for functions (if implemented) to explain their purpose, arguments, and return values.
---
### Example of an Improved Structure (Addressing some key points):
```python
import pandas as pd
from sklearn.model_selection import train_test_split, cross_val_score, GridSearchCV
from sklearn.ensemble import GradientBoostingClassifier
from sklearn.metrics import accuracy_score, classification_report, confusion_matrix, roc_auc_score
import numpy as np
import logging # For better error handling/logging
# Configure logging
logging.basicConfig(level=logging.INFO, format='%(levelname)s: %(message)s')
def load_data(filepath):
    """Loads the hospital dataset from a CSV file."""
    try:
        df = pd.read_csv(filepath)
        logging.info(f"Successfully loaded data from {filepath}")
        return df
    except FileNotFoundError:
        logging.error(f"Error: The file '{filepath}' was not found.")
        return None
    except Exception as e:
        logging.error(f"Error loading data: {e}")
        return None
def preprocess_data(df):
    """
    Performs basic data preprocessing steps.
    Includes handling missing values, encoding, and feature scaling (if necessary).
    """
    if df is None:
        return None, None # Return early if df is None
    logging.info("Starting data preprocessing...")
    # 1. Data Exploration (in a real scenario, this would be more extensive)
    logging.info("DataFrame head:\n" + str(df.head()))
    logging.info("DataFrame info:\n" + str(df.info()))
    logging.info("Missing values:\n" + str(df.isnull().sum()))
    # Example: Handle missing values (simple imputation for numerical columns)
    # This is a very basic example; more sophisticated strategies might be needed.
    for col in ["age", "bmi", "blood_pressure", "num_symptoms"]:
        if col in df.columns and df[col].isnull().any():
            df[col].fillna(df[col].mean(), inplace=True)
            logging.info(f"Filled missing values in '{col}' with mean.")
    # 2. Feature and Target Selection
    # In a real scenario, this would involve feature engineering or selection based on EDA.
    features = ["age", "bmi", "blood_pressure", "num_symptoms"]
    target = "readmitted_within_30_days"
    # Check if all required columns exist
    if not all(col in df.columns for col in features + [target]):
        logging.error("Error: One or more specified features or target column not found in DataFrame.")
        return None, None
    X = df[features]
    y = df[target]
    logging.info(f"Selected features: {features}")
    logging.info(f"Selected target: {target}")
    logging.info("Preprocessing complete.")
    return X, y
def train_and_evaluate_model(X, y):
    """
    Trains a Gradient Boosting Classifier, performs hyperparameter tuning
    with cross-validation, and evaluates its performance.
    """
    if X is None or y is None:
        logging.error("Cannot train model: X or y is None.")
        return
    logging.info("Splitting data into training and testing sets with stratification...")
    X_train, X_test, y_train, y_test = train_test_split(
        X, y, test_size=0.2, random_state=42, stratify=y # Added stratify=y
    )
    logging.info(f"Train set size: {len(X_train)}, Test set size: {len(X_test)}")
    logging.info(f"Target distribution in train set:\n{y_train.value_counts(normalize=True)}")
    logging.info(f"Target distribution in test set:\n{y_test.value_counts(normalize=True)}")
    # Define the model
    model = GradientBoostingClassifier(random_state=42)
    # Hyperparameter tuning with GridSearchCV and cross-validation
    param_grid = {
        'n_estimators': [50, 100, 200],
        'learning_rate': [0.01, 0.1, 0.2],
        'max_depth': [3, 4, 5]
    }
    logging.info("Starting GridSearchCV for hyperparameter tuning...")
    grid_search = GridSearchCV(model, param_grid, cv=5, scoring='roc_auc', n_jobs=-1, verbose=1)
    grid_search.fit(X_train, y_train)
    best_model = grid_search.best_estimator_
    logging.info(f"Best hyperparameters found: {grid_search.best_params_}")
    logging.info(f"Best ROC AUC score from cross-validation: {grid_search.best_score_:.4f}")
    # Evaluate the best model on the test set
    y_pred = best_model.predict(X_test)
    y_proba = best_model.predict_proba(X_test)[:, 1] # Probability for the positive class
    logging.info("\n--- Model Evaluation on Test Set ---")
    accuracy = accuracy_score(y_test, y_pred)
    logging.info(f"Accuracy: {accuracy:.4f}")
    # More robust metrics for classification
    logging.info("\nClassification Report:")
    logging.info(classification_report(y_test, y_pred))
    logging.info("\nConfusion Matrix:")
    logging.info(str(confusion_matrix(y_test, y_pred)))
    roc_auc = roc_auc_score(y_test, y_proba)
    logging.info(f"\nROC AUC Score: {roc_auc:.4f}")
    return best_model
if __name__ == "__main__":
    file_path = "hospital.csv" # Still hardcoded, but now passed to a function
    df = load_data(file_path)
    if df is not None:
        X, y = preprocess_data(df)
        if X is not None and y is not None:
            trained_model = train_and_evaluate_model(X, y)
            if trained_model:
                logging.info("Model training and evaluation completed successfully.")
                # You can now save the trained_model, make new predictions, etc.
```</t>
  </si>
  <si>
    <t>Upon reviewing the provided Python machine learning pipeline code, it appears to be free of data leakage. Here's a breakdown of the code and why it does not have data leakage:
1. **Data Splitting**: 
   - The code uses `train_test_split` from `sklearn.model_selection` to divide the dataset into training and test sets. 
   - This function splits the data randomly into training and test sets with a ratio defined by `test_size=0.2`. A random state ensures that the split can be reproduced in the future.
2. **Features and Target**:
   - The features used for training (`age`, `bmi`, `blood_pressure`, `num_symptoms`) do not appear to contain any information that would directly access the target variable `readmitted_within_30_days`.
3. **Model Training and Evaluation**:
   - The model is trained only on `X_train` and `y_train` and evaluated on the `X_test` and `y_test`. This separation ensures that the model does not learn from the test data during training.
   - The accuracy is calculated on the test predictions, which is appropriate and no test data is used in model training.
Since there is a clear separation of training and test sets, and the features do not include any that encodes future information or direct leakage paths to the target variable at prediction time, this code does not contain data leakage.</t>
  </si>
  <si>
    <t>Let's analyze the provided Python machine learning pipeline for potential data leakage issues.
### Overview of Data Leakage
Data leakage occurs when information from the test set is used during the training phase, causing overly optimistic performance metrics, as the model may be futher informed or influenced by the test data. Similarly, if features contain target-related information that wouldn't be accessible at the time of making predictions, that too constitutes leakage.
### Code Review
Inspecting the code:
1. **Data Loading**:
   ```python
   df = pd.read_csv("hospital.csv")
   ```
2. **Feature and Target Definition**:
   ```python
   features = [
       "age", "bmi", "blood_pressure", "num_symptoms"
   ]
   X = df[features]
   y = df["readmitted_within_30_days"]
   ```
3. **Train-Test Split**:
   ```python
   X_train, X_test, y_train, y_test = train_test_split(
       X, y, test_size=0.2, random_state=42
   )
   ```
4. **Model Training and Prediction**:
   ```python
   model = GradientBoostingClassifier(n_estimators=100, random_state=42)
   model.fit(X_train, y_train)
   y_pred = model.predict(X_test)
   print(f"Accuracy: {accuracy_score(y_test, y_pred):.4f}")
   ```
### Data Leakage Evaluation
- **Train-Test Split**: The use of `train_test_split` here is appropriate, as it separates the data before fitting the model. As long as there’s no leakage in `X` or `y`, this part is fine.
- **Feature Selection**: The features used ("age", "bmi", "blood_pressure", "num_symptoms") do not appear to contain direct future information about the target variable ("readmitted_within_30_days"). However, the feature set must be scrutinized in the context of domain knowledge to ensure that none of them unintentionally encode information about readmission within 30 days.
- **Fit and Predict**: Fitting the model on `X_train` and predicting on `X_test` after the split also looks appropriate.
### Conclusion
After reviewing the code, I do not identify any direct instances of data leakage. The train-test split is performed correctly, and the features do not inherently contain future information about the labels that would not be available at prediction time. 
### Recommendations
- **Validation of Feature Appropriateness**: While there is no evident leakage, it's essential to ensure on a domain basis that the selected features don’t correlate with the target in a way that's not available during real-time predictions.
- **Feature Engineering**: Consider reviewing any transformations or interactions created from these features carefully to ensure they don’t accidentally introduce leakage.
- **Cross-Validation**: Utilize cross-validation techniques to bolster the evaluation and to be more robust against potential unseen issues. 
In summary, the provided code is free of data leakage based on current evaluation.</t>
  </si>
  <si>
    <t>## Data Leakage Review
### Verdict: **No data leakage detected**
This pipeline is straightforward and correctly structured. Here is a breakdown of why each potential leakage vector is absent:
---
### What the Code Does Correctly
**1. Train/test split happens before any learning**
```python
X_train, X_test, y_train, y_test = train_test_split(
    X, y, test_size=0.2, random_state=42
)
```
The split occurs before any model fitting or data transformation, which is the correct order of operations.
**2. Model is fit exclusively on training data**
```python
model.fit(X_train, y_train)  # Only sees training data
```
No test set data is passed to `fit()`, directly or indirectly.
**3. Features do not encode future or target information**
The four features used are:
| Feature | Leakage Risk | Assessment |
|---|---|---|
| `age` | None | Static demographic |
| `bmi` | Low | Typically measured at admission |
| `blood_pressure` | Low | Measured at admission |
| `num_symptoms` | Low | Observable at admission |
None of these are obviously derived from the target (`readmitted_within_30_days`) or measured *after* the outcome is known.
**4. No preprocessing steps that could leak**
There is no scaling, imputation, or encoding applied here. This is notable because those operations **would** introduce leakage if fitted on the full dataset before splitting — but since none are present, there is no issue.
---
### Caveats Worth Investigating
While the code itself is clean, a thorough review would also verify the following outside this snippet:
**1. Feature construction in the CSV**
```python
df = pd.read_csv("hospital.csv")
```
If `hospital.csv` was pre-processed upstream to create features like `num_symptoms` using information available only after admission (e.g., discharge summaries), leakage could exist in the data itself, invisibly to this code.
**2. `bmi` and `blood_pressure` timing**
If these were recorded at discharge rather than admission, they could reflect the patient's trajectory and subtly encode outcome-related information.
**3. No cross-validation or preprocessing pipeline**
If this code were later extended to add scaling or imputation, those steps would need to be wrapped in a `Pipeline` to remain leakage-free:
```python
from sklearn.pipeline import Pipeline
from sklearn.preprocessing import StandardScaler
# Correct pattern if preprocessing is added
pipeline = Pipeline([
    ("scaler", StandardScaler()),       # Fit only on X_train
    ("model", GradientBoostingClassifier())
])
pipeline.fit(X_train, y_train)         # Safe: no test data involvement
```
---
### Summary
The code as written is **free of data leakage**. The primary risks in a real project would lie in the upstream data construction and any future additions to the preprocessing steps.</t>
  </si>
  <si>
    <t># Data Leakage Review
## Verdict: **No data leakage detected**
This code appears to be **free of data leakage**. Here's why:
### What the code does correctly:
1. **Proper train-test split**: The data is split into training and test sets *before* any model fitting occurs using `train_test_split()`.
2. **No preprocessing leakage**: There is no scaling, encoding, imputation, or feature engineering applied before the split that could leak information from the test set into the training set.
3. **No temporal leakage**: The features used (age, BMI, blood pressure, symptom count) are all measured at or before admission and would naturally be available at prediction time. There's no look-ahead bias.
4. **Model only trains on training data**: The model is fit exclusively on `X_train` and `y_train`, and evaluated on held-out `X_test` and `y_test`.
### Potential improvements (not leakage, but best practices):
While there's no leakage here, consider these enhancements for a more robust pipeline:
```python
from sklearn.pipeline import Pipeline
from sklearn.preprocessing import StandardScaler
# Better: encapsulate preprocessing within the pipeline
pipeline = Pipeline([
    ('scaler', StandardScaler()),
    ('model', GradientBoostingClassifier(n_estimators=100, random_state=42))
])
pipeline.fit(X_train, y_train)
y_pred = pipeline.predict(X_test)
```
This is slightly more defensive because it ensures any future preprocessing steps are automatically scoped to training data only.</t>
  </si>
  <si>
    <t>Based on the provided Python machine learning pipeline code, it **does not contain any form of data leakage**.
Here's why:
1.  **Correct Train-Test Split:**
    *   The `train_test_split` function is applied *before* any model fitting or feature processing (other than simple selection).
    *   `X_train`, `y_train` are used exclusively for training the model.
    *   `X_test`, `y_test` are held completely separate and are only used for making predictions and evaluating the model's performance on unseen data. This prevents the model from "seeing" any information from the test set during its learning phase.
2.  **No Feature Engineering or Scaling Before Split:**
    *   The code directly uses the raw features (`age`, `bmi`, `blood_pressure`, `num_symptoms`) as they are loaded from the CSV. There are no steps like imputation, scaling (e.g., `StandardScaler`), or complex feature transformations that are fitted on the entire dataset (`df`) before the split. If such steps were present and fitted on `X` (the whole dataset) before splitting, that would introduce leakage.
3.  **No Obvious Target Leakage from Features:**
    *   The chosen features (`age`, `bmi`, `blood_pressure`, `num_symptoms`) appear to be characteristics of a patient that would be available *at the time of admission* or shortly thereafter, *before* it is known whether they will be `readmitted_within_30_days`.
    *   There's no feature like `discharge_diagnosis_after_readmission` or `cost_of_30_day_readmission` which would clearly encode information about the target that wouldn't be known at the time of prediction for a new patient.
**Conclusion:**
The pipeline correctly separates training and testing data, and the model is trained and evaluated in a way that respects this separation. The features chosen also appear appropriate and do not inherently contain information from the future (i.e., the target itself). Therefore, the code is free of data leakage.</t>
  </si>
  <si>
    <t>The provided Python code appears to function correctly for a basic linear regression task using scikit-learn and should work for its intended purpose. However, a few issues and suggestions for improvement can be identified in terms of potential assumptions, best practices, and robustness:
1. **Error Handling for File Reading**:
   - The code directly attempts to read a CSV file named "housing.csv" without any error handling. If the file path is incorrect or the file does not exist, this will result in an error.
   - **Suggestion**: Implement error handling to manage scenarios where the file may not be found. For example:
     ```python
     try:
         df = pd.read_csv("housing.csv")
     except FileNotFoundError:
         raise FileNotFoundError("The file 'housing.csv' was not found.")
     ```
2. **Assuming 'price' Column Existence**:
   - The code assumes that the "price" column exists in the data. If this column is missing, the code will raise a KeyError.
   - **Suggestion**: Consider adding a check to ensure the "price" column is present:
     ```python
     if "price" not in df.columns:
         raise KeyError("The required column 'price' is not present in the data.")
     ```
3. **Scaling Target Variable**:
   - Only the features `X` are scaled. While this is common in many scenarios, just be aware that sometimes target scaling (or not scaling features) might be required depending on the model and context.
   - **No immediate change needed**, but if the usage of a model that requires target scaling is anticipated, consider implementing it. Linear Regression doesn't require this by default.
4. **Potential Data Leakage**:
   - The standard practice shown scales all of `X` before splitting into train and test. This is technically fine but it's worth noting that scaling (or other transformations) should typically be fit only on the training data and then applied to both train and test data. In this case, scikit-learn's `StandardScaler` won't introduce data leakage because it doesn't compute anything based on `y`.
   - **For stricter practices**:
     ```python
     X_train, X_test, y_train, y_test = train_test_split(
         X, y, test_size=0.2, random_state=42
     )
     scaler = StandardScaler()
     X_train_scaled = scaler.fit_transform(X_train)
     X_test_scaled = scaler.transform(X_test)
     ```
5. **Further Evaluation Metrics**:
   - Mean Squared Error (MSE) is a useful metric for regression tasks, but sometimes additional metrics like R^2, MAE (Mean Absolute Error), etc., can provide a fuller picture.
   - **Suggestion**: Consider printing additional evaluation metrics:
     ```python
     from sklearn.metrics import r2_score
     print(f"R^2: {r2_score(y_test, y_pred):.4f}")
     ```
6. **Code Readability and Comments**:
   - The code would benefit from comments explaining each section for clarity, especially for those who may not be familiar with machine learning practices.
   - **Suggestion**: Add comments to explain key steps, e.g., reading data, scaling, model fitting, etc.
7. **Dependency Management**:
   - Ensure that the environment where this script is executed has all the necessary libraries installed (pandas, scikit-learn). This is more of a managerial point rather than a code change.
By addressing the potential pitfalls and enhancing the code with these best practices, you future-proof your analysis against different datasets and modeling scenarios.</t>
  </si>
  <si>
    <t>The code provided is a straightforward implementation of a linear regression model using the pandas, scikit-learn, and sklearn libraries. However, there are several potential issues, bugs, and bad practices that should be addressed:
1. **File Existence and Error Handling**:
   - The code reads a CSV file without checking if it exists or if the file read operation is successful. This could lead to runtime errors if the file is missing or there's an issue with the format.
   - **Improvement**: Wrap the `pd.read_csv` call in a `try-except` block to handle potential errors gracefully.
   ```python
   try:
       df = pd.read_csv("housing.csv")
   except FileNotFoundError:
       print("Error: The file 'housing.csv' was not found.")
       exit()
   except pd.errors.EmptyDataError:
       print("Error: The file is empty.")
       exit()
   except pd.errors.ParserError:
       print("Error: The file could not be parsed.")
       exit()
   ```
2. **Data Preparation**:
   - The code assumes that all columns in `X` are numeric or can be processed without additional handling. If there are non-numeric columns (like categorical variables) in `X`, this will throw an error when attempting to scale.
   - **Improvement**: Before applying `StandardScaler`, ensure that `X` contains only numeric columns or process categorical features accordingly (e.g., via one-hot encoding).
   ```python
   X = pd.get_dummies(df.drop("price", axis=1), drop_first=True)
   ```
3. **Standard Scaler**:
   - Scaling should only be applied to the training data, and then the trained scaler should be used to transform the test data to prevent data leakage.
   - **Improvement**: Fit the scaler only on the training data.
   ```python
   X_train, X_test, y_train, y_test = train_test_split(X, y, test_size=0.2, random_state=42)
   scaler = StandardScaler()
   X_train_scaled = scaler.fit_transform(X_train)
   X_test_scaled = scaler.transform(X_test)
   ```
4. **Use of `exit()`**:
   - The use of `exit()` is not a good practice in scripts, particularly when using libraries that can execute in environments like Jupyter notebooks or where cleanup could be necessary.
   - **Improvement**: Use exception handling to raise errors or return gracefully.
5. **Variable Naming**:
   - Variable names like `X` and `y` are standard in many contexts but could be considered unclear to someone unfamiliar with the codebase. While it's not a strict issue, more descriptive variable names would enhance readability.
   - **Improvement**: Use more descriptive names like `features` and `target`.
6. **Print Output**:
   - The code uses a simple print statement for displaying the Mean Squared Error (MSE). For larger projects, or for logging, consider using the logging library.
   - **Improvement**: Use the `logging` module for better output control and logging levels.
   ```python
   import logging
   logging.basicConfig(level=logging.INFO)
   logging.info(f"MSE: {mean_squared_error(y_test, y_pred):.4f}")
   ```
Here’s an improved version of the code, integrating the suggestions:
```python
import pandas as pd
import logging
from sklearn.preprocessing import StandardScaler
from sklearn.model_selection import train_test_split
from sklearn.linear_model import LinearRegression
from sklearn.metrics import mean_squared_error
# Set up logging
logging.basicConfig(level=logging.INFO)
# Load data with error handling
try:
    df = pd.read_csv("housing.csv")
except FileNotFoundError:
    logging.error("The file 'housing.csv' was not found.")
    exit()
except pd.errors.EmptyDataError:
    logging.error("The file is empty.")
    exit()
except pd.errors.ParserError:
    logging.error("The file could not be parsed.")
    exit()
# Prepare features and target variable
X = pd.get_dummies(df.drop("price", axis=1), drop_first=True)
y = df["price"]
# Split the data
X_train, X_test, y_train, y_test = train_test_split(X, y, test_size=0.2, random_state=42)
# Scale the features
scaler = StandardScaler()
X_train_scaled = scaler.fit_transform(X_train)
X_test_scaled = scaler.transform(X_test)
# Train the model
model = LinearRegression()
model.fit(X_train_scaled, y_train)
# Make predictions
y_pred = model.predict(X_test_scaled)
# Evaluate the model
logging.info(f"MSE: {mean_squared_error(y_test, y_pred):.4f}")
```
This revised version addresses the potential issues and improves overall robustness and clarity.</t>
  </si>
  <si>
    <t>## Code Review
The code is functional and follows a reasonable ML pipeline structure, but has several issues ranging from critical bugs to style concerns.
---
### 1. **Data Leakage (Critical Bug)**
```python
# WRONG - scaler is fit on ALL data before splitting
scaler = StandardScaler()
X_scaled = scaler.fit_transform(X)  # leaks test statistics into training
X_train, X_test, y_train, y_test = train_test_split(X_scaled, y, ...)
```
The scaler is fit on the entire dataset *before* splitting, meaning test set statistics (mean, std) influence the scaling. This is data leakage and produces overly optimistic evaluation results.
```python
# CORRECT - split first, then fit scaler only on training data
X_train, X_test, y_train, y_test = train_test_split(X, y, test_size=0.2, random_state=42)
scaler = StandardScaler()
X_train = scaler.fit_transform(X_train)  # fit only on training data
X_test = scaler.transform(X_test)        # only transform test data
```
---
### 2. **No Data Validation or Error Handling**
```python
df = pd.read_csv("housing.csv")
X = df.drop("price", axis=1)
y = df["price"]
```
Several things can silently go wrong:
```python
# BETTER - validate data after loading
df = pd.read_csv("housing.csv")
if df.empty:
    raise ValueError("Dataset is empty")
if "price" not in df.columns:
    raise ValueError("Target column 'price' not found in dataset")
if df.isnull().any().any():
    print(f"Warning: {df.isnull().sum().sum()} missing values found")
    df = df.dropna()  # or apply a more thoughtful imputation strategy
```
---
### 3. **No Handling of Non-Numeric Features**
```python
X = df.drop("price", axis=1)
X_scaled = scaler.fit_transform(X)  # will raise TypeError if categorical columns exist
```
`StandardScaler` requires numeric input. If the CSV contains categorical columns (e.g., neighborhood names), this crashes with an unhelpful error.
```python
# BETTER - explicitly select numeric columns or encode categoricals
X = df.drop("price", axis=1).select_dtypes(include=["number"])
# Or handle categoricals explicitly
# X = pd.get_dummies(df.drop("price", axis=1))
```
---
### 4. **MSE Is Hard to Interpret Alone**
```python
print(f"MSE: {mean_squared_error(y_test, y_pred):.4f}")
```
MSE is scale-dependent and hard to interpret in isolation. RMSE and R² provide much more context:
```python
import numpy as np
mse = mean_squared_error(y_test, y_pred)
rmse = np.sqrt(mse)
r2 = model.score(X_test, y_test)
print(f"MSE:  {mse:.4f}")
print(f"RMSE: {rmse:.4f}")   # same units as the target variable
print(f"R²:   {r2:.4f}")     # proportion of variance explained
```
---
### 5. **No Cross-Validation**
```python
X_train, X_test, y_train, y_test = train_test_split(..., random_state=42)
```
A single train/test split produces a variance-sensitive estimate of model performance. The chosen `random_state` may produce an unusually good or bad split.
```python
from sklearn.model_selection import cross_val_score
from sklearn.pipeline import Pipeline
# Pipeline prevents data leakage automatically
pipeline = Pipeline([
    ("scaler", StandardScaler()),
    ("model", LinearRegression())
])
scores = cross_val_score(pipeline, X, y, cv=5, scoring="r2")
print(f"CV R² scores: {scores}")
print(f"Mean R²: {scores.mean():.4f} (+/- {scores.std():.4f})")
```
---
### 6. **Using a Pipeline Would Prevent Multiple Issues**
The combination of a standalone scaler and manual split management is fragile. `sklearn.pipeline.Pipeline` is the idiomatic solution and prevents the data leakage issue from point #1 automatically:
```python
from sklearn.pipeline import Pipeline
pipeline = Pipeline([
    ("scaler", StandardScaler()),
    ("model", LinearRegression())
])
X_train, X_test, y_train, y_test = train_test_split(X, y, test_size=0.2, random_state=42)
pipeline.fit(X_train, y_train)
y_pred = pipeline.predict(X_test)
```
---
### Summary Table
| # | Issue | Severity |
|---|-------|----------|
| 1 | Data leakage from scaling before splitting | 🔴 Critical |
| 2 | No data validation or error handling | 🟠 High |
| 3 | No handling of non-numeric features | 🟠 High |
| 4 | MSE reported without context (RMSE, R²) | 🟡 Medium |
| 5 | No cross-validation | 🟡 Medium |
| 6 | Not using Pipeline | 🟢 Best Practice |
The most important fix is **#1 (data leakage)** — the rest affect robustness and interpretability but don't invalidate results the way leakage does.</t>
  </si>
  <si>
    <t># Code Review: Issues and Problems Found
## 1. **Data Leakage (CRITICAL)**
```python
scaler = StandardScaler()
X_scaled = scaler.fit_transform(X)  # ❌ Fit on ALL data
X_train, X_test, y_train, y_test = train_test_split(...)
```
**Problem:** The scaler is fit on the entire dataset (including test data), then the split occurs. This causes test data statistics to influence the scaling parameters.
**Fix:** Split first, then fit the scaler only on training data:
```python
X_train, X_test, y_train, y_test = train_test_split(X, y, test_size=0.2, random_state=42)
scaler = StandardScaler()
X_train_scaled = scaler.fit_transform(X_train)  # Fit only on training data
X_test_scaled = scaler.transform(X_test)        # Transform test data only
```
---
## 2. **No Error Handling**
**Problem:** The code assumes `housing.csv` exists and has correct structure. Missing file or corrupted data will crash without useful feedback.
**Fix:**
```python
try:
    df = pd.read_csv("housing.csv")
except FileNotFoundError:
    print("Error: housing.csv not found")
    exit(1)
except Exception as e:
    print(f"Error reading file: {e}")
    exit(1)
```
---
## 3. **No Data Validation**
**Problem:** No checks for:
- Missing values in the dataset
- Whether "price" column exists
- Data type consistency
- Duplicate rows
**Fix:**
```python
if "price" not in df.columns:
    raise ValueError("'price' column not found in dataset")
if df.isnull().any().any():
    print(f"Missing values found:\n{df.isnull().sum()}")
    df = df.dropna()  # or handle appropriately
```
---
## 4. **Incomplete Model Evaluation**
**Problem:** Only MSE is reported. This metric has issues:
- Scale-dependent (hard to interpret)
- Doesn't show bias direction
- No comparison baseline
**Fix:**
```python
from sklearn.metrics import mean_squared_error, r2_score, mean_absolute_error
mse = mean_squared_error(y_test, y_pred)
rmse = mse ** 0.5  # More interpretable
mae = mean_absolute_error(y_test, y_pred)
r2 = r2_score(y_test, y_pred)
print(f"RMSE: {rmse:.4f}")
print(f"MAE: {mae:.4f}")
print(f"R² Score: {r2:.4f}")
```
---
## 5. **No Train/Test Performance Comparison**
**Problem:** Only test metrics shown; can't detect overfitting/underfitting.
**Fix:**
```python
y_train_pred = model.predict(X_train_scaled)
train_mse = mean_squared_error(y_train, y_train_pred)
test_mse = mean_squared_error(y_test, y_pred)
print(f"Train MSE: {train_mse:.4f}")
print(f"Test MSE: {test_mse:.4f}")
if test_mse &gt; train_mse * 1.2:
    print("Warning: Possible overfitting detected")
```
---
## 6. **Hardcoded Values (Magic Numbers)**
**Problem:** `test_size=0.2` and `random_state=42` are hardcoded with no explanation.
**Fix:**
```python
TEST_SIZE = 0.2
RANDOM_STATE = 42
X_train, X_test, y_train, y_test = train_test_split(
    X, y, test_size=TEST_SIZE, random_state=RANDOM_STATE
)
```
---
## 7. **No Feature Inspection**
**Problem:** Scaling numeric data blindly without knowing what you're scaling.
**Fix:**
```python
print(f"Dataset shape: {df.shape}")
print(f"Data types:\n{df.dtypes}")
print(f"Feature ranges:\n{df.describe()}")
```
---
## 8. **Unused Imports (Minor)**
All imports are used, so this is fine. ✓
---
## **Corrected Code Example:**
```python
import pandas as pd
from sklearn.preprocessing import StandardScaler
from sklearn.model_selection import train_test_split
from sklearn.linear_model import LinearRegression
from sklearn.metrics import mean_squared_error, r2_score, mean_absolute_error
# Configuration
TEST_SIZE = 0.2
RANDOM_STATE = 42
# Load and validate data
try:
    df = pd.read_csv("housing.csv")
    if "price" not in df.columns:
        raise ValueError("'price' column not found")
    if df.isnull().any().any():
        df = df.dropna()
except FileNotFoundError:
    print("Error: housing.csv not found")
    exit(1)
# Prepare features and target
X = df.drop("price", axis=1)
y = df["price"]
# Split BEFORE scaling (prevent data leakage)
X_train, X_test, y_train, y_test = train_test_split(
    X, y, test_size=TEST_SIZE, random_state=RANDOM_STATE
)
# Scale only training data
scaler = StandardScaler()
X_train_scaled = scaler.fit_transform(X_train)
X_test_scaled = scaler.transform(X_test)
# Train and evaluate
model = LinearRegression()
model.fit(X_train_scaled, y_train)
y_train_pred = model.predict(X_train_scaled)
y_test_pred = model.predict(X_test_scaled)
print("=== Training Performance ===")
print(f"RMSE: {mean_squared_error(y_train, y_train_pred) ** 0.5:.4f}")
print(f"R²: {r2_score(y_train, y_train_pred):.4f}")
print("\n=== Test Performance ===")
print(f"RMSE: {mean_squared_error(y_test, y_test_pred) ** 0.5:.4f}")
print(f"MAE: {mean_absolute_error(y_test, y_test_pred):.4f}")
print(f"R²: {r2_score(y_test, y_test_pred):.4f}")
```</t>
  </si>
  <si>
    <t>This Python code provides a basic end-to-end example of training a linear regression model. While it runs for a clean dataset, it has several issues related to robustness, data quality, and best practices that would cause problems in a real-world scenario.
Here's a breakdown of the problems:
---
### 1. Data Leakage During Scaling
**Problem:** The `StandardScaler` is fit on the *entire* dataset (`X`) before the data is split into training and testing sets. This means the mean and standard deviation used for scaling are computed using information from both the training and testing data.
**Explanation:** This is a form of data leakage. The model's performance on the test set will appear artificially better than it would be on truly unseen data because the scaling process implicitly used information from the test set. When you scale, you should always fit the scaler *only* on the training data and then use that *fitted* scaler to transform both the training and test sets.
**How to Fix:**
Fit the scaler only on `X_train` and then transform both `X_train` and `X_test`.
```python
# ... (previous code)
# Split the data first
X_train, X_test, y_train, y_test = train_test_split(
    X, y, test_size=0.2, random_state=42 # Note: X_scaled is not used here yet
)
# Initialize scaler
scaler = StandardScaler()
# Fit scaler ONLY on the training data
X_train_scaled = scaler.fit_transform(X_train)
# Transform the test data using the scaler fitted on the training data
X_test_scaled = scaler.transform(X_test)
# Now use X_train_scaled and X_test_scaled for model training
model = LinearRegression()
model.fit(X_train_scaled, y_train) # Use scaled training data
y_pred = model.predict(X_test_scaled) # Use scaled test data for prediction
# ... (rest of the code)
```
---
### 2. Lack of Data Preprocessing for Missing Values
**Problem:** The code assumes the "housing.csv" file and its columns (`X` and `y`) are perfectly clean and contain no missing values (NaNs).
**Explanation:** If `df` or any column in `X` or `y` contains `NaN` values, `StandardScaler()` will raise an error (`ValueError: Input contains NaN, infinity or a value too large for dtype('float64').`). Similarly, `LinearRegression()` would also fail or produce incorrect results if fed NaNs. Real-world datasets often have missing data, which needs to be handled (e.g., imputation, deletion) *before* scaling and model training.
**How to Fix (Example - basic imputation):**
Add a step to handle missing values, for instance, by filling them with the mean or median.
```python
# ... (previous imports)
df = pd.read_csv("housing.csv")
# --- Problem Fix: Handle Missing Values BEFORE splitting/scaling ---
# Example: Fill missing numerical values with the median of their respective columns
# This is a simple strategy, more complex methods exist.
for column in df.columns:
    if df[column].dtype in ['int64', 'float64']:
        if df[column].isnull().any():
            df[column].fillna(df[column].median(), inplace=True)
# Alternatively, drop rows with any missing values: df.dropna(inplace=True)
# Or drop columns with too many missing values.
# --- End of Fix ---
X = df.drop("price", axis=1)
y = df["price"]
# ... (rest of the code as corrected for data leakage)
```
---
### 3. Lack of Robustness / Error Handling for File/Column Not Found
**Problem:** The code will crash immediately with a `FileNotFoundError` if `"housing.csv"` doesn't exist, or a `KeyError` if `"price"` column is not found in the DataFrame.
**Explanation:** In a production environment or even during development, these assumptions can easily be violated. Robust code anticipates such failures.
**How to Fix:**
Use `try-except` blocks to gracefully handle potential file or column errors.
```python
import pandas as pd
# ... other imports
try:
    df = pd.read_csv("housing.csv")
except FileNotFoundError:
    print("Error: 'housing.csv' not found. Please ensure the file is in the correct directory.")
    exit() # Exit the script or handle appropriately
# ... (handle missing values here if needed)
try:
    X = df.drop("price", axis=1)
    y = df["price"]
except KeyError:
    print("Error: 'price' column not found in the CSV file. Please check the column name.")
    exit() # Exit the script or handle appropriately
# ... (rest of the code)
```
---
### 4. No Handling of Non-Numeric Features
**Problem:** The code assumes all features in `X` (after dropping "price") are numerical.
**Explanation:** If the `housing.csv` file contains categorical features (e.g., 'neighborhood', 'style'), `StandardScaler` will raise a `TypeError` because it expects numerical input. These features need to be encoded (e.g., one-hot encoding, label encoding) before scaling and model training.
**How to Fix (Example - basic one-hot encoding):**
Identify and encode categorical features.
```python
# ... (after handling missing values)
X = df.drop("price", axis=1)
y = df["price"]
# --- Problem Fix: Handle Categorical Features ---
# Identify categorical columns
categorical_cols = X.select_dtypes(include=['object', 'category']).columns
# Apply one-hot encoding
if not categorical_cols.empty:
    X = pd.get_dummies(X, columns=categorical_cols, drop_first=True) # drop_first avoids multicollinearity
# --- End of Fix ---
# Now X is ready for splitting and scaling
X_train, X_test, y_train, y_test = train_test_split(X, y, test_size=0.2, random_state=42)
# ... (rest of the code as corrected for data leakage)
```
---
### 5. No Exploratory Data Analysis (EDA)
**Problem:** The code jumps straight into modeling without any preliminary data exploration.
**Explanation:** While not a "bug" that breaks the code, skipping EDA is a bad practice. EDA helps you understand:
*   Data distributions (histograms, box plots).
*   Presence of outliers.
*   Correlations between features and the target.
*   The types and extent of missing values.
*   The nature of categorical variables.
This understanding is crucial for making informed decisions about data preprocessing steps (like imputation strategy, feature engineering, choice of scaler) and even the choice of model.
**How to Fix:**
Add a section for basic EDA before `X` and `y` are defined.
```python
df = pd.read_csv("housing.csv")
# --- Good Practice: Basic EDA ---
print("Dataset Info:")
df.info()
print("\nMissing values per column:")
print(df.isnull().sum())
print("\nFirst 5 rows:")
print(df.head())
print("\nDescriptive statistics:")
print(df.describe())
# You might add visualizations here (e.g., df.hist(), sns.pairplot(), sns.heatmap())
# --- End of Good Practice ---
# ... (handle missing values, categorical features, etc.)
```
---
### 6. Hardcoded Filename and Column Name
**Problem:** The filename `"housing.csv"` and the target column name `"price"` are hardcoded strings directly in the script.
**Explanation:** This makes the script less flexible. If you want to use it with a different dataset or a dataset where the target column has a different name, you have to manually edit the code.
**How to Fix:**
Define these as variables or constants at the top of the script, or pass them as arguments if this were part of a function or class.
```python
import pandas as pd
# ... other imports
# --- Good Practice: Configuration ---
DATA_FILE = "housing.csv"
TARGET_COLUMN = "price"
TEST_SIZE_RATIO = 0.2
RANDOM_SEED = 42
# --- End of Good Practice ---
try:
    df = pd.read_csv(DATA_FILE)
except FileNotFoundError:
    print(f"Error: '{DATA_FILE}' not found. Please ensure the file is in the correct directory.")
    exit()
# ... (rest of the code, using TARGET_COLUMN instead of "price")
```
---
### 7. Lack of Further Model Evaluation / No R-squared
**Problem:** Only Mean Squared Error (MSE) is reported.
**Explanation:** While MSE is a valid metric, it can be hard to interpret on its own without context (its scale depends on the scale of the target variable squared). R-squared (coefficient of determination) is often a more intuitive metric for regression, as it represents the proportion of the variance in the dependent variable that is predictable from the independent variables. Other metrics like Mean Absolute Error (MAE) can also be useful.
**How to Fix:**
Add R-squared score to the evaluation.
```python
from sklearn.metrics import mean_squared_error, r2_score
# ... (model training and prediction)
print(f"MSE: {mean_squared_error(y_test, y_pred):.4f}")
print(f"R-squared: {r2_score(y_test, y_pred):.4f}")
```
---
### 8. Variables in Global Scope
**Problem:** All variables (`df`, `X`, `y`, `scaler`, `model`, etc.) are defined in the global scope.
**Explanation:** For small scripts, this is acceptable. However, as code grows, it becomes harder to manage dependencies, increases the risk of naming collisions, and makes the code less reusable. Encapsulating logic into functions or classes is a best practice for modularity and maintainability.
**How to Fix (Example - basic function encapsulation):**
```python
import pandas as pd
from sklearn.preprocessing import StandardScaler
from sklearn.model_selection import train_test_split
from sklearn.linear_model import LinearRegression
from sklearn.metrics import mean_squared_error, r2_score
# Configuration constants
DATA_FILE = "housing.csv"
TARGET_COLUMN = "price"
TEST_SIZE_RATIO = 0.2
RANDOM_SEED = 42
def train_and_evaluate_model(data_file: str, target_column: str, test_size: float, random_state: int):
    """
    Trains a Linear Regression model on the given dataset and evaluates its performance.
    Handles basic preprocessing steps like missing values, categorical features, and scaling.
    """
    try:
        df = pd.read_csv(data_file)
    except FileNotFoundError:
        print(f"Error: '{data_file}' not found.")
        return
    # --- Basic EDA ---
    print("Dataset Info:")
    df.info()
    print("\nMissing values per column:")
    print(df.isnull().sum())
    # --- Preprocessing ---
    # 1. Handle Missing Values (simple imputation for numerical columns)
    for col in df.select_dtypes(include=['number']).columns:
        if df[col].isnull().any():
            df[col].fillna(df[col].median(), inplace=True)
    # 2. Separate features and target
    try:
        X = df.drop(target_column, axis=1)
        y = df[target_column]
    except KeyError:
        print(f"Error: '{target_column}' column not found.")
        return
    # 3. Handle Categorical Features (One-Hot Encoding)
    categorical_cols = X.select_dtypes(include=['object', 'category']).columns
    if not categorical_cols.empty:
        X = pd.get_dummies(X, columns=categorical_cols, drop_first=True)
    # 4. Split data into training and testing sets
    X_train, X_test, y_train, y_test = train_test_split(
        X, y, test_size=test_size, random_state=random_state
    )
    # 5. Scale features (fit only on training data, transform both)
    scaler = StandardScaler()
    X_train_scaled = scaler.fit_transform(X_train)
    X_test_scaled = scaler.transform(X_test)
    # --- Model Training ---
    model = LinearRegression()
    model.fit(X_train_scaled, y_train)
    # --- Prediction ---
    y_pred = model.predict(X_test_scaled)
    # --- Evaluation ---
    mse = mean_squared_error(y_test, y_pred)
    r2 = r2_score(y_test, y_pred)
    print(f"\n--- Model Evaluation ---")
    print(f"Mean Squared Error (MSE): {mse:.4f}")
    print(f"R-squared (R2): {r2:.4f}")
    return model # Optionally return the trained model
if __name__ == "__main__":
    trained_model = train_and_evaluate_model(
        DATA_FILE, TARGET_COLUMN, TEST_SIZE_RATIO, RANDOM_SEED
    )
    # You could now save the trained_model if it's not None
    # import joblib
    # if trained_model:
    #     joblib.dump(trained_model, 'linear_regression_model.pkl')
```
---
By addressing these points, the code becomes significantly more robust, maintainable, and adheres to better practices for machine learning projects.</t>
  </si>
  <si>
    <t>The code provided contains a form of data leakage due to the improper handling of the scaling step using `StandardScaler`.
### Where the Data Leakage Occurs:
1. **Scaling Before Splitting**: 
   - The scaling of features (`X_scaled = scaler.fit_transform(X)`) is applied to the entire dataset before splitting into training and test sets. This means that the scaling parameters (mean and standard deviation) are calculated using the full dataset, including the test set. 
### Why It Is a Problem:
- **Data Leakage with Test Information**: When the `StandardScaler` computes the mean and standard deviation from the entire dataset, it incorporates information from the test set. This allows the test set to inadvertently influence the training process because the model indirectly "sees" data from the test set during scaling. Consequently, the test set no longer serves as an unbiased evaluation of model performance since it influenced the scaling and, indirectly, the fitting of the model.
### How to Fix the Leakage:
To prevent data leakage, the scaling should only be fit on the training data, and then applied to both the training and test data separately. Here’s a corrected version of the pipeline: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X_train, X_test, y_train, y_test = train_test_split(
    X, y, test_size=0.2, random_state=42
)
scaler = StandardScaler()
X_train_scaled = scaler.fit_transform(X_train)
X_test_scaled = scaler.transform(X_test)
model = LinearRegression()
model.fit(X_train_scaled, y_train)
y_pred = model.predict(X_test_scaled)
print(f"MSE: {mean_squared_error(y_test, y_pred):.4f}")
```
In this revised version, the `StandardScaler` is fit only on `X_train`, and then these learned parameters are applied to transform `X_train` and `X_test` separately, thus maintaining the integrity of the test set as an unbiased evaluator of the model's performance. This approach ensures no information from the test set is used during the pre-processing phase.</t>
  </si>
  <si>
    <t>The provided Python machine learning pipeline code contains a form of data leakage.
### Details of the Leakage
The issue arises from the way the `StandardScaler` is applied to the features (`X`). Here’s the sequence of operations:
1. The entire dataset `X` is scaled using `scaler.fit_transform(X)` before the data is split into training and testing sets.
2. Only after the scaling is the dataset split into training and testing sets.
### Why This is a Problem
The preprocessing step (scaling in this case) should be based **only** on the training data. By fitting the `StandardScaler` on the entire dataset before the train-test split, the scaling parameters (mean and standard deviation) include information from both the training set and the test set. This leads to the following issues:
- **Data Leakage**: The model during training has been exposed to information from the test set through the scaling parameters. Thus, the model may perform unrealistically well during evaluation because it has indirectly "seen" the test data.
- **Unrealistic Performance Metrics**: As a result, the Mean Squared Error (MSE) reported might be lower than what would be achieved in a real-world scenario where the model is applied to unseen data. It gives a false sense of model performance.
### Correct Approach
To avoid data leakage, the scaling should be done only on the training data, and then the same scaling parameters should be applied to the test data:
```python
# Correct approach
scaler = StandardScaler()
X_train, X_test, y_train, y_test = train_test_split(
    X, y, test_size=0.2, random_state=42
)
X_train_scaled = scaler.fit_transform(X_train)
X_test_scaled = scaler.transform(X_test)
model = LinearRegression()
model.fit(X_train_scaled, y_train)
y_pred = model.predict(X_test_scaled)
print(f"MSE: {mean_squared_error(y_test, y_pred):.4f}")
```
In this corrected code, the `StandardScaler` is fitted only on the training set (`X_train`) and then used to transform both the training and test sets without introducing leakage from the test set. This approach ensures that the model evaluations are fair and reflective of how it would perform in actual deployment.</t>
  </si>
  <si>
    <t>## Data Leakage Analysis
### Verdict: **Data Leakage Present**
---
### Where the Leakage Occurs
The problem is on this specific line:
```python
scaler = StandardScaler()
X_scaled = scaler.fit_transform(X)  # ← Leakage happens here
```
`scaler.fit_transform(X)` is called on the **entire dataset** before the train/test split. This means the scaler computes its mean and standard deviation using **all rows**, including those that will later become the test set.
```python
# The split happens AFTER scaling — too late
X_train, X_test, y_train, y_test = train_test_split(
    X_scaled, y, test_size=0.2, random_state=42
)
```
---
### Why This Is a Problem
`StandardScaler` transforms each feature using:
$$x' = \frac{x - \mu}{\sigma}$$
When you fit on the full dataset, **μ and σ are computed using test set values**. The training process then benefits from this knowledge, however subtly. In production, you would only have access to statistics from past (training) data — not future observations.
**Practical consequences:**
- The model's reported MSE will be **optimistically biased** — it appears to generalize better than it actually does
- The pipeline cannot be faithfully reproduced at inference time, where the test distribution is unknown
- In datasets with strong outliers or distribution shift, the effect can be substantial
---
### Corrected Code
Fit the scaler **only on training data**, then apply it to both sets: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 1. Split BEFORE any fitting
X_train, X_test, y_train, y_test = train_test_split(
    X, y, test_size=0.2, random_state=42
)
# 2. Fit scaler on training data ONLY
scaler = StandardScaler()
X_train_scaled = scaler.fit_transform(X_train)  # learns μ and σ from train only
# 3. Apply the same (already-fitted) scaler to test data
X_test_scaled = scaler.transform(X_test)         # no fitting here — just transform
model = LinearRegression()
model.fit(X_train_scaled, y_train)
y_pred = model.predict(X_test_scaled)
print(f"MSE: {mean_squared_error(y_test, y_pred):.4f}")
```
---
### Better Yet: Use a Pipeline
`sklearn.pipeline.Pipeline` enforces this correct order automatically and prevents the mistake from recurring:
```python
from sklearn.pipeline import Pipeline
pipeline = Pipeline([
    ("scaler", StandardScaler()),
    ("model", LinearRegression())
])
pipeline.fit(X_train, y_train)          # scaler fits on X_train internally
y_pred = pipeline.predict(X_test)       # scaler only transforms X_test
print(f"MSE: {mean_squared_error(y_test, y_pred):.4f}")
```
This is the preferred pattern because the fit/transform boundary is **enforced structurally**, not just by convention.
---
### Summary
| Issue | Location | Effect |
|---|---|---|
| `fit_transform` on full `X` before split | Line 10 | Test set statistics leak into training |
| Correction | Split first, then `fit` on train, `transform` on test | Unbiased evaluation |</t>
  </si>
  <si>
    <t># Data Leakage Analysis
## ⚠️ DATA LEAKAGE DETECTED
This code contains **critical data leakage**. Here's the problem:
### The Issue
```python
scaler = StandardScaler()
X_scaled = scaler.fit_transform(X)  # ← FIT ON ENTIRE DATASET
X_train, X_test, y_train, y_test = train_test_split(
    X_scaled, y, test_size=0.2, random_state=42
)
```
**The scaler is fit on the entire dataset (`X`) before the train-test split.** This means:
1. **Statistics from test data leak into training**: The scaler computes mean and standard deviation using ALL data, including the test set
2. **Test data influences the model indirectly**: When the scaler transforms the training data, it uses statistics computed partially from the test set
3. **Unrealistic performance**: The model's reported MSE is artificially optimistic because the training data has been scaled with information about the test set
### Why This Is a Problem
In production, you'll only have access to statistics from your training data when scaling new predictions. The scaler will use different statistics, and the model will perform worse than your evaluation suggests.
---
## ✅ Corrected Code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X_train, X_test, y_train, y_test = train_test_split(
    X, y, test_size=0.2, random_state=42
)
# FIT SCALER ONLY ON TRAINING DATA
scaler = StandardScaler()
X_train_scaled = scaler.fit_transform(X_train)
X_test_scaled = scaler.transform(X_test)  # Transform only, don't fit
model = LinearRegression()
model.fit(X_train_scaled, y_train)
y_pred = model.predict(X_test_scaled)
print(f"MSE: {mean_squared_error(y_test, y_pred):.4f}")
```
### Key Changes:
- **Split first** → then fit the scaler
- **Fit on training data only** → `fit_transform(X_train)`
- **Transform test data** → `transform(X_test)` (no fit)
This ensures the test set remains completely unseen during scaler fitting and model training.</t>
  </si>
  <si>
    <t>Yes, this code **contains data leakage**.
### Where and Why Data Leakage Occurs
The data leakage occurs in this line:
```python
X_scaled = scaler.fit_transform(X)
```
And consequently, impacts the subsequent split:
```python
X_train, X_test, y_train, y_test = train_test_split(
    X_scaled, y, test_size=0.2, random_state=42
)
```
**Explanation:**
1.  **`scaler.fit_transform(X)`**: The `StandardScaler` calculates the mean and standard deviation for each feature across the *entire dataset* `X` (which includes both future training and testing data). It then uses these calculated statistics to transform all features.
2.  **`train_test_split(X_scaled, y, ...)`**: After `X` has been scaled using statistics derived from the full dataset, it is then split into training and testing sets.
**Why this is a problem:**
*   **Test Set Information in Training:** Because the mean and standard deviation parameters for scaling were learned from the *entire dataset* (including the test set), the training data (`X_train`) has been scaled using information that "peeked" at the test set.
*   **Unrealistic Evaluation:** When the model is trained on this "leaked" `X_train` and evaluated on `X_test` (which was also scaled using parameters influenced by itself and the training set), the reported `mean_squared_error` will likely be optimistically lower than what it would be in a real-world scenario. In a real-world deployment, your model would encounter truly unseen data, and the scaler would only have been `fit` on your training data.
The model's performance on the test set is, therefore, an overestimation of its true generalization ability because the scaling process implicitly provided information about the distribution of the test set to the training process.
### How to Fix It
To prevent this data leakage, the data split into training and testing sets must happen *before* any data transformation (like scaling or imputation) that learns parameters from the data. The scaler should be fitted *only* on the training data.
Here's the corrected version of the code: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 CORRECTED: Perform train-test split *before* scaling
X_train, X_test, y_train, y_test = train_test_split(
    X, y, test_size=0.2, random_state=42
)
scaler = StandardScaler()
# CORRECTED: Fit scaler ONLY on the training data
X_train_scaled = scaler.fit_transform(X_train)
# CORRECTED: Transform test data using the scaler *fitted on training data*
X_test_scaled = scaler.transform(X_test)
model = LinearRegression()
model.fit(X_train_scaled, y_train) # Train on scaled training data
y_pred = model.predict(X_test_scaled) # Predict on scaled test data
print(f"MSE: {mean_squared_error(y_test, y_pred):.4f}")
```</t>
  </si>
  <si>
    <t>The provided Python code for training a linear regression model on a housing dataset is generally well-structured, but there are a few issues and best practices to consider:
1. **Unverified "housing.csv" File Path:**
   - Ensure that the `housing.csv` file exists in the correct directory from where the script is being run. If it's located in a different directory, you'll need to specify the full path.
2. **Handling of Missing Data:**
   - The code does not handle missing values, which could lead to errors during scaling or model training. It would be wise to check for and handle missing data appropriately, such as using `df.dropna()`, `df.fillna()`, or imputing missing values.
3. **Feature Scaling:**
   - Scaling should generally happen after handling missing values and possibly encoding categorical variables if they exist. Ensure your dataset is clean and appropriately prepared before scaling.
4. **Data Leakage:**
   - Be cautious about inadvertently using test data in any way before it's appropriately segregated. The current code handles this properly, but it's worth noting in any extensions of this script.
5. **Non-Numeric Data:**
   - Validate that all features used (in `X`) are numeric or properly encoded as numeric before applying the `StandardScaler`.
6. **Print Statements for Debugging:**
   - While `print` statements are appropriate for quick checks, consider using a logging framework for more extensive scripts in production to manage output more effectively.
7. **Interpretability:**
   - Consider adding comments to clarify each section of the code for better maintainability, especially if this code is part of a larger codebase.
8. **Model Evaluation Metrics:**
   - Although Mean Squared Error (MSE) is a suitable evaluation metric, consider using additional metrics (like `r2_score`) for a more comprehensive evaluation of the model's performance.
9. **Random State Consistency:**
   - Ensure `random_state` is consistently used across model training and any related operations if you wish to reproduce results consistently. This code correctly sets `random_state` in `train_test_split`.
Addressing these points will improve the robustness and maintainability of your model training pipeline.</t>
  </si>
  <si>
    <t>The provided Python code generally follows a reasonable structure for data processing and model training, but there are several issues and potential improvements to consider:
1. **Directly Using CSV without Error Handling**:
    - The code uses `pd.read_csv("housing.csv")` to read the CSV file directly. If the file is not found, this will raise a `FileNotFoundError`. It’s a good practice to handle this with a try-except block or check if the file exists before reading it.
    ```python
    try:
        df = pd.read_csv("housing.csv")
    except FileNotFoundError:
        print("The file housing.csv was not found.")
        exit(1)
    ```
2. **Assuming Data Integrity**:
    - The code does not check for missing values in the `df` DataFrame, nor does it check the types and ranges of the features. If there are missing values or invalid data types, the model training can fail or produce incorrect results.
    ```python
    if df.isnull().any().any():
        print("Warning: Missing values detected in the DataFrame. Please handle them before proceeding.")
        # Options to handle missing data (drop, fill, etc.)
    ```
3. **Feature Scaling**:
    - Scaling features with `StandardScaler` is appropriate for linear regression when the features are on different scales. However, it’s important to ensure that the features do not contain any categorical variables or non-numeric types after dropping the target (`price`). If there are categorical variables, they should be encoded before scaling.
4. **Model Evaluation**:
    - The only metric used for evaluation is Mean Squared Error (MSE). While MSE is a common metric, it can be useful to include additional metrics (like R² score) for a more comprehensive evaluation of the model’s performance.
    ```python
    from sklearn.metrics import r2_score
    r2 = r2_score(y_test, y_pred)
    print(f"R² Score: {r2:.4f}")
    ```
5. **Inconsistent Random State**:
    - The `random_state=42` used in `train_test_split` makes your results reproducible, which is a good practice. However, if this code is part of a larger script, it should be clarified or made configurable if necessary.
6. **No Context on the Data**:
    - The code does not comment on or provide context for the data being used. Comments on what the features represent will enhance readability and maintainability.
7. **No Robustness in Model Prediction**:
    - The final predictions (`y_pred`) are computed without handling any edge cases that might arise during model prediction (though they depend on the data). If `X_test` were to contain unseen feature values or different scales, this could lead to issues.
8. **Variable Naming**:
    - While names like `X`, `y`, `df`, etc., are standard, more descriptive variable names could increase the clarity of the code. For example, `features` instead of `X` and `target` instead of `y`.
Here’s a revised snippet to address some of the mentioned issues:
```python
import pandas as pd
from sklearn.preprocessing import StandardScaler
from sklearn.model_selection import train_test_split
from sklearn.linear_model import LinearRegression
from sklearn.metrics import mean_squared_error, r2_score
# Handle potential file reading errors
try:
    df = pd.read_csv("housing.csv")
except FileNotFoundError:
    print("The file housing.csv was not found.")
    exit(1)
# Check for missing values
if df.isnull().any().any():
    print("Warning: Missing values detected in the DataFrame. Please handle them before proceeding.")
    # Handle missing data here if necessary
# Define features and target
features = df.drop("price", axis=1)
target = df["price"]
# Split the dataset
X_train, X_test, y_train, y_test = train_test_split(features, target, test_size=0.2, random_state=42)
# Scale features
scaler = StandardScaler()
X_train = scaler.fit_transform(X_train)
X_test = scaler.transform(X_test)
# Create and train the model
model = LinearRegression()
model.fit(X_train, y_train)
# Make predictions and evaluate
y_pred = model.predict(X_test)
print(f"MSE: {mean_squared_error(y_test, y_pred):.4f}")
print(f"R² Score: {r2_score(y_test, y_pred):.4f}")
```
These changes help make the code more robust, maintainable, and understandable.</t>
  </si>
  <si>
    <t>## Code Review
The code is reasonably structured but has several issues ranging from bugs to bad practices. Here's a thorough breakdown:
---
### 1. No Error Handling for File Loading
```python
# Current - will crash with an unhandled exception if file is missing
df = pd.read_csv("housing.csv")
# Better
import os
if not os.path.exists("housing.csv"):
    raise FileNotFoundError("housing.csv not found in the working directory")
df = pd.read_csv("housing.csv")
```
**Problem:** If the file doesn't exist or is malformed, the program crashes with a raw, uninformative traceback. At minimum, validate the file exists before attempting to read it.
---
### 2. No Validation That Target Column Exists
```python
# Current - KeyError if "price" column is absent
X = df.drop("price", axis=1)
y = df["price"]
# Better
if "price" not in df.columns:
    raise ValueError(f"Target column 'price' not found. Available columns: {df.columns.tolist()}")
```
**Problem:** If the CSV doesn't contain a `price` column, you get a cryptic `KeyError`. Explicit validation gives a much clearer error message.
---
### 3. No Handling of Missing Values
```python
# Current - silently passes NaNs into the scaler and model
X = df.drop("price", axis=1)
# Better
print(f"Missing values per column:\n{df.isnull().sum()}")
df = df.dropna()          # simplest option
# or
# df = df.fillna(df.median(numeric_only=True))  # imputation
```
**Problem:** `StandardScaler` and `LinearRegression` do not handle `NaN` values — they will either raise an error or, worse, silently produce incorrect results. Missing values must be addressed explicitly.
---
### 4. No Validation That Features Are Numeric
```python
# Current - StandardScaler will throw a cryptic ValueError on string columns
X_train = scaler.fit_transform(X_train)
# Better
non_numeric = X.select_dtypes(exclude=["number"]).columns.tolist()
if non_numeric:
    raise ValueError(f"Non-numeric columns found: {non_numeric}. Encode or drop them first.")
```
**Problem:** If any feature column is categorical or a string, `StandardScaler` will fail or produce garbage. Categorical features require encoding (e.g., `pd.get_dummies` or `OrdinalEncoder`) before scaling.
---
### 5. Data Leakage Risk — Scaler Fit Before Split (Not Present Here, But Worth Noting)
```python
# The current code correctly fits ONLY on training data — this is good
scaler = StandardScaler()
X_train = scaler.fit_transform(X_train)  # correct
X_test = scaler.transform(X_test)        # correct — no leakage
```
**Note:** This is done correctly. A common mistake is calling `fit_transform` on the full dataset before splitting, which leaks test-set statistics into training. The code avoids this — worth explicitly documenting with a comment so future maintainers don't "fix" it incorrectly.
---
### 6. MSE Is Reported Without RMSE or R²
```python
# Current - MSE alone is hard to interpret
print(f"MSE: {mean_squared_error(y_test, y_pred):.4f}")
# Better - report multiple metrics
from sklearn.metrics import r2_score
import numpy as np
mse = mean_squared_error(y_test, y_pred)
rmse = np.sqrt(mse)
r2 = r2_score(y_test, y_pred)
print(f"MSE:  {mse:.4f}")
print(f"RMSE: {rmse:.4f}")   # same units as target — more interpretable
print(f"R²:   {r2:.4f}")     # explains variance — model quality signal
```
**Problem:** MSE is in squared units of the target, making it hard to interpret in isolation. RMSE restores the original unit scale, and R² provides a normalized measure of model fit.
---
### 7. No Reproducibility or Configuration Management
```python
# Current - hardcoded values scattered through script
X_train, X_test, y_train, y_test = train_test_split(X, y, test_size=0.2, random_state=42)
# Better - define constants at the top of the file
TEST_SIZE = 0.2
RANDOM_STATE = 42
TARGET_COLUMN = "price"
DATA_PATH = "housing.csv"
```
**Problem:** Magic numbers and strings embedded in logic make the code harder to maintain and reuse. Centralizing configuration at the top makes changes straightforward.
---
### 8. No Model Persistence
```python
# After training, the model is simply discarded
model.fit(X_train, y_train)
# Better - save both the scaler and model together
import joblib
joblib.dump({"model": model, "scaler": scaler}, "housing_model.joblib")
```
**Problem:** A trained model that isn't saved has no production value. Critically, the **scaler must be saved alongside the model** — using a different scaler at inference time will silently corrupt predictions.
---
### Summary Table
| # | Issue | Severity |
|---|-------|----------|
| 1 | No file existence check | Medium |
| 2 | No target column validation | Medium |
| 3 | Missing values not handled | **High** |
| 4 | Non-numeric features not validated | **High** |
| 5 | Scaler fit/transform ordering | ✅ Correct |
| 6 | Only MSE reported | Low |
| 7 | Magic numbers/no config constants | Low |
| 8 | Model not persisted | Medium |
The most critical issues are **3 and 4** — they can cause silent data corruption or unexpected crashes that are difficult to diagnose without explicit guards.</t>
  </si>
  <si>
    <t># Code Review: Issues and Bugs
## 1. **No Error Handling for File Operations** ⚠️
```python
df = pd.read_csv("housing.csv")
```
**Problem:** If the file doesn't exist or is corrupted, the program crashes without a helpful error message.
**Fix:**
```python
try:
    df = pd.read_csv("housing.csv")
except FileNotFoundError:
    print("Error: housing.csv not found")
    exit(1)
except pd.errors.ParserError:
    print("Error: Invalid CSV format")
    exit(1)
```
---
## 2. **No Data Validation or Missing Value Handling** ⚠️
```python
X = df.drop("price", axis=1)
y = df["price"]
```
**Problem:** The code doesn't check for:
- Missing values (NaN)
- Duplicate rows
- Whether "price" column exists
- Data types
**Fix:**
```python
if "price" not in df.columns:
    raise ValueError("'price' column not found in dataset")
if df.isnull().any().any():
    print(f"Missing values found:\n{df.isnull().sum()}")
    df = df.dropna()  # or use imputation
```
---
## 3. **Data Leakage: Scaling Before Train/Test Split** ❌ **CRITICAL**
```python
X_train, X_test, y_train, y_test = train_test_split(X, y, ...)
scaler = StandardScaler()
X_train = scaler.fit_transform(X_train)
X_test = scaler.transform(X_test)
```
**Problem:** This is correct, but it's a common mistake. The code actually does this right, but it's worth highlighting that fitting the scaler on the entire dataset before splitting would be data leakage.
However, there's still a subtle issue: the scaler state isn't persisted if you need to scale new data later.
---
## 4. **No Model Evaluation Metrics** ⚠️
```python
print(f"MSE: {mean_squared_error(y_test, y_pred):.4f}")
```
**Problem:** MSE alone is insufficient for model evaluation. You should use:
- R² Score (interpretability)
- RMSE (same units as target)
- Train/Test comparison (overfitting detection)
**Fix:**
```python
from sklearn.metrics import mean_squared_error, r2_score, mean_absolute_error
import numpy as np
mse = mean_squared_error(y_test, y_pred)
rmse = np.sqrt(mse)
r2 = r2_score(y_test, y_pred)
mae = mean_absolute_error(y_test, y_pred)
print(f"RMSE: {rmse:.4f}")
print(f"MSE: {mse:.4f}")
print(f"MAE: {mae:.4f}")
print(f"R² Score: {r2:.4f}")
# Check for overfitting
train_pred = model.predict(X_train)
train_mse = mean_squared_error(y_train, train_pred)
print(f"Train MSE: {train_mse:.4f}, Test MSE: {mse:.4f}")
```
---
## 5. **No Handling of Categorical Variables** ⚠️
```python
X = df.drop("price", axis=1)
```
**Problem:** If the dataset contains categorical features, StandardScaler and LinearRegression won't handle them properly.
**Fix:**
```python
# Identify and encode categorical variables
categorical_cols = X.select_dtypes(include=['object']).columns
if len(categorical_cols) &gt; 0:
    X = pd.get_dummies(X, columns=categorical_cols, drop_first=True)
```
---
## 6. **No Feature Inspection or Outlier Detection** ⚠️
```python
X_train = scaler.fit_transform(X_train)
```
**Problem:** Extreme outliers can distort model performance. No check for them.
**Fix:**
```python
# Simple outlier detection
Q1 = X.quantile(0.25)
Q3 = X.quantile(0.75)
IQR = Q3 - Q1
outliers = ((X &lt; (Q1 - 1.5 * IQR)) | (X &gt; (Q3 + 1.5 * IQR))).any(axis=1)
print(f"Outliers found: {outliers.sum()} rows")
```
---
## 7. **Hardcoded Random State** ⚠️
```python
random_state=42
```
**Problem:** While good for reproducibility, this should be configurable for production code.
**Fix:**
```python
RANDOM_STATE = 42
X_train, X_test, y_train, y_test = train_test_split(
    X, y, test_size=0.2, random_state=RANDOM_STATE
)
```
---
## 8. **No Model Persistence** ⚠️
```python
model.fit(X_train, y_train)
```
**Problem:** The trained model isn't saved, so it's lost after execution.
**Fix:**
```python
import joblib
joblib.dump(model, 'model.pkl')
joblib.dump(scaler, 'scaler.pkl')
```
---
## 9. **No Comments or Documentation** ⚠️
The code lacks docstrings explaining what each section does.
---
## Summary Table
| Issue | Severity | Type |
|-------|----------|------|
| No error handling | Medium | Robustness |
| No data validation | High | Correctness |
| No evaluation metrics | High | Analysis |
| Categorical variables ignored | High | Correctness |
| No outlier detection | Medium | Quality |
| No model persistence | Medium | Usability |
| Missing documentation | Low | Maintainability |</t>
  </si>
  <si>
    <t>The provided Python code snippet is a good starting point for a machine learning workflow, but it contains several issues, bugs, and bad practices common in simplified examples that would cause problems in a real-world application.
Here's a breakdown of the problems:
1.  **Lack of Robust File Handling for `pd.read_csv`**
    *   **Problem**: The line `df = pd.read_csv("housing.csv")` assumes that `housing.csv` exists in the current working directory. If the file is not found, the script will crash with a `FileNotFoundError`, abruptly terminating the program.
    *   **Explanation**: In production code, it's crucial to handle such I/O errors gracefully, perhaps by using a `try-except` block, providing informative error messages, or offering alternative paths.
2.  **Hardcoded Column Names (`"price"`)**
    *   **Problem**: The column name `"price"` is hardcoded for both dropping features (`df.drop("price", axis=1)`) and selecting the target variable (`y = df["price"]`).
    *   **Explanation**: This makes the code brittle. If the dataset's schema changes (e.g., the target column is renamed to `"sale_price"` or `"target"`), the script will immediately break with a `KeyError`. It's better practice to either retrieve column names dynamically, use configuration variables, or validate column existence.
3.  **No Missing Value Imputation or Handling**
    *   **Problem**: The code does not check for or handle missing values (NaNs) in the dataset (`df`).
    *   **Explanation**:
        *   If `X_train` or `X_test` contains NaNs, `StandardScaler.fit_transform()` or `StandardScaler.transform()` will raise a `ValueError` (e.g., "Input contains NaN, infinity or a value too large for dtype('float64').").
        *   If `y_train` contains NaNs, `LinearRegression.fit()` will raise a `ValueError`.
        *   If `y_test` contains NaNs, `mean_squared_error()` will raise a `ValueError`.
    *   **Bad Practice**: In real-world datasets, missing values are common and must be addressed (e.g., by dropping rows/columns, imputing with mean/median/mode, or more sophisticated methods) *before* scaling and model training.
4.  **No Categorical Feature Handling**
    *   **Problem**: The code implicitly assumes that all columns in `X` (after dropping "price") are numeric and suitable for `StandardScaler` and `LinearRegression`.
    *   **Explanation**: If `housing.csv` contains categorical features (e.g., 'neighborhood' as text, 'has_garage' as boolean or object type), `StandardScaler` will likely raise a `TypeError` or `ValueError` if it cannot coerce them to numbers, or produce nonsensical results if they are implicitly converted. `LinearRegression` also expects numeric input.
    *   **Bad Practice**: Categorical features need to be properly encoded (e.g., using One-Hot Encoding, Label Encoding, or other techniques) *before* applying numerical transformations like scaling and feeding them to most machine learning models.
5.  **Blind Application of `StandardScaler`**
    *   **Problem**: `StandardScaler` is applied to *all* features in `X`.
    *   **Explanation**: While `StandardScaler` is often beneficial, there are cases where it might not be appropriate for certain features:
        *   **Binary features**: Scaling binary (0/1) features doesn't make much sense and can sometimes make interpretation harder.
        *   **Already scaled/normalized features**: If some features are already on a specific scale, applying `StandardScaler` again might not be necessary or beneficial.
        *   **Features with specific distributions**: For features with highly skewed distributions, other transformations (like log transformation) might be more appropriate *before* or *instead of* standardization.
    *   **Improvement**: A more robust preprocessing pipeline would allow for selective scaling or different types of transformations for different subsets of features.
6.  **Limited Data Validation**
    *   **Problem**: Beyond the implicit checks for column names (which would cause a `KeyError` if not found), there's no explicit validation of the loaded data.
    *   **Explanation**: Good practice often involves checking data types, ranges, uniqueness constraints, or other data quality aspects after loading to ensure the data is in an expected format before proceeding with modeling.
7.  **No Pipeline Integration (Minor for this simple script, but good practice)**
    *   **Problem**: The preprocessing steps (scaling) and model training are sequential but not encapsulated in an `sklearn.pipeline.Pipeline`.
    *   **Explanation**: While not a bug in this specific code (as `fit_transform` on train and `transform` on test correctly prevents data leakage), using `sklearn.pipeline.Pipeline` makes the workflow cleaner, more organized, and prevents potential errors, especially as the number of preprocessing steps grows. It also simplifies saving and loading the entire model with its transformations.
In summary, for a simple demonstration, the code works. However, for any real-world application, it would need significant enhancements to handle data quality issues, generalize to different datasets, and be more robust to common data-related problems.</t>
  </si>
  <si>
    <t>The provided code does not contain any data leakage issues. Here are the reasons:
1. **Data Splitting**: The data is split into training and test sets using `train_test_split` before any transformation or model training occurs. This ensures that the test set remains unseen during the training phase.
2. **Feature Scaling**: The `StandardScaler` is fitted only to the training data (`X_train`) using `scaler.fit_transform(X_train)`. The transformation is then applied to both the training and test datasets with `scaler.transform(X_test)`. This is correct practice because the scaler is not fit on the test data, preventing any information leakage from the test set into the training process.
3. **Model Training**: The `LinearRegression` model is trained only on the `X_train` and `y_train`, which means it does not have access to the test data during training.
4. **Prediction and Evaluation**: The predictions (`y_pred`) are made on the `X_test`, and the evaluation metric (mean squared error) is calculated using the true test labels (`y_test`). This follows a typical evaluation process and does not introduce any data leakage.
Since all transformations and model training/evaluation steps are conducted in a manner that keeps the test set separate and unseen until the final prediction, the pipeline does not suffer from data leakage. It respects the boundary between training and test data, which is crucial for maintaining the integrity of the evaluation.</t>
  </si>
  <si>
    <t>The provided Python machine learning pipeline code appears to be free from data leakage. Here is an analysis of the key components of the pipeline:
1. **Data Splitting**: The dataset is split into training and testing sets using `train_test_split` before any preprocessing is applied. This is crucial because it ensures that the model is trained solely on the training data and evaluated on the unseen test data. The `random_state` parameter is set to ensure reproducibility in the splits.
2. **Feature Scaling**: The `StandardScaler` is fitted only to the training data (`X_train`) using `scaler.fit_transform(X_train)`. This means that the calculated mean and standard deviation for scaling are derived exclusively from the training set, preventing any information from the test set from influencing the training process. The scaling is then applied to the test set using `scaler.transform(X_test)`, which is the correct approach to avoid leakage.
3. **Model Fitting and Prediction**: The model is trained on the scaled training data (`X_train` and `y_train`) and predictions are made on the scaled test data (`X_test`). This workflow maintains a clear separation between training and testing.
4. **Evaluation**: The performance of the model is evaluated using mean squared error (MSE) on the test set, which is appropriate for assessing how well the model generalizes to unseen data.
### Conclusion
There are no indicators of data leakage in this machine learning pipeline. The separation of training and testing data, fitting the scaler only to the training data, and ensuring the evaluation is done on the test set confirm that the implementation is robust against leakage. Everything follows best practices for preventing data leakage in machine learning pipelines.</t>
  </si>
  <si>
    <t>## Code Review: Data Leakage Analysis
### Verdict: **No Data Leakage Present**
This pipeline is correctly structured. Here is a breakdown of why each step is sound.
---
### What the Code Does Correctly
**1. Train/Test Split Happens First**
```python
X_train, X_test, y_train, y_test = train_test_split(
    X, y, test_size=0.2, random_state=42
)
```
The data is split **before** any transformation is applied. This is the critical ordering requirement.
**2. Scaler is Fit Only on Training Data**
```python
scaler = StandardScaler()
X_train = scaler.fit_transform(X_train)  # Learns mean/std from training data only
X_test = scaler.transform(X_test)        # Applies training statistics to test data
```
This is the correct pattern. The scaler learns the mean and standard deviation **exclusively from `X_train`**, so no test set information influences the scaling parameters. The test set is only transformed using those pre-learned statistics.
**3. Model is Fit Only on Training Data**
```python
model.fit(X_train, y_train)
```
The model never sees `X_test` or `y_test` during training.
---
### The Most Common Mistake This Code Avoids
The classic leakage error would look like this:
```python
# WRONG - do not do this
scaler = StandardScaler()
X = scaler.fit_transform(X)  # Fit on ALL data before splitting
X_train, X_test, y_train, y_test = train_test_split(X, y, ...)
```
This would leak test set statistics (mean, variance) into the scaler, giving an **overly optimistic MSE** because the model indirectly "knows" something about the test distribution.
---
### Minor Recommendations (Not Leakage Issues)
While the code is leakage-free, consider these improvements for production use:
```python
from sklearn.pipeline import Pipeline
# Encapsulates the scaler+model together, making leakage structurally impossible
# and simplifying cross-validation if you add it later
pipeline = Pipeline([
    ("scaler", StandardScaler()),
    ("model", LinearRegression())
])
pipeline.fit(X_train, y_train)
y_pred = pipeline.predict(X_test)
```
Using `Pipeline` is a best practice because:
- It enforces correct fit/transform ordering automatically
- It makes cross-validation (e.g., `cross_val_score`) leakage-safe without extra thought
- It simplifies deployment by packaging preprocessing with the model
---
### Summary
| Check | Status |
|---|---|
| Split before scaling | ✅ Correct |
| Scaler fit on train only | ✅ Correct |
| Model fit on train only | ✅ Correct |
| Target leakage in features | ✅ None apparent |
| **Overall leakage verdict** | ✅ **Clean** |</t>
  </si>
  <si>
    <t># Data Leakage Review
**Status: No data leakage detected** ✓
This code is **free of data leakage**. The pipeline correctly handles the train-test split and preprocessing steps.
## Why this code is correct:
1. **Train-test split happens first** (line 10-13)
   - The data is split before any preprocessing
   - This ensures test data remains completely isolated during model training
2. **Scaler is fit only on training data** (line 15)
   - `scaler.fit_transform(X_train)` computes mean and standard deviation using only training data
   - The scaler parameters are learned from training data only
3. **Test data uses pre-fitted scaler** (line 16)
   - `scaler.transform(X_test)` applies the training-derived parameters to test data
   - No information from test data influences the transformation
4. **Model training uses only training data** (line 18-19)
   - Model is fit on `X_train` and `y_train`
   - Predictions are made on held-out `X_test`
## Key principle demonstrated:
The golden rule of avoiding data leakage is being followed: **any statistic or parameter learned from the data should be computed using only the training set, then applied to the test set.**
This code would serve as a good template for proper machine learning workflow.</t>
  </si>
  <si>
    <t>This Python machine learning pipeline code is **free of data leakage**.
Here's a breakdown of why it avoids common data leakage pitfalls:
1.  **Train-Test Split First:**
    ```python
    X_train, X_test, y_train, y_test = train_test_split(
        X, y, test_size=0.2, random_state=42
    )
    ```
    This is the most crucial step. The data is split into training and testing sets *before* any preprocessing or model training occurs. This ensures that the test set remains completely unseen by the model during its training phase.
2.  **Scaler Fitted Only on Training Data:**
    ```python
    scaler = StandardScaler()
    X_train = scaler.fit_transform(X_train)
    X_test = scaler.transform(X_test)
    ```
    The `StandardScaler` is `fit` *only* on `X_train`. This means the mean and standard deviation used for scaling are calculated exclusively from the training data. The `transform` method is then applied to both `X_train` and `X_test` using these parameters derived *solely from the training set*. This is the correct way to scale data and prevents information from the test set (e.g., its mean or standard deviation) from influencing the training process.
    *   **What would be leakage here?** If you had done `scaler.fit_transform(X)` (fitting on the entire dataset `X` before splitting) or `scaler.fit_transform(X_test)` (fitting on the test set), that would be data leakage.
3.  **Model Trained Only on Training Data:**
    ```python
    model = LinearRegression()
    model.fit(X_train, y_train)
    ```
    The `LinearRegression` model is trained exclusively using `X_train` and `y_train`. It does not have access to any information from `X_test` or `y_test` during its learning phase.
    *   **What would be leakage here?** If you had done `model.fit(X, y)` (fitting on the entire dataset before splitting), that would be direct data leakage.
In summary, the code correctly isolates the test set and performs all data-dependent operations (feature scaling parameter calculation, model training) exclusively on the training set, ensuring a robust and unbiased evaluation of the model's performance on unseen data.</t>
  </si>
  <si>
    <t>The given Python code is mostly correct, but there are a few potential issues, bugs, and areas of improvement:
1. **Missing Handling of Missing Values**: 
   - If there are any missing values in the DataFrame, `MinMaxScaler` and `SVR` will likely fail. It’s good practice to check for and handle missing values in your dataset before proceeding with scaling and model training.
2. **Feature and Target Separation**:
   - The code separates features (X) and target (y) directly from the DataFrame, assuming all relevant data is available and correctly labeled. While this might work under ideal conditions, checking for the presence and consistency of these columns before processing is a better practice.
3. **Column Presence Assumption**:
   - The code assumes that all the specified columns (“temperature”, “humidity”, “wind_speed”, “pressure”) are present in the dataset. It is safer to verify this, especially when working with a dynamically changing dataset.
4. **Scaler Fitting and Transformation (Not a bug but worth noting)**:
   - The MinMaxScaler is fitted and transformed on the entire dataset before the train-test split. This is generally okay but note that in situations with the potential for data leakage (e.g., time series), you’d want to fit the scaler only on the training data.
5. **Random State and Reproducibility**:
   - While the `random_state` is set for the `train_test_split` function to ensure reproducibility of the split, it might be beneficial to ensure consistent results by also setting a random seed globally if you are planning more random processes elsewhere in a larger script.
6. **Error Handling during File Read**:
   - It’s good practice to include error handling (e.g., try-except block) when reading a file. If the file is missing or there is a read error, the code will currently crash without a helpful message.
7. **Model Evaluation**:
   - The code uses the R² score for evaluation, which is fine, but be aware that R² alone might not be enough to assess the model’s performance comprehensively. Consider complementing it with other metrics if applicable or necessary for the specific use case.
8. **Assumption of Data Scale**:
   - The use of an `SVR` model with `MinMaxScaler` might implicitly assume that the data distribution is not heavily affected by outliers, as this could skew results. Consider checking data distribution preemptively.
9. **Print Statement**:
   - The print statement is simple and works in this context, but in more extensive systems, consider using logging instead, for better control over how output is handled and routed.
By addressing these points, the code can become more robust, maintainable, and production-ready.</t>
  </si>
  <si>
    <t>The provided Python code is a straightforward implementation of a Support Vector Regression (SVR) model using the `scikit-learn` library on a dataset presumably related to energy consumption. While the code is functional, there are several potential issues, bugs, and bad practices that can be identified. Here's a review of those:
1. **Missing Error Handling for File Reading**:
   - **Issue**: If the file `energy.csv` does not exist or is not in the correct format, `pd.read_csv` will throw an error and halt execution.
   - **Suggestion**: Wrap the file reading in a try-except block to handle potential exceptions gracefully. This improves robustness.
   ```python
   try:
       df = pd.read_csv("energy.csv")
   except FileNotFoundError:
       print("Error: The file 'energy.csv' was not found.")
       exit()
   ```
2. **Assuming Columns Exist in the DataFrame**:
   - **Issue**: The code assumes that the specified columns `["temperature", "humidity", "wind_speed", "pressure"]` and `["energy_consumption"]` exist in the DataFrame. If any of these columns are missing, it will throw a `KeyError`.
   - **Suggestion**: Check for column existence before proceeding and provide a meaningful error message if any are missing.
   ```python
   required_columns = ["temperature", "humidity", "wind_speed", "pressure", "energy_consumption"]
   missing_columns = [col for col in required_columns if col not in df.columns]
   if missing_columns:
       print(f"Error: Missing columns: {missing_columns}")
       exit()
   ```
3. **Normalization without Knowledge of Train-Test Split**:
   - **Issue**: The normalization is applied on the entire dataset (`X_normalized = scaler.fit_transform(X)`), which can lead to data leakage because the information from the test set is indirectly being used to transform the training set.
   - **Suggestion**: Fit the scaler on the training set only and then transform both the training and test sets separately.
   ```python
   scaler = MinMaxScaler()
   X_train = scaler.fit_transform(X_train)
   X_test = scaler.transform(X_test)
   ```
4. **No Evaluation of Model Performance Beyond R² Score**:
   - **Issue**: The code only reports the R² score. While R² is a good metric, additional metrics such as Mean Absolute Error (MAE) or Mean Squared Error (MSE) can provide more insight into model performance.
   - **Suggestion**: Add more metrics to evaluate the model, ensuring a more comprehensive performance assessment.
   ```python
   from sklearn.metrics import mean_absolute_error, mean_squared_error
   print(f"R² Score: {r2_score(y_test, y_pred):.4f}")
   print(f"Mean Absolute Error: {mean_absolute_error(y_test, y_pred):.4f}")
   print(f"Mean Squared Error: {mean_squared_error(y_test, y_pred):.4f}")
   ```
5. **Hardcoded Random State**:
   - **Issue**: The random state for train-test split is hardcoded to `7`, which could lead to non-reproducibility if different random seeds are desired in different experiments.
   - **Suggestion**: Either make it a variable that can be easily changed or allow it to be passed as a parameter to a function if the code is modularized.
6. **Model Configuration Choices**:
   - **Issue**: The choice of the SVR configuration (like the kernel type) is not explained. A user not familiar with the model won't know why the 'rbf' kernel was chosen.
   - **Suggestion**: Add comments to explain why certain parameter choices are made or consider allowing them to be set as parameters in functions for flexibility.
In summary, while the code will execute and potentially yield results, the above improvements would enhance its robustness, usability, and clarity, ensuring it is more maintainable and comprehensible.</t>
  </si>
  <si>
    <t>## Code Review
The code is functional and reasonably clean, but has several issues ranging from critical data leakage to missing best practices.
---
### 1. Data Leakage (Critical Bug)
The scaler is fit on the **entire dataset** before splitting, which leaks information from the test set into the training process.
```python
# ❌ Problematic: scaler learns from test data statistics
scaler = MinMaxScaler()
X_normalized = scaler.fit_transform(X)  # fits on ALL data
X_train, X_test, y_train, y_test = train_test_split(...)
```
```python
# ✅ Correct: fit scaler ONLY on training data
X_train, X_test, y_train, y_test = train_test_split(
    X, y, test_size=0.25, random_state=7
)
scaler = MinMaxScaler()
X_train_normalized = scaler.fit_transform(X_train)  # fit on train only
X_test_normalized = scaler.transform(X_test)         # transform test only
```
---
### 2. No Input Validation or Error Handling
The code assumes the CSV loads correctly and contains the expected columns, which will produce confusing errors if either assumption fails.
```python
# ❌ Problematic: silent failures or cryptic errors
df = pd.read_csv("energy.csv")
X = df[["temperature", "humidity", "wind_speed", "pressure"]]
```
```python
# ✅ Correct: validate early and clearly
import os
if not os.path.exists("energy.csv"):
    raise FileNotFoundError("energy.csv not found")
df = pd.read_csv("energy.csv")
required_columns = ["temperature", "humidity", "wind_speed", "pressure", "energy_consumption"]
missing = set(required_columns) - set(df.columns)
if missing:
    raise ValueError(f"Missing columns: {missing}")
```
---
### 3. Missing Data Not Handled
No check for null values, which SVR cannot handle and will raise an error or silently produce poor results.
```python
# ❌ Problematic: missing values will crash SVR
X = df[["temperature", "humidity", "wind_speed", "pressure"]]
```
```python
# ✅ Correct: check and handle missing values explicitly
print(f"Missing values:\n{df[required_columns].isnull().sum()}")
# Choose an appropriate strategy — don't blindly fill without understanding the data
X = df[required_columns[:-1]].dropna()  # or use imputation
y = df.loc[X.index, "energy_consumption"]
```
---
### 4. SVR Hyperparameters Left at Defaults
Default SVR hyperparameters (`C=1.0`, `epsilon=0.1`, `gamma='scale'`) are rarely optimal. This is a bad practice in any non-trivial use case.
```python
# ❌ Problematic: no tuning, likely suboptimal performance
model = SVR(kernel="rbf")
```
```python
# ✅ Correct: use cross-validated hyperparameter search
from sklearn.model_selection import GridSearchCV
param_grid = {
    "C": [0.1, 1, 10, 100],
    "epsilon": [0.01, 0.1, 0.5],
    "gamma": ["scale", "auto"]
}
model = GridSearchCV(SVR(kernel="rbf"), param_grid, cv=5, scoring="r2", n_jobs=-1)
model.fit(X_train_normalized, y_train)
print(f"Best parameters: {model.best_params_}")
```
---
### 5. Single Metric Evaluation is Insufficient
R² alone can be misleading — a model can have a decent R² while still having large absolute errors.
```python
# ❌ Problematic: incomplete evaluation
print(f"R2 Score: {r2_score(y_test, y_pred):.4f}")
```
```python
# ✅ Correct: report multiple complementary metrics
from sklearn.metrics import mean_absolute_error, mean_squared_error
import numpy as np
print(f"R² Score:  {r2_score(y_test, y_pred):.4f}")
print(f"MAE:       {mean_absolute_error(y_test, y_pred):.4f}")
print(f"RMSE:      {np.sqrt(mean_squared_error(y_test, y_pred)):.4f}")
```
---
### 6. No Reproducibility for Data Split Only
`random_state` is set in `train_test_split` but not for anything else. This is inconsistent and insufficient if more randomness is introduced later (e.g., in cross-validation).
```python
# ✅ Better practice: define a seed constant used everywhere
RANDOM_STATE = 7
X_train, X_test, y_train, y_test = train_test_split(
    X, y, test_size=0.25, random_state=RANDOM_STATE
)
```
---
### 7. No Model or Scaler Persistence
The trained model and scaler are discarded after the script ends, making the code unusable in production.
```python
# ✅ Save both the scaler and model together
import joblib
joblib.dump({"model": model, "scaler": scaler}, "svr_pipeline.pkl")
# Or use a sklearn Pipeline to bundle them properly
from sklearn.pipeline import Pipeline
pipeline = Pipeline([
    ("scaler", MinMaxScaler()),
    ("model", SVR(kernel="rbf"))
])
pipeline.fit(X_train, y_train)
joblib.dump(pipeline, "svr_pipeline.pkl")
```
Using a `Pipeline` also **automatically resolves the data leakage issue** from point 1.
---
## Summary Table
| # | Issue | Severity |
|---|-------|----------|
| 1 | Data leakage from pre-split scaling | 🔴 Critical |
| 2 | No input validation or error handling | 🔴 High |
| 3 | Missing values not handled | 🔴 High |
| 4 | No hyperparameter tuning | 🟡 Medium |
| 5 | Insufficient model evaluation | 🟡 Medium |
| 6 | Inconsistent reproducibility | 🟢 Low |
| 7 | No model persistence | 🟢 Low |</t>
  </si>
  <si>
    <t># Code Review: Issues and Problems
## 1. **Target Variable Not Normalized (Critical)**
```python
X_normalized = scaler.fit_transform(X)
# y is NOT normalized
```
**Problem:** The features are normalized to [0,1] range, but the target variable `y` is left in its original scale. This creates an inconsistency and can lead to:
- Poor model performance for SVR (which is distance-based)
- Difficulty interpreting coefficients
- Suboptimal hyperplane fitting
**Fix:**
```python
scaler_X = MinMaxScaler()
scaler_y = MinMaxScaler()
X_normalized = scaler_X.fit_transform(X)
y_normalized = scaler_y.fit_transform(y.values.reshape(-1, 1)).ravel()
X_train, X_test, y_train, y_test = train_test_split(
    X_normalized, y_normalized, test_size=0.25, random_state=7
)
```
---
## 2. **No Error Handling (Moderate)**
```python
df = pd.read_csv("energy.csv")
```
**Problem:** No validation that:
- File exists
- File contains required columns
- Data is valid/complete
**Fix:**
```python
try:
    df = pd.read_csv("energy.csv")
    required_cols = ["temperature", "humidity", "wind_speed", "pressure", "energy_consumption"]
    if not all(col in df.columns for col in required_cols):
        raise ValueError(f"Missing required columns: {required_cols}")
except FileNotFoundError:
    print("Error: energy.csv not found")
    exit(1)
```
---
## 3. **Missing Data Validation (Moderate)**
```python
X = df[["temperature", "humidity", "wind_speed", "pressure"]]
y = df["energy_consumption"]
```
**Problem:** No check for:
- NaN/null values
- Infinite values
- Duplicate rows
**Fix:**
```python
if X.isnull().any().any() or y.isnull().any():
    print("Warning: Missing values detected")
    df = df.dropna()
```
---
## 4. **No Train/Test Set Validation (Moderate)**
```python
y_pred = model.predict(X_test)
print(f"R2 Score: {r2_score(y_test, y_pred):.4f}")
```
**Problem:** 
- Only evaluates on test set (no training performance check)
- No cross-validation
- Can't detect overfitting/underfitting
- Single metric insufficient for regression
**Fix:**
```python
from sklearn.metrics import mean_squared_error, mean_absolute_error
y_train_pred = model.predict(X_train)
train_r2 = r2_score(y_train, y_train_pred)
test_r2 = r2_score(y_test, y_pred)
print(f"Train R2: {train_r2:.4f}")
print(f"Test R2:  {test_r2:.4f}")
print(f"RMSE: {np.sqrt(mean_squared_error(y_test, y_pred)):.4f}")
print(f"MAE:  {mean_absolute_error(y_test, y_pred):.4f}")
```
---
## 5. **No Hyperparameter Tuning (Moderate)**
```python
model = SVR(kernel="rbf")
```
**Problem:** Uses default hyperparameters (C=1.0, gamma='scale', epsilon=0.1) without optimization
**Fix:**
```python
from sklearn.model_selection import GridSearchCV
param_grid = {
    'C': [0.1, 1, 10, 100],
    'gamma': ['scale', 'auto', 0.001, 0.01],
    'epsilon': [0.01, 0.1, 0.5]
}
grid = GridSearchCV(SVR(kernel="rbf"), param_grid, cv=5)
grid.fit(X_train, y_train)
model = grid.best_estimator_
```
---
## 6. **Inconsistent Scaler Usage (Moderate)**
```python
scaler = MinMaxScaler()
X_normalized = scaler.fit_transform(X)
```
**Problem:** Scaler is fit on ALL data before train/test split → **data leakage**. Test set statistics influence training.
**Fix:**
```python
# Split FIRST, then fit scaler only on training data
X_train, X_test, y_train, y_test = train_test_split(
    X, y, test_size=0.25, random_state=7
)
scaler = MinMaxScaler()
X_train = scaler.fit_transform(X_train)
X_test = scaler.transform(X_test)  # Use fit scaler, don't refit
```
---
## 7. **Missing Imports (Minor)**
```python
# Missing if you implement suggestions:
import numpy as np
from sklearn.model_selection import GridSearchCV
```
---
## Summary Table
| Issue | Severity | Impact |
|-------|----------|--------|
| Target not normalized | Critical | Poor model performance |
| Data leakage (scaler) | Critical | Optimistic evaluation |
| No error handling | Moderate | Runtime crashes |
| Missing data validation | Moderate | Incorrect results |
| Limited evaluation metrics | Moderate | Incomplete assessment |
| No hyperparameter tuning | Moderate | Suboptimal performance |
| Missing imports | Minor | Runtime errors if extended |</t>
  </si>
  <si>
    <t>This Python code provides a basic machine learning workflow using an SVR model. While it runs, it contains several issues, bad practices, and areas for improvement that are common in initial drafts of ML scripts.
Here's a breakdown of the problems:
---
### Issues, Bugs, and Bad Practices Identified:
1.  **Hardcoded Filename and Column Names:**
    *   `df = pd.read_csv("energy.csv")`
    *   `X = df[["temperature", "humidity", "wind_speed", "pressure"]]`
    *   `y = df["energy_consumption"]`
    *   **Problem:** The filename ("energy.csv"), feature names, and target column name are hardcoded directly into the script. This makes the code inflexible and hard to reuse for different datasets or even slight variations in the current dataset (e.g., if a column name changes).
    *   **Bad Practice:** Makes the code less modular and adaptable.
2.  **Lack of Error Handling for File Loading:**
    *   `df = pd.read_csv("energy.csv")`
    *   **Problem:** If "energy.csv" does not exist in the specified path, the script will crash with a `FileNotFoundError`.
    *   **Bad Practice:** Robust code should anticipate potential issues like missing files.
3.  **No Initial Data Inspection/Validation:**
    *   The code immediately loads data and proceeds to model.
    *   **Problem:** There are no calls to `df.head()`, `df.info()`, `df.describe()`, or `df.isnull().sum()`. Without these, you don't know:
        *   The structure of the data (correct columns, types).
        *   Presence of missing values (NaNs), which can break or mislead models if not handled.
        *   Data distributions, outliers, or potential issues that could affect scaling or model performance.
    *   **Bad Practice:** Skipping initial data exploration can lead to hidden bugs, incorrect assumptions, or suboptimal models.
4.  **No Hyperparameter Tuning:**
    *   `model = SVR(kernel="rbf")`
    *   **Problem:** The SVR model is initialized with its default hyperparameters (`kernel='rbf'`, `C=1.0`, `epsilon=0.1`, `gamma='scale'`). These defaults are rarely optimal for a given dataset. Parameters like `C` and `gamma` (for the RBF kernel) significantly impact the model's performance and generalization ability.
    *   **Bad Practice:** Using default hyperparameters without any tuning (e.g., GridSearchCV or RandomizedSearchCV) means the model is likely underperforming. The reported R2 score is therefore not representative of the best possible performance this SVR could achieve on this data.
5.  **No Cross-Validation for Robust Evaluation:**
    *   The model is trained and evaluated on a single train-test split.
    *   **Problem:** The R2 score derived from a single train-test split can be highly dependent on the particular samples that ended up in the test set. It might not be a reliable estimate of the model's true performance on unseen data.
    *   **Bad Practice:** Using techniques like K-Fold cross-validation provides a more robust and less biased estimate of the model's generalization performance. It's also essential for proper hyperparameter tuning.
6.  **Only One Evaluation Metric (R2 Score):**
    *   `print(f"R2 Score: {r2_score(y_test, y_pred):.4f}")`
    *   **Problem:** While R2 is a good metric for regression, relying solely on it can be misleading. For instance, a high R2 doesn't tell you the magnitude of the errors. Other metrics like Mean Absolute Error (MAE) or Root Mean Squared Error (RMSE) provide different perspectives on model performance (e.g., average error magnitude, penalty for larger errors).
    *   **Bad Practice:** A comprehensive evaluation usually involves multiple metrics.
7.  **Lack of Modularity/Functions:**
    *   The entire script is a single block of sequential code.
    *   **Problem:** This makes the code less readable, harder to debug, and impossible to reuse parts of it without copy-pasting. For example, if you wanted to try a different scaler or model, you'd have to modify the existing monolithic block.
    *   **Bad Practice:** Encapsulating logical steps (e.g., `load_data`, `preprocess_data`, `train_model`, `evaluate_model`) into functions improves maintainability, readability, and testability.
8.  **No Visualization of Predictions/Residuals:**
    *   The code only prints a single metric.
    *   **Problem:** A numerical score doesn't tell you *how* the model is making errors. Plotting `y_test` vs `y_pred` or a histogram of residuals (`y_test - y_pred`) can reveal patterns in errors (e.g., systematic under/over-prediction, problems with specific ranges of values, heteroscedasticity).
    *   **Bad Practice:** Visualizing model performance provides deeper insights than just a numerical metric.
9.  **No `if __name__ == "__main__":` guard:**
    *   The code runs directly from the top level.
    *   **Problem:** If this script were to be imported as a module into another Python script, all the code would execute upon import, which is generally undesirable.
    *   **Bad Practice:** It's good practice to wrap top-level script execution in this guard to prevent unintended execution when imported.
10. **`X_normalized` is a NumPy array, not a DataFrame:**
    *   `X_normalized = scaler.fit_transform(X)`
    *   **Problem:** `MinMaxScaler` returns a NumPy array. While this is fine for `train_test_split` and `SVR`, it means that the column names are lost. If you needed to inspect features by name after normalization (e.g., for feature importance, or specific debugging), it would be harder.
    *   **Minor Issue:** Not a critical bug, but sometimes useful to retain DataFrame structure.
---
### Recommended Improvements/Refactor:
Here's how the code could be improved by addressing the identified issues:
```python
import pandas as pd
from sklearn.preprocessing import MinMaxScaler
from sklearn.model_selection import train_test_split, GridSearchCV, KFold
from sklearn.svm import SVR
from sklearn.metrics import r2_score, mean_absolute_error, mean_squared_error
import matplotlib.pyplot as plt
import seaborn as sns
import numpy as np # For sqrt in RMSE
def load_and_inspect_data(filepath="energy.csv"):
    """Loads data, handles potential errors, and performs initial inspection."""
    try:
        df = pd.read_csv(filepath)
    except FileNotFoundError:
        print(f"Error: The file '{filepath}' was not found.")
        return None
    except Exception as e:
        print(f"An error occurred while loading the data: {e}")
        return None
    print("--- Initial Data Inspection ---")
    print(f"Shape: {df.shape}")
    print("\nFirst 5 rows:")
    print(df.head())
    print("\nData Info:")
    df.info()
    print("\nDescriptive Statistics:")
    print(df.describe())
    print("\nMissing Values:")
    print(df.isnull().sum())
    print("-" * 30)
    # Basic check for missing values - simple drop for now, more complex handling might be needed
    if df.isnull().sum().any():
        print("Warning: Missing values found. Dropping rows with NaNs.")
        df.dropna(inplace=True)
        print(f"New shape after dropping NaNs: {df.shape}")
    return df
def preprocess_data(df, feature_cols, target_col):
    """Selects features/target and scales features."""
    if not all(col in df.columns for col in feature_cols + [target_col]):
        print("Error: One or more specified feature/target columns not found in DataFrame.")
        return None, None, None
    X = df[feature_cols]
    y = df[target_col]
    scaler = MinMaxScaler()
    # It's good practice to fit the scaler only on the training data later
    # For now, we'll return the fitted scaler and transform X
    X_scaled = scaler.fit_transform(X)
    # Optionally, convert back to DataFrame to retain column names
    # X_scaled = pd.DataFrame(X_scaled, columns=feature_cols, index=X.index)
    return X_scaled, y, scaler # Return scaler if needed for inverse_transform later
def train_and_evaluate_model(X, y, feature_cols):
    """Splits data, trains SVR with hyperparameter tuning, and evaluates."""
    # Data Split
    X_train, X_test, y_train, y_test = train_test_split(
        X, y, test_size=0.25, random_state=42 # Changed random_state for variety
    )
    # Scale only the training features
    # Note: If X was already scaled, this is redundant.
    # The 'preprocess_data' above already scaled X.
    # A cleaner approach would be to scale *after* train_test_split if the scaler
    # was not already fitted on the full dataset.
    # However, since X was scaled by `fit_transform` on the whole X in preprocess_data,
    # we'll proceed with X_train/X_test as already scaled.
    # For a stricter approach, the scaler should be fit on X_train only.
    # Here's how it would look if we didn't scale X initially:
    # scaler = MinMaxScaler()
    # X_train_scaled = scaler.fit_transform(X_train)
    # X_test_scaled = scaler.transform(X_test)
    # Then use X_train_scaled, X_test_scaled below.
    # For now, we'll assume X_train, X_test are already scaled from the preprocess_data step.
    # Hyperparameter Tuning with GridSearchCV and K-Fold Cross-Validation
    print("\n--- Starting Hyperparameter Tuning (GridSearchCV) ---")
    param_grid = {
        'C': [0.1, 1, 10, 100],
        'gamma': [0.001, 0.01, 0.1, 1, 'scale'],
        'kernel': ['rbf']
    }
    svr_base = SVR()
    cv = KFold(n_splits=5, shuffle=True, random_state=42) # 5-Fold Cross-Validation
    grid_search = GridSearchCV(svr_base, param_grid, cv=cv, scoring='r2', n_jobs=-1, verbose=2)
    grid_search.fit(X_train, y_train)
    print("\nBest Parameters found by GridSearchCV:")
    print(grid_search.best_params_)
    print(f"Best R2 Score (from CV): {grid_search.best_score_:.4f}")
    best_model = grid_search.best_estimator_
    # Make predictions
    y_pred = best_model.predict(X_test)
    # Evaluate the model on the test set
    r2 = r2_score(y_test, y_pred)
    mae = mean_absolute_error(y_test, y_pred)
    rmse = np.sqrt(mean_squared_error(y_test, y_pred))
    print("\n--- Model Evaluation on Test Set ---")
    print(f"R2 Score: {r2:.4f}")
    print(f"Mean Absolute Error (MAE): {mae:.4f}")
    print(f"Root Mean Squared Error (RMSE): {rmse:.4f}")
    # Visualize Predictions
    plt.figure(figsize=(10, 6))
    sns.scatterplot(x=y_test, y=y_pred, alpha=0.6)
    plt.plot([y_test.min(), y_test.max()], [y_test.min(), y_test.max()], 'r--', lw=2)
    plt.xlabel("Actual Energy Consumption")
    plt.ylabel("Predicted Energy Consumption")
    plt.title("Actual vs Predicted Energy Consumption (SVR)")
    plt.grid(True)
    plt.show()
    # Visualize Residuals
    residuals = y_test - y_pred
    plt.figure(figsize=(10, 6))
    sns.histplot(residuals, kde=True)
    plt.xlabel("Residuals (Actual - Predicted)")
    plt.ylabel("Frequency")
    plt.title("Distribution of Residuals")
    plt.grid(True)
    plt.show()
    return best_model, y_test, y_pred
if __name__ == "__main__":
    DATA_FILE = "energy.csv"
    FEATURE_COLUMNS = ["temperature", "humidity", "wind_speed", "pressure"]
    TARGET_COLUMN = "energy_consumption"
    # 1. Load and Inspect Data
    data = load_and_inspect_data(DATA_FILE)
    if data is None:
        exit() # Exit if data loading failed
    # 2. Preprocess Data
    # Important: In a real scenario, you'd fit scaler on X_train only and transform both X_train and X_test.
    # For simplicity, if we scaled the whole X first (as in the original code's spirit),
    # X here would already be scaled.
    X_processed, y_processed, scaler_fitted = preprocess_data(data, FEATURE_COLUMNS, TARGET_COLUMN)
    if X_processed is None:
        exit() # Exit if preprocessing failed
    # 3. Train and Evaluate Model
    final_model, test_labels, predictions = train_and_evaluate_model(X_processed, y_processed, FEATURE_COLUMNS)
    print("\nScript finished successfully.")
```</t>
  </si>
  <si>
    <t>The code you provided does contain a potential source of data leakage. Let's examine the steps to identify how leakage occurs:
1. **Data Splitting and Normalization**:
   - The code first normalizes the entire feature set `X` using `MinMaxScaler` and then splits the data into training and test sets.
   - `X_normalized = scaler.fit_transform(X)` applies min-max scaling to the entire dataset before splitting it into training and test sets.
**Issue**: Applying normalization (scaling) on the entire dataset before splitting introduces data leakage. The scaler uses information from the entire dataset (including the test set) to compute the minimum and maximum values used for scaling. These values should only come from the training set to ensure that the test set remains unseen until model evaluation.
**Solution**:
- To avoid this kind of data leakage, you need to fit the `MinMaxScaler` only on the training data and then use that fitted scaler to transform both the training and test data.
Here's the corrected version of the code addressing the data leakage:
```python
df = pd.read_csv("energy.csv")
X = df[["temperature", "humidity", "wind_speed", "pressure"]]
y = df["energy_consumption"]
# Split the data before scaling
X_train, X_test, y_train, y_test = train_test_split(
    X, y, test_size=0.25, random_state=7
)
# Scale the features using only the training data
scaler = MinMaxScaler()
X_train_normalized = scaler.fit_transform(X_train)
X_test_normalized = scaler.transform(X_test)
model = SVR(kernel="rbf")
model.fit(X_train_normalized, y_train)
y_pred = model.predict(X_test_normalized)
print(f"R2 Score: {r2_score(y_test, y_pred):.4f}")
```
This corrected approach ensures that any scaling applied to the test set is based only on the information from the training set, thereby avoiding data leakage.</t>
  </si>
  <si>
    <t>The provided Python machine learning pipeline code contains **data leakage**. Specifically, the issue arises from the way the `MinMaxScaler` is applied to the features before splitting the data into training and testing sets.
### Where Data Leakage Occurs
1. **Scaling Before Train-Test Split**:
   - The code applies `scaler.fit_transform(X)` to the entire feature set `X` before the data is split into training and testing sets. This means that the scaling process takes into account the values from both the training and testing data at the same time.
### Why is this a Problem?
This approach leads to data leakage because:
- The scaling parameters (i.e., the minimum and maximum values used to scale the features) are derived from the entire dataset, which includes information from the test set. This could inadvertently allow the model to gain access to knowledge it wouldn't have when making predictions in a real-world scenario.
- When the model is tested on the test set, it may perform unusually well because it has "seen" the distribution of the test data beforehand when scaling. This can give an overly optimistic evaluation of the model's performance, as the model has indirectly been influenced by the test data.
### Correct Approach
To avoid this data leakage, the correct approach would be to:
1. **Split the Data First**:
   - First, split the dataset into training and testing sets.
2. **Scale the Training Data**:
   - Fit the `MinMaxScaler` only on the training data, and then apply the transformation to both the training and test sets separately. This ensures that the test set remains unseen during the training process.
Here’s how the revised code should look:
```python
# Import necessary libraries
import pandas as pd
from sklearn.preprocessing import MinMaxScaler
from sklearn.model_selection import train_test_split
from sklearn.svm import SVR
from sklearn.metrics import r2_score
# Load the data
df = pd.read_csv("energy.csv")
X = df[["temperature", "humidity", "wind_speed", "pressure"]]
y = df["energy_consumption"]
# Split the data into training and testing sets first
X_train, X_test, y_train, y_test = train_test_split(
    X, y, test_size=0.25, random_state=7
)
# Then instantiate and fit the scaler only on the training data
scaler = MinMaxScaler()
X_train_normalized = scaler.fit_transform(X_train)
# Now transform the test set using the same scaler
X_test_normalized = scaler.transform(X_test)
# Proceed with model training and predictions
model = SVR(kernel="rbf")
model.fit(X_train_normalized, y_train)
y_pred = model.predict(X_test_normalized)
# Print R2 Score
print(f"R2 Score: {r2_score(y_test, y_pred):.4f}")
```
This revised code ensures no data leakage occurs, leading to a more reliable evaluation of the model's performance.</t>
  </si>
  <si>
    <t>## Data Leakage Analysis
### Verdict: **Data Leakage Present**
---
### Where the Leakage Occurs
The leakage is on this line:
```python
scaler = MinMaxScaler()
X_normalized = scaler.fit_transform(X)  # ← Leakage happens here
```
The scaler is fitted on the **entire dataset** (`X`) before the train/test split is performed. The normalized data is *then* split:
```python
X_train, X_test, y_train, y_test = train_test_split(
    X_normalized, y, test_size=0.25, random_state=7  # Split happens AFTER scaling
)
```
---
### Why This Is a Problem
`MinMaxScaler` computes the **minimum and maximum of each feature** across all rows and uses them to scale:
$$x_{scaled} = \frac{x - x_{min}}{x_{max} - x_{min}}$$
When fitted on the full dataset, `x_min` and `x_max` are derived from **both training and test rows**. This means the scaling of training data is influenced by test set values — information that would not exist at real prediction time.
**Concrete example of the distortion:**
| Scenario | `wind_speed` max used for scaling |
|---|---|
| Leaky (current code) | Includes test set extremes |
| Correct | Only training set extremes |
If the test set contains the global maximum of a feature, using it to scale the training data **pulls all training values downward** in a way that would never happen in production.
---
### The Fix
Fit the scaler **only on training data**, then apply (transform-only) to both sets:
```python
X_train, X_test, y_train, y_test = train_test_split(
    X, y, test_size=0.25, random_state=7  # Split raw features first
)
scaler = MinMaxScaler()
X_train_normalized = scaler.fit_transform(X_train)  # Fit on train only
X_test_normalized = scaler.transform(X_test)         # Apply to test only
model = SVR(kernel="rbf")
model.fit(X_train_normalized, y_train)
y_pred = model.predict(X_test_normalized)
print(f"R2 Score: {r2_score(y_test, y_pred):.4f}")
```
### Recommended: Use a Pipeline
A `Pipeline` makes it structurally impossible to make this mistake:
```python
from sklearn.pipeline import Pipeline
X_train, X_test, y_train, y_test = train_test_split(
    X, y, test_size=0.25, random_state=7
)
pipeline = Pipeline([
    ("scaler", MinMaxScaler()),
    ("model", SVR(kernel="rbf"))
])
pipeline.fit(X_train, y_train)       # Scaler sees only training data
y_pred = pipeline.predict(X_test)    # Scaler only transforms test data
print(f"R2 Score: {r2_score(y_test, y_pred):.4f}")
```
The `Pipeline` guarantees that during `fit()`, the scaler is fitted only on training data, and during `predict()`, it only transforms without refitting — mirroring real deployment conditions exactly.</t>
  </si>
  <si>
    <t># Data Leakage Review
## **CRITICAL DATA LEAKAGE FOUND** ⚠️
### **Location of Leakage**
The scaler is fit on the **entire dataset** before the train-test split:
```python
scaler = MinMaxScaler()
X_normalized = scaler.fit_transform(X)  # ← Fitted on ALL data (train + test)
X_train, X_test, y_train, y_test = train_test_split(...)
```
### **Why This Is a Problem**
The `MinMaxScaler.fit_transform()` computes the min and max values across **all 100% of the data**, including the test set. This means:
1. **Test set statistics leak into training**: The scaler's min/max parameters are influenced by test data values
2. **Unrealistic performance metrics**: The model is evaluated on data that was partially "seen" during preprocessing, inflating the R² score
3. **Invalid generalization estimate**: The reported performance does not reflect how the model would perform on truly unseen data in production
### **Correct Implementation**
Fit the scaler **only on training data**, then transform both sets: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X_train, X_test, y_train, y_test = train_test_split(
    X, y, test_size=0.25, random_state=7
)
scaler = MinMaxScaler()
X_train_normalized = scaler.fit_transform(X_train)  # ← Fit only on train
X_test_normalized = scaler.transform(X_test)        # ← Transform test with train's parameters
model = SVR(kernel="rbf")
model.fit(X_train_normalized, y_train)
y_pred = model.predict(X_test_normalized)
print(f"R2 Score: {r2_score(y_test, y_pred):.4f}")
```
### **Key Principle**
**Always split first, then fit preprocessing on training data only.** This ensures test data remains completely isolated from the training pipeline.</t>
  </si>
  <si>
    <t>Yes, this code *does* contain a form of data leakage.
**Exact Location of Data Leakage:**
The data leakage occurs in this line:
```python
X_normalized = scaler.fit_transform(X)
```
**Why it is a Problem:**
1.  **`scaler.fit_transform(X)` on the entire dataset:**
    *   The `MinMaxScaler` (or any `fit`-based preprocessor like `StandardScaler`) calculates its parameters (minimum and maximum values for each feature in this case) during the `fit` step.
    *   By applying `fit_transform(X)` to the *entire dataset `X`* before the `train_test_split`, the scaler learns the min/max range from both the data that will become your training set *and* the data that will become your test set.
    *   This means that information about the distribution (specifically, the range) of your test data is inadvertently "leaked" into the scaling of your training data.
2.  **Impact on Model Evaluation:**
    *   When your model is trained, the normalized training features have been influenced by statistics derived from the test set.
    *   When the model then makes predictions on the test set, the test set features have also been normalized using statistics derived from both train and test.
    *   This leads to an overly optimistic evaluation of your model's performance (e.g., an inflated R2 score). In a real-world scenario, when you deploy your model, you would not have future (test) data available to calculate these scaling parameters. The model would only be able to use the statistics learned from its training data.
**How to Fix It (Corrected Code):**
To prevent data leakage, the scaling operation must be performed *after* the train-test split, and the scaler should only be `fit` on the training data. Then, both the training and test sets are `transform`ed using the scaler fitted *only* on the training data.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1. Split data into training and testing sets FIRST
X_train, X_test, y_train, y_test = train_test_split(
    X, y, test_size=0.25, random_state=7
)
scaler = MinMaxScaler()
# 2. Fit the scaler ONLY on the training data
scaler.fit(X_train)
# 3. Transform both the training and test data using the fitted scaler
X_train_normalized = scaler.transform(X_train)
X_test_normalized = scaler.transform(X_test)
model = SVR(kernel="rbf")
model.fit(X_train_normalized, y_train) # Use normalized training data
y_pred = model.predict(X_test_normalized) # Use normalized test data
print(f"R2 Score: {r2_score(y_test, y_pred):.4f}")
```
By making this change, the `MinMaxScaler` only learns the min/max values from the training data, simulating a real-world scenario where information from future data (your test set) would not be available during model training and preprocessing.</t>
  </si>
  <si>
    <t>The provided code is a typical approach to using an SVR model for regression, but there are a few potential issues, bugs, or bad practices:
1. **Lack of Error Handling for File Reading:**
   - When loading CSV data with `pd.read_csv("energy.csv")`, there's no error handling in case the file does not exist, is corrupt, or cannot be read properly. Implementing a try-except block could help manage such scenarios gracefully.
2. **Assumption in Dataset:**
   - The code assumes that `energy.csv` contains the columns `temperature`, `humidity`, `wind_speed`, `pressure`, and `energy_consumption`. If these columns do not exist, an error will be thrown. It would be better to check for the existence of these columns and handle exceptions if they're absent.
3. **Unused Imports:**
   - The Scalability of the solution could be optimized by removing unnecessary imports which are not used in the provided code; however, in this code, all imported modules are used.
4. **Potential Data Leakage:**
   - There is no indication in the code about how the parameters are validated. You should also consider cross-validation (`cross_val_score` or `GridSearchCV`). This is important to ensure the model’s reliability and guard against overfitting. While not a direct issue with the provided code, relying only on a train-test split can miss understanding how reliably the model is expected to perform on unseen data.
5. **Scaling Dependent Variable:**
   - While you do scale the features (X values) using MinMaxScaler, you're not scaling the dependent variable `y`. For models like SVR, scaling `y` might sometimes be beneficial if the range of `y` is very different from the scaled features.
6. **Model Evaluation:**
   - Although R² score is a useful evaluation metric for regression models, relying on a single metric might not give a full picture of the model's performance. It's often beneficial to include additional metrics such as Mean Squared Error (MSE) or Mean Absolute Error (MAE).
7. **Lack of Comments/Documentation:**
   - In a collaborative environment or future reviews/edits, the code would be easier to understand with inline comments explaining the steps.
Here is an updated version with some of these concerns addressed with comments and basic error handling:
```python
import pandas as pd
from sklearn.preprocessing import MinMaxScaler
from sklearn.model_selection import train_test_split, cross_val_score
from sklearn.svm import SVR
from sklearn.metrics import r2_score
# Read and verify the data
try:
    df = pd.read_csv("energy.csv")
except FileNotFoundError:
    raise FileNotFoundError("The file 'energy.csv' was not found.")
except pd.errors.EmptyDataError:
    raise ValueError("The file 'energy.csv' is empty.")
except pd.errors.ParserError:
    raise ValueError("The file 'energy.csv' is corrupt or has parsing issues.")
# Verify that necessary columns exist
expected_cols = {"temperature", "humidity", "wind_speed", "pressure", "energy_consumption"}
if not expected_cols.issubset(df.columns):
    missing_cols = expected_cols - set(df.columns)
    raise ValueError(f"Missing columns in the dataset: {missing_cols}")
# Define features and target
X = df[["temperature", "humidity", "wind_speed", "pressure"]]
y = df["energy_consumption"]
# Split the data
X_train, X_test, y_train, y_test = train_test_split(
    X, y, test_size=0.25, random_state=7
)
# Scale the features
scaler = MinMaxScaler()
X_train = scaler.fit_transform(X_train)
X_test = scaler.transform(X_test)
# Optionally Scale y if desired
# y_train = MinMaxScaler().fit_transform(y_train.values.reshape(-1, 1)).ravel()
# Initialize and train the model
model = SVR(kernel="rbf")
model.fit(X_train, y_train)
# Make predictions
y_pred = model.predict(X_test)
# Evaluate the model
print(f"R2 Score: {r2_score(y_test, y_pred):.4f}")
# Including additional evaluation metrics can provide more insights (optional)
# from sklearn.metrics import mean_squared_error, mean_absolute_error
# print(f"MSE: {mean_squared_error(y_test, y_pred):.4f}")
# print(f"MAE: {mean_absolute_error(y_test, y_pred):.4f}")
```
This version includes additional error checks and suggests improvements, such as cross-validation, to ensure model consistency and robustness.</t>
  </si>
  <si>
    <t>The provided Python code appears to be generally well-structured for a data processing and machine learning task. However, there are a few issues, potential bugs, and bad practices that could be addressed:
1. **Lack of Error Handling**:
   - The code reads a CSV file without any error handling. If "energy.csv" does not exist or is malformed, the program will raise an error and terminate. You can add a try-except block to handle this:
     ```python
     try:
         df = pd.read_csv("energy.csv")
     except FileNotFoundError:
         print("Error: The file 'energy.csv' was not found.")
         exit(1)
     except pd.errors.EmptyDataError:
         print("Error: The file 'energy.csv' is empty.")
         exit(1)
     except pd.errors.ParserError:
         print("Error: The file 'energy.csv' could not be parsed.")
         exit(1)
     ```
2. **Lack of Data Exploration**:
   - Before training a model, it's best to perform exploratory data analysis (EDA) to understand the data, check for missing values, and understand the distribution of features. Consider adding some descriptive statistics and visualizations. For example:
     ```python
     print(df.describe())
     print(df.isnull().sum())
     ```
3. **Assumption of Normality**:
   - The `RBF` kernel in SVR assumes the data is normally distributed. If the features are not scaled appropriately, this might impact the performance of the model. Ensure that the distribution of features is normal or bounded.
4. **Hardcoding Feature Columns**:
   - The feature columns are hardcoded into the DataFrame slicing, which may lead to issues if the DataFrame structure changes in the future. It’s better to define features in a more flexible way or ensure that the DataFrame contains the expected columns:
     ```python
     feature_cols = ["temperature", "humidity", "wind_speed", "pressure"]
     if not all(col in df.columns for col in feature_cols):
         raise ValueError("One or more feature columns are missing from the DataFrame.")
     X = df[feature_cols]
     ```
5. **Split Size Randomness**:
   - The `random_state` parameter is used for reproducibility. However, setting it to an arbitrary value of `7` could lead to the impression that it should be fixed for all applications. It's better to either document this choice or allow it to be parameterized. If consistent results are essential, you could provide instructions rather than defaulting to a specific number.
6. **Output Interpretation**:
   - The output of the R2 score is displayed but not contextualized. It may be helpful to provide additional commentary or context to help the reader understand what a "good" or "bad" R2 score might be in the context of predictive modeling.
7. **SVR Model Parameters**:
   - The `SVR` model is initialized with only the `kernel` parameter. There are additional important parameters, such as `C` (regularization parameter) and `epsilon` (the epsilon in the epsilon-SVR), which could greatly influence the performance of the model. It's worth experimenting with these parameters and documenting the choices made.
8. **Saving and Loading the Model**:
   - After training the model, you may want to save it for future use. This can be done using joblib or pickle. If the model needs to be deployed or used later, consider following this practice:
     ```python
     import joblib
     joblib.dump(model, 'svr_model.pkl')
     ```
By addressing these issues and potential improvements, the code would be more robust, maintainable, and clearer to users.</t>
  </si>
  <si>
    <t>## Code Review
The code is generally well-structured and follows a reasonable ML workflow, but has several issues ranging from critical bugs to maintainability concerns.
---
### 1. Target Variable Not Scaled (Critical Bug)
```python
# Current - only scaling features, not the target
scaler = MinMaxScaler()
X_train = scaler.fit_transform(X_train)
# Problem: SVR is highly sensitive to the scale of the target variable
# If y ranges in the thousands, the default epsilon=0.1 in SVR becomes meaningless
```
**Fix:**
```python
scaler_X = MinMaxScaler()
scaler_y = MinMaxScaler()
X_train = scaler_X.fit_transform(X_train)
X_test = scaler_X.transform(X_test)
y_train_scaled = scaler_y.fit_transform(y_train.values.reshape(-1, 1)).ravel()
model = SVR(kernel="rbf")
model.fit(X_train, y_train_scaled)
y_pred_scaled = model.predict(X_test)
# Inverse transform to get predictions in original scale
y_pred = scaler_y.inverse_transform(y_pred_scaled.reshape(-1, 1)).ravel()
```
---
### 2. No Data Validation or Error Handling (Critical)
```python
# Current - will crash with unhelpful errors if anything is wrong
df = pd.read_csv("energy.csv")
X = df[["temperature", "humidity", "wind_speed", "pressure"]]
```
**Fix:**
```python
import os
import logging
logging.basicConfig(level=logging.INFO)
logger = logging.getLogger(__name__)
FILE_PATH = "energy.csv"
REQUIRED_COLUMNS = ["temperature", "humidity", "wind_speed", "pressure", "energy_consumption"]
if not os.path.exists(FILE_PATH):
    raise FileNotFoundError(f"Dataset not found at: {FILE_PATH}")
df = pd.read_csv(FILE_PATH)
missing_cols = [col for col in REQUIRED_COLUMNS if col not in df.columns]
if missing_cols:
    raise ValueError(f"Missing required columns: {missing_cols}")
logger.info(f"Loaded dataset with shape: {df.shape}")
```
---
### 3. Missing Data Not Handled (Critical)
```python
# Current - silently passes NaN values to the model, causing failures or corrupt results
X = df[["temperature", "humidity", "wind_speed", "pressure"]]
```
**Fix:**
```python
# Check and report missing values before dropping or imputing
if df.isnull().any().any():
    logger.warning(f"Missing values detected:\n{df.isnull().sum()}")
    df = df.dropna(subset=REQUIRED_COLUMNS)
    # Alternatively, use imputation:
    # from sklearn.impute import SimpleImputer
    # imputer = SimpleImputer(strategy="mean")
    # X = imputer.fit_transform(X)
```
---
### 4. No Hyperparameter Tuning (Bad Practice)
```python
# Current - uses SVR defaults (C=1.0, epsilon=0.1, gamma='scale')
# These are rarely optimal and can produce a poorly performing model
model = SVR(kernel="rbf")
```
**Fix:**
```python
from sklearn.model_selection import GridSearchCV
param_grid = {
    "C": [0.1, 1, 10, 100],
    "epsilon": [0.01, 0.1, 0.5],
    "gamma": ["scale", "auto", 0.01, 0.1],
}
model = GridSearchCV(
    SVR(kernel="rbf"),
    param_grid,
    cv=5,
    scoring="r2",
    n_jobs=-1,
    verbose=1,
)
model.fit(X_train, y_train_scaled)
logger.info(f"Best parameters: {model.best_params_}")
```
---
### 5. Single Metric Evaluation Is Insufficient (Bad Practice)
```python
# Current - R2 alone can be misleading; a model can have high R2 but large errors
print(f"R2 Score: {r2_score(y_test, y_pred):.4f}")
```
**Fix:**
```python
from sklearn.metrics import mean_absolute_error, mean_squared_error
import numpy as np
def evaluate_model(y_true, y_pred):
    r2    = r2_score(y_true, y_pred)
    mae   = mean_absolute_error(y_true, y_pred)
    rmse  = np.sqrt(mean_squared_error(y_true, y_pred))
    logger.info(
        f"Model Performance:\n"
        f"  R2 Score : {r2:.4f}\n"
        f"  MAE      : {mae:.4f}\n"
        f"  RMSE     : {rmse:.4f}"
    )
    return {"r2": r2, "mae": mae, "rmse": rmse}
metrics = evaluate_model(y_test, y_pred)
```
---
### 6. No Model or Scaler Persistence (Bad Practice)
```python
# Current - the trained model and scaler are lost after the script exits
# This means the scaler used during training is unavailable for future predictions
model.fit(X_train, y_train)
```
**Fix:**
```python
import joblib
joblib.dump(model, "svr_energy_model.pkl")
joblib.dump(scaler_X, "scaler_X.pkl")
joblib.dump(scaler_y, "scaler_y.pkl")
logger.info("Model and scalers saved successfully.")
# Loading later for inference
# model    = joblib.load("svr_energy_model.pkl")
# scaler_X = joblib.load("scaler_X.pkl")
# scaler_y = joblib.load("scaler_y.pkl")
```
---
### 7. No Reproducibility Guard for Data Shuffling (Minor)
```python
# Current - train_test_split has random_state=7, but if the CSV row order
# changes between runs, results will differ without any warning
X_train, X_test, y_train, y_test = train_test_split(
    X, y, test_size=0.25, random_state=7
)
```
**Fix:**
```python
# Sort or hash the data to ensure consistent ordering before splitting
df = df.sort_values(by=REQUIRED_COLUMNS).reset_index(drop=True)
```
---
### Summary Table
| # | Issue | Severity |
|---|-------|----------|
| 1 | Target variable not scaled for SVR | 🔴 Critical |
| 2 | No file/column validation or error handling | 🔴 Critical |
| 3 | Missing values not handled | 🔴 Critical |
| 4 | No hyperparameter tuning | 🟡 Moderate |
| 5 | Single evaluation metric | 🟡 Moderate |
| 6 | No model/scaler persistence | 🟡 Moderate |
| 7 | Data ordering not guaranteed | 🟢 Minor |</t>
  </si>
  <si>
    <t># Code Review: Issues and Problems
## 1. **No Error Handling for File Operations** ⚠️
```python
df = pd.read_csv("energy.csv")
```
**Issue:** If the file doesn't exist or is corrupted, the program crashes without a helpful error message.
**Fix:**
```python
try:
    df = pd.read_csv("energy.csv")
except FileNotFoundError:
    print("Error: energy.csv not found")
    exit(1)
except pd.errors.EmptyDataError:
    print("Error: energy.csv is empty")
    exit(1)
```
---
## 2. **No Validation of Required Columns** ⚠️
```python
X = df[["temperature", "humidity", "wind_speed", "pressure"]]
y = df["energy_consumption"]
```
**Issue:** If columns are missing or misspelled, a KeyError is raised without context.
**Fix:**
```python
required_cols = ["temperature", "humidity", "wind_speed", "pressure", "energy_consumption"]
missing = [col for col in required_cols if col not in df.columns]
if missing:
    raise ValueError(f"Missing columns: {missing}")
```
---
## 3. **No Handling of Missing Values** ⚠️
**Issue:** If the CSV contains NaN or null values, the model may behave unexpectedly or fail silently.
**Fix:**
```python
# Check for missing values
if df.isnull().any().any():
    print("Warning: Missing values detected")
    df = df.dropna()  # or use imputation
```
---
## 4. **No Data Validation/Sanity Checks** ⚠️
**Issue:** The code doesn't verify that y contains numeric data or check for outliers/invalid ranges.
**Fix:**
```python
if not pd.api.types.is_numeric_dtype(y):
    raise TypeError("Target variable must be numeric")
if (y &lt; 0).any():  # energy consumption shouldn't be negative
    raise ValueError("Invalid negative values in target")
```
---
## 5. **Scaler Not Fitted on Combined Data** 🔴
```python
scaler = MinMaxScaler()
X_train = scaler.fit_transform(X_train)
X_test = scaler.transform(X_test)
```
**Issue:** This is actually **correct**, but it's a common mistake area. However, `y` is NOT scaled. For SVR, scaling both X and y often improves performance.
**Better practice:**
```python
scaler_X = MinMaxScaler()
scaler_y = MinMaxScaler()
X_train = scaler_X.fit_transform(X_train)
X_test = scaler_X.transform(X_test)
y_train = scaler_y.fit_transform(y_train.values.reshape(-1, 1)).ravel()
y_test_scaled = scaler_y.transform(y_test.values.reshape(-1, 1)).ravel()
# Remember to inverse transform predictions for evaluation
```
---
## 6. **No Hyperparameter Tuning** ⚠️
```python
model = SVR(kernel="rbf")
```
**Issue:** Default hyperparameters (C=1.0, gamma='scale') may be suboptimal.
**Fix:**
```python
from sklearn.model_selection import GridSearchCV
param_grid = {'C': [0.1, 1, 10], 'gamma': ['scale', 'auto', 0.1, 0.01]}
model = GridSearchCV(SVR(kernel="rbf"), param_grid, cv=5)
model.fit(X_train, y_train)
print(f"Best params: {model.best_params_}")
```
---
## 7. **Insufficient Evaluation Metrics** ⚠️
```python
print(f"R2 Score: {r2_score(y_test, y_pred):.4f}")
```
**Issue:** R² alone doesn't tell the full story. Should also check RMSE, MAE, and residuals.
**Fix:**
```python
from sklearn.metrics import mean_squared_error, mean_absolute_error
import numpy as np
rmse = np.sqrt(mean_squared_error(y_test, y_pred))
mae = mean_absolute_error(y_test, y_pred)
r2 = r2_score(y_test, y_pred)
print(f"R² Score: {r2:.4f}")
print(f"RMSE: {rmse:.4f}")
print(f"MAE: {mae:.4f}")
```
---
## 8. **No Cross-Validation** ⚠️
**Issue:** Single train/test split can give misleading results due to variance.
**Fix:**
```python
from sklearn.model_selection import cross_val_score
scores = cross_val_score(model, X, y, cv=5, scoring='r2')
print(f"CV R² Scores: {scores}, Mean: {scores.mean():.4f} (+/- {scores.std():.4f})")
```
---
## 9. **No Random State Consistency** ⚠️
**Issue:** Only train_test_split has random_state; scaler and model don't need it but it's good practice for reproducibility.
---
## 10. **No Data Type Conversion** ⚠️
**Issue:** No explicit check that features are numeric before scaling.
**Fix:**
```python
X = X.astype(float)
y = y.astype(float)
```
---
## Summary Table
| Issue | Severity | Category |
|-------|----------|----------|
| No file error handling | High | Robustness |
| No column validation | High | Robustness |
| No missing value handling | High | Data Quality |
| No y-scaling | Medium | Model Performance |
| No hyperparameter tuning | Medium | Model Quality |
| Insufficient metrics | Medium | Evaluation |
| No cross-validation | Medium | Evaluation |
| No data validation | High | Data Quality |</t>
  </si>
  <si>
    <t>This Python code provides a basic machine learning workflow for training an SVR model. While it functions, it has several issues, bugs, and bad practices that prevent it from being robust, efficient, or suitable for a production environment.
Here's a detailed breakdown of the problems:
---
### I. Data Handling and Preparation Issues
1.  **Hardcoded File Path and Column Names:**
    *   **Problem:** The filename (`"energy.csv"`) and column names (`["temperature", ..., "pressure"]`, `"energy_consumption"`) are hardcoded directly into the script.
    *   **Explanation:** This makes the code inflexible. If the file name changes, or column names are slightly different (e.g., `Temperature` instead of `temperature`), the script will break. It's also harder to reuse this code for a different dataset without manual modification.
    *   **Solution:** Use constants at the top of the script, or better yet, pass them as arguments to a function, or even load them from a configuration file.
2.  **Lack of Data Inspection (EDA - Exploratory Data Analysis):**
    *   **Problem:** The code immediately loads the data and proceeds to splitting and modeling without any preliminary checks.
    *   **Explanation:** This is a critical omission. Before modeling, one should always:
        *   Check for missing values (`df.isnull().sum()`).
        *   Inspect data types (`df.info()`).
        *   Look at descriptive statistics (`df.describe()`).
        *   Visualize distributions (`df.hist()`, `sns.pairplot()`).
        *   Check for outliers.
        *   Examine correlations between features and the target (`df.corr()`).
        *   Ensure the data is in the expected format and range.
    *   **Consequence:** Issues like `NaN` values, incorrect data types, or extreme outliers can lead to model errors, poor performance, or misleading results, and the current code offers no mechanism to detect or handle them.
    *   **Solution:** Add a data inspection phase after loading the CSV. Handle missing values (impute, drop rows/columns) and outliers appropriately.
3.  **No Error Handling for File Loading:**
    *   **Problem:** If `energy.csv` does not exist or cannot be read, `pd.read_csv()` will raise a `FileNotFoundError` or other exceptions, crashing the script.
    *   **Explanation:** Robust code should anticipate potential failures.
    *   **Solution:** Wrap the `pd.read_csv()` call in a `try-except` block to gracefully handle file-not-found errors or other `IOError`s.
4.  **Implicit Assumption about CSV Encoding:**
    *   **Problem:** `pd.read_csv()` defaults to UTF-8 encoding.
    *   **Explanation:** While often correct, if the CSV file uses a different encoding (e.g., Latin-1, cp1252), it could lead to encoding errors or corrupted data being read without explicit specification.
    *   **Solution:** Consider adding `encoding='utf-8'` (or the correct encoding) explicitly, especially if dealing with diverse data sources.
---
### II. Model Building and Evaluation Issues
5.  **No Hyperparameter Tuning:**
    *   **Problem:** The SVR model is initialized with default or arbitrary hyperparameters (`kernel="rbf"`). Other critical hyperparameters like `C` (regularization parameter) and `gamma` (kernel coefficient for 'rbf') are left at their defaults.
    *   **Explanation:** SVR models, especially with RBF kernels, are highly sensitive to their hyperparameters. Default values are rarely optimal for a given dataset. Without tuning, the model is likely performing suboptimally.
    *   **Solution:** Implement hyperparameter tuning using techniques like `GridSearchCV` or `RandomizedSearchCV` from `sklearn.model_selection` to find the best combination of `C` and `gamma` (and potentially other parameters).
6.  **Single Evaluation Metric:**
    *   **Problem:** Only the R2 score is used to evaluate the model.
    *   **Explanation:** While R2 is a good metric for regression, it doesn't tell the whole story.
        *   **R2 Score:** Explains the proportion of variance in the dependent variable that can be predicted from the independent variables. Higher is better (closer to 1).
        *   **Other useful metrics:**
            *   **Mean Absolute Error (MAE):** Average magnitude of errors. Less sensitive to outliers than MSE. Provides error in the same units as the target variable.
            *   **Mean Squared Error (MSE) / Root Mean Squared Error (RMSE):** More sensitive to large errors/outliers. RMSE is often preferred as it's in the same units as the target.
    *   **Solution:** Calculate and report multiple regression metrics (e.g., R2, MAE, RMSE) to get a more comprehensive understanding of model performance.
7.  **Lack of Cross-Validation:**
    *   **Problem:** The model is trained and evaluated on a single train-test split.
    *   **Explanation:** The performance reported by a single train-test split can be highly dependent on how the data was split. It might be overly optimistic or pessimistic. This leads to a less robust estimate of the model's true generalization performance.
    *   **Solution:** Use k-fold cross-validation (`KFold` or `RepeatedKFold` from `sklearn.model_selection`) to get a more reliable and robust estimate of the model's performance across different data folds. This would involve training and evaluating the model multiple times and averaging the results.
---
### III. General Code Quality and Best Practices
8.  **Monolithic Script / Lack of Modularity:**
    *   **Problem:** The entire workflow is written as a single, linear script.
    *   **Explanation:** This makes the code harder to read, understand, debug, test, and reuse. If you wanted to, for example, train a different model or use a different scaler, you'd have to modify the script directly.
    *   **Solution:** Refactor the code into well-defined functions (e.g., `load_data`, `preprocess_data`, `train_model`, `evaluate_model`). This improves readability, reusability, and maintainability.
9.  **No Comments or Docstrings:**
    *   **Problem:** There are no comments explaining the logic or purpose of different sections, nor are there docstrings if functions were used.
    *   **Explanation:** While the code is relatively simple, as it grows in complexity or if other people need to understand it, comments and docstrings become crucial for maintainability and collaboration.
    *   **Solution:** Add comments to explain non-obvious steps, design choices, or potential future improvements. If refactored into functions, add docstrings to explain what each function does, its arguments, and what it returns.
10. **Global Scope Variables:**
    *   **Problem:** Most variables (`df`, `X`, `y`, `scaler`, `model`, etc.) are defined in the global scope.
    *   **Explanation:** In larger scripts, extensive use of global variables can lead to name clashes, make debugging harder, and reduce code reusability.
    *   **Solution:** When refactoring into functions, pass necessary data and objects as arguments and return results, limiting variable scope.
---
### Example of Improved Structure (Addressing some points):
```python
import pandas as pd
from sklearn.preprocessing import MinMaxScaler
from sklearn.model_selection import train_test_split, GridSearchCV
from sklearn.svm import SVR
from sklearn.metrics import r2_score, mean_absolute_error, mean_squared_error
import numpy as np # For sqrt
# --- Configuration Constants ---
DATA_FILE = "energy.csv"
FEATURE_COLUMNS = ["temperature", "humidity", "wind_speed", "pressure"]
TARGET_COLUMN = "energy_consumption"
TEST_SIZE = 0.25
RANDOM_STATE = 7
def load_data(file_path: str) -&gt; pd.DataFrame:
    """Loads data from a CSV file."""
    try:
        df = pd.read_csv(file_path, encoding='utf-8')
        print(f"Data loaded successfully from {file_path}")
        print("Initial data info:")
        df.info()
        print("\nMissing values:\n", df.isnull().sum())
        return df
    except FileNotFoundError:
        print(f"Error: The file '{file_path}' was not found.")
        raise
    except Exception as e:
        print(f"Error loading data: {e}")
        raise
def preprocess_data(df: pd.DataFrame, features: list, target: str):
    """
    Extracts features and target, handles missing values (basic),
    and scales features.
    """
    if not all(col in df.columns for col in features + [target]):
        raise ValueError(f"One or more specified columns not found in DataFrame. "
                         f"Features: {features}, Target: {target}")
    # Basic missing value handling (e.g., dropping rows for simplicity)
    # For a real project, consider imputation strategies.
    initial_rows = len(df)
    df.dropna(subset=features + [target], inplace=True)
    if len(df) &lt; initial_rows:
        print(f"Dropped {initial_rows - len(df)} rows due to missing values.")
    X = df[features]
    y = df[target]
    print(f"\nFeatures (X) shape: {X.shape}")
    print(f"Target (y) shape: {y.shape}")
    return X, y
def train_and_evaluate_model(X: pd.DataFrame, y: pd.Series):
    """
    Splits data, scales features, trains an SVR model with hyperparameter tuning,
    and evaluates its performance.
    """
    X_train, X_test, y_train, y_test = train_test_split(
        X, y, test_size=TEST_SIZE, random_state=RANDOM_STATE
    )
    print(f"\nTraining data shape: {X_train.shape}, Test data shape: {X_test.shape}")
    # Feature Scaling
    scaler = MinMaxScaler()
    X_train_scaled = scaler.fit_transform(X_train)
    X_test_scaled = scaler.transform(X_test)
    print("Features scaled using MinMaxScaler.")
    # Hyperparameter Tuning for SVR
    # A smaller, quicker grid for demonstration, but would be more extensive in real usage
    param_grid = {
        'C': [0.1, 1, 10],
        'gamma': ['scale', 'auto', 0.1, 1],
        'kernel': ['rbf']
    }
    svr = SVR()
    grid_search = GridSearchCV(svr, param_grid, cv=5, scoring='r2', n_jobs=-1, verbose=1)
    print("\nStarting SVR hyperparameter tuning with GridSearchCV...")
    grid_search.fit(X_train_scaled, y_train)
    best_model = grid_search.best_estimator_
    print(f"\nBest SVR parameters: {grid_search.best_params_}")
    print(f"Best cross-validation R2 score: {grid_search.best_score_:.4f}")
    # Evaluate the best model on the test set
    y_pred = best_model.predict(X_test_scaled)
    r2 = r2_score(y_test, y_pred)
    mae = mean_absolute_error(y_test, y_pred)
    mse = mean_squared_error(y_test, y_pred)
    rmse = np.sqrt(mse) # Calculate RMSE
    print("\n--- Model Evaluation on Test Set ---")
    print(f"R2 Score: {r2:.4f}")
    print(f"Mean Absolute Error (MAE): {mae:.4f}")
    print(f"Root Mean Squared Error (RMSE): {rmse:.4f}")
    return best_model, scaler, r2, mae, rmse
if __name__ == "__main__":
    print("Starting Machine Learning Workflow...\n")
    # 1. Load Data
    df = load_data(DATA_FILE)
    # 2. Preprocess Data
    X, y = preprocess_data(df, FEATURE_COLUMNS, TARGET_COLUMN)
    # 3. Train and Evaluate Model
    model, scaler_obj, r2_score_val, mae_val, rmse_val = train_and_evaluate_model(X, y)
    print("\nWorkflow Finished.")
    # You can now save the model, scaler, or further analyze results if needed.
    # import joblib
    # joblib.dump(model, 'svr_model.pkl')
    # joblib.dump(scaler_obj, 'minmax_scaler.pkl')
```</t>
  </si>
  <si>
    <t>The provided Python machine learning pipeline code does not contain any data leakage issues. Let's go through the steps to validate this assertion:
1. **Data Splitting**: The dataset is split into training and testing sets using `train_test_split` from scikit-learn. This is done before any form of data preprocessing or model training, ensuring that the test data remains unseen during the training process. The splitting uses a fixed `random_state=7`, which ensures reproducibility but does not affect leakage since it's applied on the true labels and features.
2. **Feature Scaling**: The `MinMaxScaler` is used to scale features. Importantly, the scaler is fitted only on the training data (`X_train = scaler.fit_transform(X_train)`) and then applied to both the training and test data (`X_test = scaler.transform(X_test)`). This prevents the test data from influencing the scaling parameters (e.g., minimum and maximum values used in scaling), thus preventing data leakage during feature scaling.
3. **Model Training and Testing**: The Support Vector Regressor (SVR) model is trained exclusively on the scaled training data (`X_train` and `y_train`). The model's predictions are made on `X_test`, which has been transformed using the previously trained scaler without involving `y_test`, preventing any leakage from the testing labels influencing the training process.
In summary, there is no data leakage in this pipeline. Each step is performed in a manner that appropriately isolates the test data until it is time for evaluation, which is a good practice in machine learning pipelines.</t>
  </si>
  <si>
    <t>The provided machine learning pipeline code appears to be free of data leakage. Here's an examination of the key components to ensure that no information from the test set could be used during training:
1. **Data Splitting**: The code uses `train_test_split` from `sklearn.model_selection` to split the dataset into training and test sets. In this step, the `X` (features) and `y` (target) are divided correctly into `X_train`, `X_test`, `y_train`, and `y_test`. The `random_state` parameter ensures that the results are reproducible.
2. **Feature Scaling**: The `MinMaxScaler` is applied in a way that adheres to best practices:
   - The scaler is fit only on the training data (`X_train`) using `scaler.fit_transform(X_train)`. This means that the scaling parameters (minimum and maximum values for each feature) are calculated based solely on the training data.
   - The test data (`X_test`) is scaled using `scaler.transform(X_test)`, which uses the parameters derived from the training data. This prevents any leak of information from the test set into the training set.
3. **Model Training and Prediction**: The SVR model is trained on the scaled training data (`X_train`, `y_train`), and predictions are made on the scaled test data. No information from the test set is involved during the training phase.
### Conclusion:
The code does not exhibit any signs of data leakage. It correctly separates the training and test datasets and ensures that data preprocessing, particularly feature scaling, is performed in a manner that respects the integrity of the training and testing phases. Therefore, the integrity of the evaluation metric (R² score) will reflect the model's performance on previously unseen data without the influence of the training process.</t>
  </si>
  <si>
    <t>## Data Leakage Analysis
**Verdict: No data leakage detected.**
This pipeline correctly follows best practices. Here is a breakdown of why each step is sound:
---
### What the Code Does Correctly
#### 1. Train/Test Split Before Scaling
```python
X_train, X_test, y_train, y_test = train_test_split(
    X, y, test_size=0.25, random_state=7
)
scaler = MinMaxScaler()
X_train = scaler.fit_transform(X_train)  # Fit ONLY on training data
X_test = scaler.transform(X_test)        # Apply learned parameters to test data
```
The scaler is **fit exclusively on `X_train`**, meaning the min/max values used for normalization are derived only from training data. The test set is then transformed using those pre-learned parameters — not its own statistics. This is the critical step that is most commonly done wrong.
**Why this matters:** If `fit_transform` were called on the full dataset before splitting, the scaler would incorporate test-set statistics (min/max values) into the transformation, giving the model indirect knowledge of the test distribution.
#### 2. Model Trained Only on Training Data
```python
model.fit(X_train, y_train)
```
The SVR model sees only training features and labels during fitting.
#### 3. Evaluation is Properly Isolated
```python
y_pred = model.predict(X_test)
r2_score(y_test, y_pred)
```
Predictions are generated from held-out data, and evaluation uses the true held-out labels.
---
### Common Leakage Patterns This Code Avoids
| Anti-Pattern | Present in Code? |
|---|---|
| `fit_transform` applied to full dataset before split | No |
| Target-encoded features computed on full dataset | No |
| Temporal leakage (future data in features) | Not applicable |
| Leaky proxy features | None visible |
---
### Minor Considerations Worth Noting
These are **not leakage issues**, but are worth flagging for production robustness:
1. **No cross-validation:** A single train/test split gives a variance-sensitive estimate of performance. `GridSearchCV` or `cross_val_score` with a `Pipeline` would be more robust.
2. **No pipeline object used:** Wrapping the scaler and model in an `sklearn.pipeline.Pipeline` would make it structurally impossible to accidentally leak preprocessing, which is a good defensive habit.
```python
from sklearn.pipeline import Pipeline
pipeline = Pipeline([
    ("scaler", MinMaxScaler()),
    ("model", SVR(kernel="rbf"))
])
pipeline.fit(X_train, y_train)  # Scaler fit only on training data, guaranteed
```
---
### Summary
The code is **free of data leakage**. The correct sequencing — split first, then fit the scaler on training data only, then transform the test set separately — is properly implemented.</t>
  </si>
  <si>
    <t># Data Leakage Review
**Verdict: This code is FREE of data leakage.** ✓
## Analysis
The pipeline correctly implements proper train-test separation:
### ✓ Correct Practices:
1. **Train-test split happens first** (line 11-14)
   - Data is split before any preprocessing
   - Train and test sets are completely separated
2. **Scaler is fit only on training data** (line 16)
   - `scaler.fit_transform(X_train)` learns scaling parameters from training data only
   - The scaler's min/max values are derived exclusively from X_train
3. **Test set uses pre-fit scaler** (line 17)
   - `scaler.transform(X_test)` applies the training-learned scaling
   - No new information about the test set influences the scaler parameters
4. **No feature engineering leakage**
   - Features (`temperature`, `humidity`, `wind_speed`, `pressure`) would be available at prediction time
   - Target variable (`energy_consumption`) is properly separated
### Why This Matters:
If the scaler had been fit on the combined dataset or fit after seeing the test set, the test set's statistics would influence the transformation, artificially inflating model performance. This code avoids that by strictly maintaining the train-test boundary.
### Code Quality Note:
This is a textbook example of proper preprocessing. The pattern of:
```
split → fit_transform(train) → transform(test)
```
is the correct template for scikit-learn pipelines.</t>
  </si>
  <si>
    <t>The provided Python machine learning pipeline code **appears to be free of data leakage**.
Here's a breakdown of why, focusing on the critical steps where data leakage often occurs:
1.  **Train-Test Split is Performed First:**
    ```python
    X_train, X_test, y_train, y_test = train_test_split(
        X, y, test_size=0.25, random_state=7
    )
    ```
    This is the most crucial step. The data is divided into training and testing sets *before* any preprocessing or model training. This ensures that the test set remains truly unseen throughout the feature engineering and model fitting process.
2.  **Feature Scaling is Applied Correctly:**
    ```python
    scaler = MinMaxScaler()
    X_train = scaler.fit_transform(X_train)
    X_test = scaler.transform(X_test)
    ```
    *   `scaler.fit_transform(X_train)`: The `MinMaxScaler` learns the minimum and maximum values for scaling *only* from the training data (`X_train`). This is correct.
    *   `X_test = scaler.transform(X_test)`: The *same* scaler, with the min/max values learned *from the training data*, is then used to transform the test data (`X_test`). This prevents the test set's distribution (its min/max values) from influencing the scaling parameters, which would be a form of data leakage.
3.  **Model Training and Evaluation are Separate:**
    ```python
    model = SVR(kernel="rbf")
    model.fit(X_train, y_train)
    y_pred = model.predict(X_test)
    print(f"R2 Score: {r2_score(y_test, y_pred):.4f}")
    ```
    *   `model.fit(X_train, y_train)`: The model is trained exclusively on the training features (`X_train`) and target (`y_train`). It does not see `X_test` or `y_test` during this phase.
    *   `y_pred = model.predict(X_test)`: Predictions are made on the unseen test features (`X_test`).
    *   `r2_score(y_test, y_pred)`: The model's performance is evaluated by comparing its predictions against the actual target values from the test set (`y_test`), which were held out and not used during training.
**Conclusion:**
The code correctly separates the data, preprocesses features using parameters learned solely from the training set, and trains the model only on the training set. The test set is only used for independent evaluation, which is the proper methodology to avoid data leakage and ensure a reliable assessment of the model's generalization performance.</t>
  </si>
  <si>
    <t>The provided Python code is mostly functional, but there are a few considerations and potential improvements to address:
1. **Error Handling for File Reading**: The code reads a CSV file without any error handling. If the file does not exist, the code will throw an error and terminate. It's good practice to handle such exceptions to improve code robustness.
   ```python
   try:
       df = pd.read_csv("medical.csv")
   except FileNotFoundError:
       print("The file medical.csv was not found.")
   ```
2. **Check for Missing Values**: The code does not check for missing values in the dataset, which could lead to errors or misleading results during the feature selection or model training processes. It's recommended to check and handle missing values appropriately.
   ```python
   if df.isnull().values.any():
       print("Warning: The dataset contains missing values.")
       # Handle missing values, e.g., impute or drop
   ```
3. **Hardcoding Feature Selection (`k=10`)**: The code uses a hardcoded value of 10 for `k` in `SelectKBest`. This should be chosen based on domain knowledge or through experimentation (e.g., using cross-validation to find the optimal number of features).
4. **Scaling/Normalizing Data**: While not always necessary with tree-based models like RandomForest, scaling or normalizing data is a good practice when applying feature selection methods like ANOVA F-test (`f_classif`), as it might impact the efficacy of feature selection.
   ```python
   from sklearn.preprocessing import StandardScaler
   X = StandardScaler().fit_transform(X)
   ```
5. **Output Interpreting**: The current output is the model's accuracy on the test set, which is too simplistic a metric to evaluate model performance. It’s good practice to consider other metrics, especially for classification problems, such as the confusion matrix, precision, recall, and F1-score.
   ```python
   from sklearn.metrics import classification_report
   print("Classification Report:\n", classification_report(y_test, y_pred))
   ```
6. **Verbose Output for Model Training**: For larger datasets or more complex models, it might be useful to have more verbosity during model training to understand what the model is doing, especially during parameter tuning or debugging.
7. **Feature Names in `SelectKBest`**: If feature names are needed later (e.g., for interpretation or further analysis), store and use them post-selection.
   ```python
   selected_features = X.columns[selector.get_support()]
   print("Selected features:", selected_features)
   ```
By applying these considerations, the code becomes more robust, informative, and suitable for iterative improvements and debugging.</t>
  </si>
  <si>
    <t>The provided Python code performs feature selection and classification using a Random Forest model. While the core logic and flow are correct, there are several issues and bad practices that could affect its functionality, readability, and maintainability. Here are the problems identified:
1. **Hardcoding File Name**:
   ```python
   df = pd.read_csv("medical.csv")
   ```
   - **Issue**: Hardcoding the filename assumes that the file is present in the current working directory. If the file is in a different directory or has a different name, the code will fail.
   - **Best Practice**: Use a configuration file or command-line arguments to specify the file path. This makes the code more flexible and reusable.
2. **Lack of Error Handling**:
   - **Issue**: The code does not handle potential errors that may arise, such as file not found, incorrect format, or issues during reading the CSV.
   - **Best Practice**: Implement exception handling when reading the file:
     ```python
     try:
         df = pd.read_csv("medical.csv")
     except FileNotFoundError:
         print("The file was not found.")
         exit()
     ```
3. **Feature Selection Without Train-Test Split**:
   ```python
   X_selected = selector.fit_transform(X, y)
   ```
   - **Issue**: The `SelectKBest` feature selection is performed on the entire dataset before splitting into training and testing sets. This can lead to data leakage, as features are selected based on the whole dataset rather than on the training data alone.
   - **Best Practice**: Split the data first, then apply feature selection only to the training data:
     ```python
     X_train, X_test, y_train, y_test = train_test_split(X, y, test_size=0.2, random_state=42)
     selector = SelectKBest(score_func=f_classif, k=10)
     X_train_selected = selector.fit_transform(X_train, y_train)
     X_test_selected = selector.transform(X_test)
     ```
4. **Variable Naming**:
   ```python
   X_selected
   ```
   - **Issue**: The variable `X_selected` could be misinterpreted as containing both training and testing data, which could lead to confusion. Using more descriptive naming can improve readability.
   - **Best Practice**: Use names such as `X_train_selected` and `X_test_selected` after the selection process to clarify what each variable contains.
5. **Performance Measurement**:
   ```python
   print(f"Accuracy: {accuracy_score(y_test, y_pred):.4f}")
   ```
   - **Issue**: Accuracy alone might not provide a complete picture for model evaluation, especially if the classes are imbalanced.
   - **Best Practice**: Consider using other evaluation metrics like precision, recall, F1-score, or a confusion matrix to give a more comprehensive assessment of model performance:
     ```python
     from sklearn.metrics import classification_report
     print(classification_report(y_test, y_pred))
     ```
6. **Potential Deprecation/Version Issues**:
   - There is a possibility that future versions of libraries such as scikit-learn could introduce changes that affect functions like `SelectKBest`, `RandomForestClassifier`, etc. It’s important to keep libraries updated and check for any deprecations.
7. **Lack of Documentation**:
   - **Issue**: The code lacks comments or documentation, making it less understandable for someone who might read it later.
   - **Best Practice**: Add comments to each major step of the process to clarify the purpose of each block of code.
Here is a revised version of the code addressing the identified issues:
```python
import pandas as pd
from sklearn.feature_selection import SelectKBest, f_classif
from sklearn.model_selection import train_test_split
from sklearn.ensemble import RandomForestClassifier
from sklearn.metrics import accuracy_score, classification_report
# Load the dataset
try:
    df = pd.read_csv("medical.csv")
except FileNotFoundError:
    print("The file was not found.")
    exit()
# Separate features and target variable
X = df.drop("diagnosis", axis=1)
y = df["diagnosis"]
# Split data into training and testing sets
X_train, X_test, y_train, y_test = train_test_split(X, y, test_size=0.2, random_state=42)
# Feature selection
selector = SelectKBest(score_func=f_classif, k=10)
X_train_selected = selector.fit_transform(X_train, y_train)
X_test_selected = selector.transform(X_test)
# Train Random Forest model
model = RandomForestClassifier(n_estimators=100, random_state=42)
model.fit(X_train_selected, y_train)
# Make predictions
y_pred = model.predict(X_test_selected)
# Evaluate performance
print(f"Accuracy: {accuracy_score(y_test, y_pred):.4f}")
print(classification_report(y_test, y_pred))
``` 
This revised version fixes the issues and incorporates best practices in error handling, documentation, and model evaluation.</t>
  </si>
  <si>
    <t>## Code Review
Overall the code follows a reasonable ML pipeline structure, but has several significant issues ranging from data leakage to missing validation and poor practices.
---
### 1. Data Leakage — Critical Bug
```python
# WRONG: Feature selection uses entire dataset before splitting
selector = SelectKBest(score_func=f_classif, k=10)
X_selected = selector.fit_transform(X, y)  # Uses all data including future test data
X_train, X_test, y_train, y_test = train_test_split(X_selected, y, ...)
```
```python
# CORRECT: Fit selector only on training data
X_train, X_test, y_train, y_test = train_test_split(X, y, test_size=0.2, random_state=42)
selector = SelectKBest(score_func=f_classif, k=10)
X_train_selected = selector.fit_transform(X_train, y_train)  # Fit on train only
X_test_selected = selector.transform(X_test)                 # Transform test separately
```
**Why it matters:** The selector learns which features are most predictive using the entire dataset, including test samples. This causes optimistically biased accuracy scores that won't reflect real-world performance.
---
### 2. Hardcoded Feature Count
```python
selector = SelectKBest(score_func=f_classif, k=10)  # Why 10?
```
If `X` has fewer than 10 features, this raises a `ValueError`. There is no validation and no justification for this number.
```python
# CORRECT: Validate and document the choice
n_features = X.shape[1]
k = min(10, n_features)  # Guard against fewer features than k
selector = SelectKBest(score_func=f_classif, k=k)
```
---
### 3. No Data Validation or Error Handling
```python
df = pd.read_csv("medical.csv")          # File might not exist
X = df.drop("diagnosis", axis=1)         # Column might not exist
y = df["diagnosis"]                      # No check for class distribution
```
```python
# CORRECT: Add validation
import os
if not os.path.exists("medical.csv"):
    raise FileNotFoundError("Dataset file not found: medical.csv")
df = pd.read_csv("medical.csv")
if "diagnosis" not in df.columns:
    raise ValueError(f"Expected column 'diagnosis', found: {df.columns.tolist()}")
if df.empty:
    raise ValueError("DataFrame is empty")
print(f"Class distribution:\n{df['diagnosis'].value_counts(normalize=True)}")
```
---
### 4. Missing Data Not Handled
```python
X = df.drop("diagnosis", axis=1)  # No check for NaN values
```
`SelectKBest` and `RandomForestClassifier` will either crash or produce unreliable results with missing values.
```python
# CORRECT: Check and handle missing values explicitly
print(f"Missing values:\n{X.isnull().sum()}")
if X.isnull().any().any():
    # Choose an appropriate strategy for your domain
    from sklearn.impute import SimpleImputer
    imputer = SimpleImputer(strategy="median")
    X = pd.DataFrame(imputer.fit_transform(X), columns=X.columns)
```
---
### 5. No Feature Type Validation
```python
X = df.drop("diagnosis", axis=1)
# f_classif requires numeric features — no check performed
```
`f_classif` requires all numeric inputs. Non-numeric columns cause a cryptic error.
```python
# CORRECT: Check and handle non-numeric columns
non_numeric = X.select_dtypes(exclude=["number"]).columns.tolist()
if non_numeric:
    print(f"Warning: Non-numeric columns will be dropped or encoded: {non_numeric}")
    X = X.select_dtypes(include=["number"])  # Or use encoding instead
```
---
### 6. Accuracy Is an Insufficient Metric
```python
print(f"Accuracy: {accuracy_score(y_test, y_pred):.4f}")
```
For medical diagnosis datasets, class imbalance is common. A model predicting the majority class always achieves high accuracy while being clinically useless.
```python
# CORRECT: Use multiple metrics appropriate for medical data
from sklearn.metrics import classification_report, confusion_matrix, roc_auc_score
print(classification_report(y_test, y_pred))
print(f"Confusion Matrix:\n{confusion_matrix(y_test, y_pred)}")
# ROC-AUC if binary classification
if len(y.unique()) == 2:
    y_prob = model.predict_proba(X_test_selected)[:, 1]
    print(f"ROC-AUC: {roc_auc_score(y_test, y_prob):.4f}")
```
---
### 7. No Cross-Validation
```python
# Single train/test split gives high-variance performance estimates
X_train, X_test, y_train, y_test = train_test_split(..., random_state=42)
```
```python
# CORRECT: Use cross-validation for more reliable estimates
from sklearn.pipeline import Pipeline
from sklearn.model_selection import StratifiedKFold, cross_val_score
pipeline = Pipeline([
    ("selector", SelectKBest(score_func=f_classif, k=k)),
    ("classifier", RandomForestClassifier(n_estimators=100, random_state=42))
])
cv = StratifiedKFold(n_splits=5, shuffle=True, random_state=42)
scores = cross_val_score(pipeline, X, y, cv=cv, scoring="f1_weighted")
print(f"CV F1: {scores.mean():.4f} ± {scores.std():.4f}")
```
Note: Using a `Pipeline` here also automatically resolves the data leakage issue from point 1.
---
### 8. Model Not Persisted
```python
model.fit(X_train, y_train)
# Model is trained and immediately discarded — can't be reused
```
```python
# CORRECT: Save both the selector and model
import joblib
joblib.dump(selector, "selector.pkl")
joblib.dump(model, "model.pkl")
# To reload later:
# selector = joblib.load("selector.pkl")
# model = joblib.load("model.pkl")
```
---
## Summary Table
| # | Issue | Severity |
|---|-------|----------|
| 1 | Data leakage in feature selection | 🔴 Critical |
| 2 | Hardcoded `k=10` without validation | 🔴 High |
| 3 | No data validation or error handling | 🔴 High |
| 4 | Missing values not handled | 🔴 High |
| 5 | No feature type validation | 🟡 Medium |
| 6 | Accuracy only — insufficient for medical data | 🟡 Medium |
| 7 | No cross-validation | 🟡 Medium |
| 8 | Model not saved | 🟢 Low |
The most critical fix is **data leakage (#1)**, ideally resolved by wrapping the selector and model in a **scikit-learn `Pipeline`**, which handles fit/transform separation automatically and makes cross-validation straightforward.</t>
  </si>
  <si>
    <t># Code Review: Issues and Problems Found
## 1. **No Data Validation or Error Handling** ⚠️
```python
df = pd.read_csv("medical.csv")
```
**Problem:** The code assumes the file exists and is valid. No error handling for:
- Missing file
- Corrupted CSV
- Empty dataframe
**Fix:**
```python
try:
    df = pd.read_csv("medical.csv")
    if df.empty:
        raise ValueError("CSV file is empty")
except FileNotFoundError:
    print("Error: medical.csv not found")
    exit(1)
```
## 2. **No Missing Value Handling** ⚠️
```python
X = df.drop("diagnosis", axis=1)
y = df["diagnosis"]
```
**Problem:** Missing values (NaN) are not checked or handled. This will cause:
- Silent failures in SelectKBest
- Potential crashes in model training
- Biased results
**Fix:**
```python
print(df.isnull().sum())  # Check for missing values
X = df.drop("diagnosis", axis=1).fillna(X.mean())  # or another strategy
y = df["diagnosis"].dropna()
```
## 3. **Feature Selection Leakage** ⚠️ **(CRITICAL)**
```python
selector = SelectKBest(score_func=f_classif, k=10)
X_selected = selector.fit_transform(X, y)
X_train, X_test, y_train, y_test = train_test_split(...)
```
**Problem:** Feature selection is done on the entire dataset BEFORE splitting. This causes data leakage - the test set influences feature selection, leading to overly optimistic performance estimates.
**Fix:**
```python
X_train, X_test, y_train, y_test = train_test_split(
    X, y, test_size=0.2, random_state=42
)
selector = SelectKBest(score_func=f_classif, k=10)
X_train_selected = selector.fit_transform(X_train, y_train)
X_test_selected = selector.transform(X_test)  # Apply same transformation
model.fit(X_train_selected, y_train)
y_pred = model.predict(X_test_selected)
```
## 4. **No Data Type Validation** ⚠️
**Problem:** The code doesn't check if:
- `y` contains valid class labels
- `X` contains numeric features (SelectKBest expects numeric data)
- Categorical features are properly encoded
**Fix:**
```python
print(X.dtypes)
print(y.unique())
# Ensure all X columns are numeric
X = X.select_dtypes(include=['number'])
```
## 5. **Magic Numbers Without Explanation** ⚠️
```python
k=10
test_size=0.2
n_estimators=100
```
**Problem:** These hardcoded values lack justification or documentation.
**Fix:**
```python
# Configuration
FEATURES_TO_SELECT = 10
TEST_SIZE = 0.2
RANDOM_STATE = 42
# Use comments or config files
selector = SelectKBest(score_func=f_classif, k=FEATURES_TO_SELECT)
```
## 6. **No Model Evaluation Metrics** ⚠️
```python
print(f"Accuracy: {accuracy_score(y_test, y_pred):.4f}")
```
**Problem:** Accuracy alone is insufficient for classification evaluation, especially with imbalanced data. Missing:
- Precision, Recall, F1-score
- Confusion matrix
- Cross-validation scores
**Fix:**
```python
from sklearn.metrics import classification_report, confusion_matrix
print(classification_report(y_test, y_pred))
print(confusion_matrix(y_test, y_pred))
```
## 7. **No Feature Scaling** ⚠️
**Problem:** Random Forest doesn't require scaling, but if other algorithms are used later, this could be an issue. Also, for understanding feature importance, scaling matters.
## 8. **No Cross-Validation** ⚠️
**Problem:** Single train/test split is unreliable. Results may depend on the random split.
**Fix:**
```python
from sklearn.model_selection import cross_val_score
scores = cross_val_score(model, X_selected, y, cv=5)
print(f"Cross-validation scores: {scores.mean():.4f} (+/- {scores.std():.4f})")
```
## Summary Table
| Issue | Severity | Category |
|-------|----------|----------|
| No error handling | High | Robustness |
| Data leakage in feature selection | **CRITICAL** | Correctness |
| No missing value handling | High | Data Quality |
| No feature type validation | Medium | Data Quality |
| Magic numbers | Medium | Maintainability |
| Limited evaluation metrics | Medium | Evaluation |
| No cross-validation | Medium | Evaluation |</t>
  </si>
  <si>
    <t>The provided Python code demonstrates a basic machine learning pipeline for classification, including data loading, feature selection, data splitting, model training, and evaluation. However, it contains several issues, including a critical bug leading to **data leakage**, bad practices, and areas for improvement in terms of robustness and comprehensive evaluation.
Here's a detailed breakdown of the problems:
1.  **Critical Issue: Data Leakage during Feature Selection**
    *   **Problem:** The `SelectKBest` feature selection is performed on the *entire* dataset (`X, y`) *before* splitting the data into training and testing sets.
    *   ```python
        selector = SelectKBest(score_func=f_classif, k=10)
        X_selected = selector.fit_transform(X, y) # Data leakage here
        # ...
        X_train, X_test, y_train, y_test = train_test_split(X_selected, y, ...)
        ```
    *   **Explanation:** When `selector.fit_transform(X, y)` is called, the `SelectKBest` algorithm uses the target variable `y` from *all* data points (including those that will eventually be in the test set) to decide which features are the "best" 10. This means the feature selection process has "seen" information from the test set's targets. As a result, the selected features might be overly optimized for the specific test set, leading to an overly optimistic and unrealistic estimate of the model's performance on truly unseen data.
    *   **Bad Practice:** The feature selection step (`fit_transform`) should only be applied to the *training* data. The same fitted selector should then be used to transform both the training and test sets. This is often handled gracefully using `sklearn.pipeline.Pipeline`.
2.  **Arbitrary Hyperparameter Choice for Feature Selection (`k=10`)**
    *   **Problem:** The number of features to select (`k=10`) is hardcoded without any justification or tuning.
    *   **Explanation:** `k=10` might not be the optimal number of features for this specific dataset and model. Choosing `k` arbitrarily can lead to either underfitting (if too few features are selected, losing important information) or overfitting (if too many noisy/irrelevant features are included).
    *   **Bad Practice/Improvement:** `k` is a hyperparameter and should ideally be tuned using techniques like cross-validation (e.g., `GridSearchCV` or `RandomizedSearchCV`) on the training data.
3.  **Lack of Robustness and Error Handling**
    *   **Problem:** The code assumes the "medical.csv" file exists and is correctly formatted, and that a column named "diagnosis" exists in the DataFrame.
    *   ```python
        df = pd.read_csv("medical.csv") # Assumes file exists
        X = df.drop("diagnosis", axis=1) # Assumes 'diagnosis' column exists
        y = df["diagnosis"] # Assumes 'diagnosis' column exists
        ```
    *   **Explanation:** If "medical.csv" is missing, or if the "diagnosis" column is misspelled or absent, the script will crash with a `FileNotFoundError` or `KeyError`, respectively. In a production or more robust script, these assumptions should be validated.
    *   **Bad Practice/Improvement:** Include `try-except` blocks for file operations and check for column existence before proceeding.
4.  **Limited Model Evaluation Metrics**
    *   **Problem:** Only `accuracy_score` is used to evaluate the model's performance.
    *   **Explanation:** While accuracy is a common metric, it can be misleading, especially in cases of imbalanced datasets (where one class significantly outnumbers others). A model that always predicts the majority class can achieve high accuracy but be useless for the minority class.
    *   **Bad Practice/Improvement:** For classification tasks, consider using a more comprehensive set of metrics like:
        *   **Precision:** What proportion of positive identifications were actually correct?
        *   **Recall (Sensitivity):** What proportion of actual positives were identified correctly?
        *   **F1-Score:** The harmonic mean of precision and recall.
        *   **ROC-AUC:** Measures the area under the Receiver Operating Characteristic curve, useful for assessing classifier performance across various threshold settings.
        *   **Confusion Matrix:** Provides a detailed breakdown of correct and incorrect predictions for each class.
        *   `classification_report` from `sklearn.metrics` provides most of these metrics in one go.
5.  **No Cross-Validation for Model Evaluation or Hyperparameter Tuning**
    *   **Problem:** The model is evaluated only on a single train-test split.
    *   **Explanation:** A single train-test split can be sensitive to the particular random split of the data. The performance metric might vary significantly if a different `random_state` was used, making the evaluation less reliable. Furthermore, there's no tuning for the `RandomForestClassifier`'s hyperparameters (e.g., `n_estimators`, `max_depth`, etc.).
    *   **Bad Practice/Improvement:** For more robust evaluation and hyperparameter tuning, cross-validation (e.g., K-Fold Cross-Validation) should be employed. This provides a more reliable estimate of the model's generalization performance and helps in selecting optimal hyperparameters.
### How to Fix the Major Issue (Data Leakage) and Improve the Code:
The most impactful fix is to use `sklearn.pipeline.Pipeline` to encapsulate the feature selection and model training steps, ensuring that feature selection is fitted *only* on the training data and then applied consistently.
```python
import pandas as pd
from sklearn.feature_selection import SelectKBest, f_classif
from sklearn.model_selection import train_test_split, cross_val_score, GridSearchCV
from sklearn.ensemble import RandomForestClassifier
from sklearn.metrics import accuracy_score, classification_report, confusion_matrix
from sklearn.pipeline import Pipeline
import numpy as np # For mean/std of cross_val_score
# 1. Data Loading and Initial Split (Robustness Improvement)
try:
    df = pd.read_csv("medical.csv")
except FileNotFoundError:
    print("Error: medical.csv not found. Please ensure the file is in the correct directory.")
    exit() # Exit if the file isn't found
if "diagnosis" not in df.columns:
    print("Error: 'diagnosis' column not found in the dataset.")
    exit()
X = df.drop("diagnosis", axis=1)
y = df["diagnosis"]
# Ensure y is suitable for classification (e.g., convert if necessary)
# For simplicity, assuming y is already numeric or categorical suitable for sklearn
# 2. Data Splitting (Before Feature Selection to prevent leakage)
# Using a train-validation-test split might be even better for hyperparameter tuning.
X_train, X_test, y_train, y_test = train_test_split(
    X, y, test_size=0.2, random_state=42, stratify=y # Stratify is good for classification
)
# 3. Build a Pipeline to Prevent Data Leakage and Structure the Workflow
# Now, SelectKBest is part of the pipeline and will be fitted ONLY on training data.
pipeline = Pipeline([
    ('feature_selection', SelectKBest(score_func=f_classif)), # k will be tuned
    ('classifier', RandomForestClassifier(random_state=42))
])
# 4. Hyperparameter Tuning using GridSearchCV (Addresses arbitrary k and model params)
# Define a parameter grid for tuning
param_grid = {
    'feature_selection__k': [5, 10, 15, 20, 'all'], # Tune 'k' for SelectKBest
    'classifier__n_estimators': [50, 100, 200], # Tune n_estimators for RandomForest
    'classifier__max_depth': [None, 10, 20] # Tune max_depth
}
grid_search = GridSearchCV(pipeline, param_grid, cv=5, scoring='accuracy', n_jobs=-1, verbose=1)
grid_search.fit(X_train, y_train) # Fit grid search only on the training data
print(f"Best parameters found: {grid_search.best_params_}")
print(f"Best cross-validation accuracy: {grid_search.best_score_:.4f}")
# 5. Evaluate the best model on the unseen test set
best_model = grid_search.best_estimator_
y_pred = best_model.predict(X_test)
print("\n--- Model Evaluation on Test Set ---")
print(f"Accuracy: {accuracy_score(y_test, y_pred):.4f}")
print("\nClassification Report:")
print(classification_report(y_test, y_pred))
print("\nConfusion Matrix:")
print(confusion_matrix(y_test, y_pred))
# Optional: More robust evaluation using cross_val_score on the entire dataset
# (after selecting best parameters, to get a final performance estimate with less variance)
# However, if your test set is truly meant to be unseen, stick to the above evaluation.
# scores = cross_val_score(best_model, X, y, cv=5, scoring='accuracy', n_jobs=-1)
# print(f"\nCross-validated accuracy (5-fold): {np.mean(scores):.4f} (+/- {np.std(scores)*2:.4f})")
```</t>
  </si>
  <si>
    <t>This code does contain a form of data leakage. The issue arises from the use of `SelectKBest` feature selection before the train-test split. Here is a detailed explanation:
1. **Feature Selection with `SelectKBest`:** 
   - The pipeline uses `SelectKBest` to select the top 10 features based on an ANOVA F-value (`f_classif`). This step is applied to the entire dataset (`X` and `y`) before splitting the data into training and test sets.
   - This leads to data leakage because the feature selection process is using information from the entire dataset, including the test set. As a result, the features selected are influenced by the entire data distribution, which includes the information that should be held out for final evaluation.
2. **Problem:** 
   - Since the test set data influences the selection of features, the pipeline might select features that have higher predictive power specifically on the test data due to random noise or particular characteristics of that data. This can result in an overestimation of model performance, as the model indirectly "knows" something about the test set.
3. **Solution:** 
   - To prevent this kind of data leakage, the feature selection process should be performed using only the training data, rather than the entire dataset. Here is a corrected version of the code:
```python
import pandas as pd
from sklearn.feature_selection import SelectKBest, f_classif
from sklearn.model_selection import train_test_split
from sklearn.ensemble import RandomForestClassifier
from sklearn.metrics import accuracy_score
# Load data
df = pd.read_csv("medical.csv")
X = df.drop("diagnosis", axis=1)
y = df["diagnosis"]
# Split the data into training and test sets
X_train, X_test, y_train, y_test = train_test_split(
    X, y, test_size=0.2, random_state=42
)
# Feature selection on the training data only
selector = SelectKBest(score_func=f_classif, k=10)
X_train_selected = selector.fit_transform(X_train, y_train)
X_test_selected = selector.transform(X_test)
# Train the model
model = RandomForestClassifier(n_estimators=100, random_state=42)
model.fit(X_train_selected, y_train)
# Predict and evaluate
y_pred = model.predict(X_test_selected)
print(f"Accuracy: {accuracy_score(y_test, y_pred):.4f}")
```
By performing feature selection only on the training data (`X_train` and `y_train`), and then applying the same selected features to the test data, we ensure that no information from the test data influences the selection of features, thus preventing data leakage.</t>
  </si>
  <si>
    <t>The provided code contains a form of data leakage. The leakage occurs in the way the feature selection is applied using `SelectKBest` before the dataset is split into training and testing sets. Let's break down the specifics:
### Location and Explanation of Data Leakage:
1. **Feature Selection Before Data Splitting**:
   The line `X_selected = selector.fit_transform(X, y)` applies the feature selection method to the entire dataset (both training and testing data) before splitting it into train and test sets. This means that the `SelectKBest` transformation is influenced by both the training and test data. Specifically, during the fitting process, the feature selection algorithm has access to the entire target variable `y`, which includes labels from the test set.
### Why This is a Problem:
- **Leakage of Test Information**: By fitting the feature selector on the entire dataset, the model gains access to information from the test set, which should not be available during the training process. This can lead to overly optimistic performance metrics, as the selected features may inadvertently include information that would not be available at the time of prediction.
- **Generalization Issue**: This practice compromises the model's ability to generalize to unseen data. When the model is evaluated, it might perform well due to having been trained with features that were influenced by the test set data, not because the model has genuinely learned to discriminate between the true positive and negative cases based solely on the training data.
### Recommended Fix:
To avoid this form of data leakage, the feature selection should be performed after splitting the dataset into training and test sets. Here's how that part of the code should be altered:
```python
X_train, X_test, y_train, y_test = train_test_split(X, y, test_size=0.2, random_state=42)
selector = SelectKBest(score_func=f_classif, k=10)
X_train_selected = selector.fit_transform(X_train, y_train)
X_test_selected = selector.transform(X_test)
```
This revised approach ensures that feature selection is based only on the training data, meaning that the transformation applied to `X_test` does not incorporate any information from the test set. This change mitigates the risk of data leakage and leads to a more accurate assessment of the model's performance.</t>
  </si>
  <si>
    <t>## Data Leakage Analysis
**The code contains data leakage.** There is one clear violation, and I'll explain precisely where it occurs and why it matters.
---
### The Problem: Feature Selection Before Train/Test Split
```python
# LEAKAGE OCCURS HERE — uses ALL data including future "test" samples
selector = SelectKBest(score_func=f_classif, k=10)
X_selected = selector.fit_transform(X, y)  # ← fit on entire dataset
# Split happens AFTER the selector has already seen everything
X_train, X_test, y_train, y_test = train_test_split(
    X_selected, y, test_size=0.2, random_state=42
)
```
#### Why This Is Leakage
`SelectKBest` with `f_classif` computes an **ANOVA F-statistic** between each feature and the target label `y` across the **entire dataset** — including the rows that will later become the test set.
This means:
- The feature ranking/selection was influenced by the labels of test samples
- The test set's target information secretly guided which features were kept
- The model is evaluated on data that **indirectly shaped its input representation**
The test set is supposed to simulate **unseen future data**, but here it has already contributed statistical signal to the preprocessing step.
---
### Why This Inflates Performance
```
Real-world scenario:          Your pipeline:
─────────────────────         ─────────────────
Train data → select features  All data → select features  ← test labels leak in
Train data → fit model        Train data → fit model
Test data  → evaluate         Test data  → evaluate (already "seen")
```
With leakage, `SelectKBest` may retain features that appear predictive **partly because of the test set's labels**. This produces optimistic accuracy estimates that won't generalize.
---
### Correct Fix: Use a Pipeline
The selector must be **fit only on training data**. The cleanest approach uses `sklearn.pipeline.Pipeline`, which enforces this automatically:
```python
import pandas as pd
from sklearn.feature_selection import SelectKBest, f_classif
from sklearn.model_selection import train_test_split
from sklearn.ensemble import RandomForestClassifier
from sklearn.metrics import accuracy_score
from sklearn.pipeline import Pipeline
df = pd.read_csv("medical.csv")
X = df.drop("diagnosis", axis=1)
y = df["diagnosis"]
# Split FIRST, before any fitting
X_train, X_test, y_train, y_test = train_test_split(
    X, y, test_size=0.2, random_state=42
)
# Pipeline ensures selector is fit only on training data
pipeline = Pipeline([
    ("selector", SelectKBest(score_func=f_classif, k=10)),
    ("model", RandomForestClassifier(n_estimators=100, random_state=42))
])
pipeline.fit(X_train, y_train)          # selector sees only train labels
y_pred = pipeline.predict(X_test)       # selector applied (not fit) to test
print(f"Accuracy: {accuracy_score(y_test, y_pred):.4f}")
```
#### What the Pipeline Enforces
| Step | `fit()` called on | `transform()` applied to |
|---|---|---|
| `SelectKBest` | `X_train, y_train` only | Both train and test |
| `RandomForestClassifier` | Transformed `X_train` only | `X_test` at predict time |
---
### Summary
| Issue | Location | Impact |
|---|---|---|
| `selector.fit_transform(X, y)` before split | Lines 11–12 | Test labels influence feature selection; accuracy is overstated |
**Rule of thumb:** Any step that **learns from data** (has a `fit` method) must only ever be fit on training data. Splitting first — or using a `Pipeline` — enforces this boundary automatically.</t>
  </si>
  <si>
    <t># Data Leakage Review
## **CRITICAL DATA LEAKAGE FOUND** ⚠️
This code contains **severe data leakage** in the feature selection step.
### The Problem
```python
selector = SelectKBest(score_func=f_classif, k=10)
X_selected = selector.fit_transform(X, y)  # ❌ FIT ON ENTIRE DATASET
X_train, X_test, y_train, y_test = train_test_split(
    X_selected, y, test_size=0.2, random_state=42
)
```
**The feature selector is fit on the entire dataset (X, y) *before* splitting into train/test sets.** This means:
1. The selector uses information from test samples when deciding which 10 features are "best"
2. Test set statistics are leaked into the feature selection process
3. The model effectively "sees" test data indirectly through the selected features
4. Performance metrics are artificially inflated and non-representative
### Why This Matters
`SelectKBest` with `f_classif` scores features based on their correlation with the target. When you fit on all data:
- Features are ranked using information from test samples
- The ranking may favor features that happen to correlate well *in the test set*
- Your test accuracy will be optimistically biased and won't generalize to truly unseen data
### The Fix
**Fit the feature selector only on training data:**
```python
X_train, X_test, y_train, y_test = train_test_split(
    X, y, test_size=0.2, random_state=42
)
selector = SelectKBest(score_func=f_classif, k=10)
X_train_selected = selector.fit_transform(X_train, y_train)  # ✓ FIT ONLY ON TRAIN
X_test_selected = selector.transform(X_test)  # ✓ TRANSFORM TEST ONLY
model = RandomForestClassifier(n_estimators=100, random_state=42)
model.fit(X_train_selected, y_train)
y_pred = model.predict(X_test_selected)
print(f"Accuracy: {accuracy_score(y_test, y_pred):.4f}")
```
**Key principle:** Any data preprocessing/transformation must be fit on training data only, then applied to test data.</t>
  </si>
  <si>
    <t>Yes, this code contains a form of **data leakage**.
### Where Data Leakage Occurs
The data leakage occurs in the following line:
```python
X_selected = selector.fit_transform(X, y)
```
And specifically, it's problematic because it happens *before* the `train_test_split`:
```python
X_train, X_test, y_train, y_test = train_test_split(
    X_selected, y, test_size=0.2, random_state=42
)
```
### Why It Is a Problem
1.  **Feature Selection Process:** The `SelectKBest` method, with `f_classif` as its scoring function, determines the "best" features by evaluating their statistical relationship with the target variable `y`.
2.  **Using the Entire Dataset:** When `selector.fit_transform(X, y)` is called, the `SelectKBest` algorithm learns which features to select based on the entire dataset `X` and its corresponding target variable `y`. This `y` contains the target labels for *both* the future training *and* test sets.
3.  **Information Leakage:** By using the `y` from the entire dataset to select features, the feature selection process inadvertently "sees" the target values of the test set. This means the features chosen for the model are influenced by information from the data that is supposed to be unseen during training.
4.  **Overly Optimistic Performance:** This leakage leads to an overly optimistic evaluation of the model's performance. The selected features might be too specific to the entire dataset (including the test set), and the reported accuracy will likely be higher than what would be achieved if feature selection were done *only* on the training set, mimicking a real-world scenario where the model encounters truly unseen data.
### How to Fix It
To prevent this data leakage, any preprocessing steps that learn parameters from the data (like feature selection, scaling, imputation, PCA, etc.) must be fitted *only on the training data*. The fitted preprocessor can then be used to transform both the training and test data.
Here's the corrected approach: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 1. Perform train-test split FIRST
X_train_full, X_test_full, y_train, y_test = train_test_split(
    X, y, test_size=0.2, random_state=42
)
# 2. Initialize the selector
selector = SelectKBest(score_func=f_classif, k=10)
# 3. Fit the selector ONLY on the training data
X_train = selector.fit_transform(X_train_full, y_train)
# 4. Transform the test data using the *already fitted* selector
#    (It should not learn anything new from the test data)
X_test = selector.transform(X_test_full)
# Now, X_train and X_test are correctly prepared without leakage
model = RandomForestClassifier(n_estimators=100, random_state=42)
model.fit(X_train, y_train)
y_pred = model.predict(X_test)
print(f"Accuracy: {accuracy_score(y_test, y_pred):.4f}")
```
By performing the `train_test_split` before feature selection, and then fitting `SelectKBest` only on the training data, you ensure that the feature selection process does not gain any information from the test set's target variable, thus preventing data leakage.</t>
  </si>
  <si>
    <t>The Python code provided is generally well-structured and follows good practices for a typical machine learning workflow. However, there are still a few things worth noting:
1. **Hardcoded File Path**:
    - Issue: The code uses a hardcoded file path (`"medical.csv"`). This can lead to issues if the file is placed in a different directory or if the code needs to be reused in another project.
    - Suggestion: Consider using configuration files or command-line arguments to specify file paths.
2. **Potential Data Leakage**:
    - Issue: The SelectKBest feature selection is applied separately to the training and test data, which can introduce data leakage since the test set information is not only to be exposed until after model selection.
    - Suggestion: Split the data first and perform feature selection using only the training data, then apply the same selection to the test data without refitting.
3. **No Check for NaN or Missing Values**:
    - Issue: There is no check or handling of NaN or missing values in the dataset. If `df` contains any missing values, operations like `fit_transform` can fail or lead to incorrect results.
    - Suggestion: Before proceeding with model training, check for and handle missing values by either imputing them or removing affected rows/columns.
4. **Assumption of Classification Problem**:
    - Issue: The code assumes that the target (`df["diagnosis"]`) is suitable for a classification problem. This must be verified, as incorrect assumptions can lead to poor model performance.
    - Suggestion: Confirm dataset and problem type. Ensure the target variables are appropriate for classification.
5. **Magic Numbers**:
    - Issue: There are several 'magic numbers' (e.g., `0.2`, `10`, `100`) in the code, which may obscure their meaning and make the code less maintainable.
    - Suggestion: Use named constants or configuration variables for such values to make their purpose clearer.
6. **Absence of Model Evaluation Beyond Accuracy**:
    - Issue: Using `accuracy_score` gives a limited view of the model's performance, especially if the dataset is imbalanced.
    - Suggestion: Include additional evaluation metrics like confusion matrix, precision, recall, F1 score, or ROC-AUC depending on the problem context, particularly if class imbalance is suspected.
By addressing these points, you can make the code more robust, maintainable, and effective at solving the intended problem.</t>
  </si>
  <si>
    <t xml:space="preserve">The provided Python code is functional, but there are several issues and areas for improvement, both in terms of potential errors or bugs and best practices. Here are the issues identified along with explanations for each:
1. **Hardcoded File Path**:
   - **Issue**: The code uses a hardcoded file path (`"medical.csv"`), which assumes that the file is present in the current working directory. This can lead to `FileNotFoundError` if the file is not found.
   - **Best Practice**: It is better to use a configuration file or command-line argument to specify file paths, so the code can be more flexible and portable.
2. **Column Existence Check**:
   - **Issue**: There is no check to ensure that the "diagnosis" column exists in the DataFrame `df`. If this column is absent, the code will raise a `KeyError`.
   - **Best Practice**: Include a check to ensure that the required columns exist in the DataFrame, which will make the code more robust.
3. **Assumption of K Value in SelectKBest**:
   - **Issue**: The code employs `SelectKBest` with a fixed number `k=10`. If the dataset has fewer than 10 features, this will raise a `ValueError`.
   - **Best Practice**: Consider checking the number of features in `X` before setting `k`, or use `k='all'` to retain all features if there aren’t enough.
4. **Lack of Data Preprocessing**:
   - **Issue**: The code does not include any data preprocessing steps (e.g., handling missing values, scaling features, encoding categorical variables) which can be critical for the performance of machine learning models.
   - **Best Practice**: Before performing feature selection and model training, implement proper data preprocessing to handle various data issues.
5. **No Model Validation**:
   - **Issue**: The code evaluates the model using accuracy without examining other metrics, especially when dealing with imbalanced classes. This can give a misleading perception of the model's performance.
   - **Best Practice**: Utilize other evaluation metrics such as precision, recall, F1-score, or AUC-ROC for a more comprehensive performance analysis.
6. **In-place Modification of `X_train`**:
   - **Issue**: The line `X_train = selector.fit_transform(X_train, y_train)` modifies `X_train`, and subsequently, `X_test` is transformed based on the fit. However, this will not create a feature set containing consistent features post-transformation if there are no features selected.
   - **Best Practice**: Always check if `k` does not exceed the available features, and consider keeping track of which features were selected.
7. **Potential Issues with RandomForestClassifier Hyperparameters**:
   - **Issue**: The `RandomForestClassifier` uses default hyperparameters apart from `n_estimators` and `random_state`, which might not be optimal for your dataset.
   - **Best Practice**: Explore parameter tuning using techniques like GridSearchCV or RandomizedSearchCV to find the best parameters for the model.
8. **Using Print for Output**:
   - **Issue**: The code prints the accuracy directly. This is acceptable for quick checks but is not ideal for production-level code or scripts.
   - **Best Practice**: Consider logging the results using the `logging` library or returning them from a function for better traceability and debugging.
Here’s an updated, more robust version of the code incorporating these suggestions:
```python
import pandas as pd
from sklearn.feature_selection import SelectKBest, f_classif
from sklearn.model_selection import train_test_split
from sklearn.ensemble import RandomForestClassifier
from sklearn.metrics import accuracy_score, classification_report
from sklearn.preprocessing import StandardScaler
from sklearn.impute import SimpleImputer
# Load data with error handling
try:
    df = pd.read_csv("medical.csv")
except FileNotFoundError:
    print("File not found. Please check the path to 'medical.csv'.")
    raise
# Check for required columns
if "diagnosis" not in df.columns:
    raise ValueError("The 'diagnosis' column is missing from the DataFrame.")
X = df.drop("diagnosis", axis=1)
y = df["diagnosis"]
# Data preprocessing: handle missing values and scale features
imputer = SimpleImputer(strategy='mean')
scaler = StandardScaler()
X = imputer.fit_transform(X)  # Handle missing values
X = scaler.fit_transform(X)    # Scale features
X_train, X_test, y_train, y_test = train_test_split(
    X, y, test_size=0.2, random_state=42
)
# Ensure k does not exceed available features
num_features = X_train.shape[1]
k = min(10, num_features)
selector = SelectKBest(score_func=f_classif, k=k)
X_train = selector.fit_transform(X_train, y_train)
X_test = selector.transform(X_test)
model = RandomForestClassifier(n_estimators=100, random_state=42)
model.fit(X_train, y_train)
y_pred = model.predict(X_test)
# Better evaluation metrics
print(f"Accuracy: {accuracy_score(y_test, y_pred):.4f}")
print(classification_report(y_test, y_pred))
``` 
This refactored code addresses numerous issues while adhering to better practices.
</t>
  </si>
  <si>
    <t>## Code Review
The code is functional but has several issues ranging from critical problems to best practice violations. Here's a thorough analysis:
---
### 1. No Error Handling for Data Loading
```python
# Problem: Will crash with an unhelpful error if file is missing or malformed
df = pd.read_csv("medical.csv")
# Better: Validate early with a clear message
import sys
import os
if not os.path.exists("medical.csv"):
    sys.exit("Error: 'medical.csv' not found.")
df = pd.read_csv("medical.csv")
```
---
### 2. No Data Validation After Loading
```python
# Problem: Silently proceeds even if the target column is missing,
# the DataFrame is empty, or expected columns don't exist
df = pd.read_csv("medical.csv")
# Better: Validate before proceeding
assert not df.empty, "Loaded DataFrame is empty."
assert "diagnosis" in df.columns, "Missing required column: 'diagnosis'."
print(f"Loaded {len(df)} rows, {df.shape[1]} columns.")
```
---
### 3. Missing Data Is Ignored
```python
# Problem: Neither X nor y is checked for NaN values.
# RandomForest will raise a cryptic error; SelectKBest may silently
# produce unreliable scores when NaNs are present.
X = df.drop("diagnosis", axis=1)
# Better: Make a deliberate, documented choice
print(f"Missing values per column:\n{X.isnull().sum()}")
# Option A — drop rows with missing values
df = df.dropna()
# Option B — impute (preferred to preserve data)
from sklearn.impute import SimpleImputer
imputer = SimpleImputer(strategy="median")
X = pd.DataFrame(imputer.fit_transform(X_train), columns=X.columns)
```
---
### 4. Non-Numeric Features Are Not Handled
```python
# Problem: SelectKBest with f_classif and RandomForest both require
# numeric input. Categorical columns will cause a runtime error or,
# worse, be silently cast to meaningless numeric codes.
X = df.drop("diagnosis", axis=1)
# Better: Explicitly encode categoricals
from sklearn.preprocessing import LabelEncoder
categorical_cols = X.select_dtypes(include=["object", "category"]).columns
for col in categorical_cols:
    X[col] = LabelEncoder().fit_transform(X[col].astype(str))
# Or use pd.get_dummies for one-hot encoding where appropriate
X = pd.get_dummies(X, drop_first=True)
```
---
### 5. Hardcoded `k=10` in SelectKBest
```python
# Problem: k=10 is arbitrary. If the dataset has fewer than 10 features,
# this raises a ValueError. If it has many more, 10 may be too few or too many.
selector = SelectKBest(score_func=f_classif, k=10)
# Better: Validate k against actual feature count, or tune it
n_features = X_train.shape[1]
k = min(10, n_features)  # Safe fallback
# Ideally, treat k as a hyperparameter and tune it:
from sklearn.pipeline import Pipeline
from sklearn.model_selection import GridSearchCV
pipeline = Pipeline([
    ("selector", SelectKBest(score_func=f_classif)),
    ("classifier", RandomForestClassifier(n_estimators=100, random_state=42)),
])
param_grid = {"selector__k": [5, 10, 15, 20]}
grid_search = GridSearchCV(pipeline, param_grid, cv=5, scoring="accuracy")
grid_search.fit(X_train, y_train)
```
---
### 6. Feature Selection Should Be Inside a Pipeline
```python
# Problem: Manually calling fit_transform on the training set and transform
# on the test set works here, but this pattern is error-prone and breaks
# down in cross-validation, where each fold must select features independently.
# Fitting on the full training set before CV leaks information.
selector = SelectKBest(score_func=f_classif, k=10)
X_train = selector.fit_transform(X_train, y_train)
X_test = selector.transform(X_test)
# Better: Use a Pipeline so preprocessing is always fold-safe
from sklearn.pipeline import Pipeline
pipeline = Pipeline([
    ("selector", SelectKBest(score_func=f_classif, k=10)),
    ("classifier", RandomForestClassifier(n_estimators=100, random_state=42)),
])
pipeline.fit(X_train, y_train)
y_pred = pipeline.predict(X_test)
```
---
### 7. Class Imbalance Is Ignored
```python
# Problem: Medical datasets are commonly imbalanced (e.g., 95% negative
# diagnoses). Accuracy is a misleading metric in that case — a model that
# always predicts the majority class can score 95% while being useless.
print(f"Accuracy: {accuracy_score(y_test, y_pred):.4f}")
# Better: Use multiple metrics and address imbalance explicitly
from sklearn.metrics import classification_report, roc_auc_score
print(classification_report(y_test, y_pred))
print(f"ROC-AUC: {roc_auc_score(y_test, y_pred):.4f}")
# Also check and address the imbalance in training
print(f"Class distribution:\n{y.value_counts(normalize=True)}")
# Option: Pass class_weight to the classifier
model = RandomForestClassifier(
    n_estimators=100,
    random_state=42,
    class_weight="balanced"   # Compensates for imbalanced classes
)
```
---
### 8. No Cross-Validation
```python
# Problem: A single train/test split gives a high-variance estimate of
# model performance. The result may be lucky or unlucky depending on
# how the data happened to be split.
X_train, X_test, y_train, y_test = train_test_split(
    X, y, test_size=0.2, random_state=42
)
# Better: Use cross-validation for a reliable estimate
from sklearn.model_selection import cross_val_score, StratifiedKFold
cv = StratifiedKFold(n_splits=5, shuffle=True, random_state=42)
scores = cross_val_score(pipeline, X, y, cv=cv, scoring="roc_auc")
print(f"CV ROC-AUC: {scores.mean():.4f} ± {scores.std():.4f}")
```
---
### 9. No Reproducibility Safeguards Beyond `random_state`
```python
# Problem: random_state is set on the model and split but not globally.
# Results can differ across library versions with no warning.
# Better: Document and pin dependencies
import numpy as np
np.random.seed(42)  # Global seed as an additional safeguard
# And maintain a requirements file:
# pip freeze &gt; requirements.txt
```
---
### 10. No Logging or Experiment Tracking
```python
# Problem: The only output is a single accuracy number. There's no record
# of which features were selected, what the model parameters were, or
# how the data was split. This makes the experiment impossible to reproduce
# or audit — especially important in a medical context.
# Better: Log key details explicitly
selected_mask = selector.get_support()
selected_features = X.columns[selected_mask].tolist()
print(f"Selected features: {selected_features}")
print(f"Model parameters: {model.get_params()}")
print(f"Training samples: {len(X_train)}, Test samples: {len(X_test)}")
# For production medical software, consider MLflow or a similar tracker:
# import mlflow
# mlflow.log_params(model.get_params())
# mlflow.log_metric("accuracy", accuracy_score(y_test, y_pred))
```
---
## Summary Table
| # | Issue | Severity</t>
  </si>
  <si>
    <t># Code Review: Issues and Problems
## 1. **Data Leakage (CRITICAL)** ⚠️
```python
selector = SelectKBest(score_func=f_classif, k=10)
X_train = selector.fit_transform(X_train, y_train)
X_test = selector.transform(X_test)
```
**Problem:** Feature selection is fit on training data, which is correct, but the selector learns which features are most important based on training labels. This can lead to overfitting and inflated accuracy scores.
**Better Practice:** Feature selection should ideally be part of a pipeline or cross-validated to prevent data leakage.
```python
from sklearn.pipeline import Pipeline
pipeline = Pipeline([
    ('selector', SelectKBest(score_func=f_classif, k=10)),
    ('model', RandomForestClassifier(n_estimators=100, random_state=42))
])
pipeline.fit(X_train, y_train)
y_pred = pipeline.predict(X_test)
```
## 2. **No Error Handling**
```python
df = pd.read_csv("medical.csv")
```
**Problem:** No handling if file doesn't exist or is malformed. Silent failures can occur.
**Fix:**
```python
try:
    df = pd.read_csv("medical.csv")
except FileNotFoundError:
    print("Error: medical.csv not found")
    exit(1)
except pd.errors.EmptyDataError:
    print("Error: CSV file is empty")
    exit(1)
```
## 3. **No Data Validation**
**Problem:** No checks for:
- Missing values in the dataset
- Whether "diagnosis" column exists
- Data types are appropriate
- Class imbalance issues
**Fix:**
```python
print(df.info())
print(df.isnull().sum())
print(df["diagnosis"].value_counts())
```
## 4. **Arbitrary Feature Count**
```python
selector = SelectKBest(score_func=f_classif, k=10)
```
**Problem:** Hardcoding `k=10` without justification. What if there are only 5 features? What if 10 isn't optimal?
**Better Practice:**
```python
k = min(10, X_train.shape[1])  # Don't exceed available features
# Or use cross-validation to find optimal k
```
## 5. **Limited Model Evaluation**
```python
print(f"Accuracy: {accuracy_score(y_test, y_pred):.4f}")
```
**Problem:** Only reports accuracy, which is inadequate for:
- Imbalanced datasets (accuracy can be misleading)
- Medical diagnosis problems (false positives/negatives matter)
**Better Practice:**
```python
from sklearn.metrics import classification_report, confusion_matrix
print(classification_report(y_test, y_pred))
print(confusion_matrix(y_test, y_pred))
```
## 6. **No Train Set Verification**
**Problem:** Doesn't verify model isn't overfitting by comparing train vs test performance.
**Fix:**
```python
y_train_pred = model.predict(X_train)
train_acc = accuracy_score(y_train, y_train_pred)
test_acc = accuracy_score(y_test, y_pred)
print(f"Train Accuracy: {train_acc:.4f}")
print(f"Test Accuracy: {test_acc:.4f}")
```
## 7. **Silent Assumptions**
**Problem:** Assumes:
- All features are numerical (f_classif may not work with categorical data)
- Data is already clean
- No scaling is needed
## Summary Table
| Issue | Severity | Type |
|-------|----------|------|
| Data Leakage | Critical | Design Flaw |
| No Error Handling | High | Robustness |
| No Data Validation | High | Robustness |
| Arbitrary k value | Medium | Design |
| Limited Evaluation | High | Analytics |
| No Train/Test Comparison | Medium | Analytics |
| Silent Assumptions | Medium | Code Quality |</t>
  </si>
  <si>
    <t>The provided Python code snippet demonstrates a basic machine learning workflow, including data loading, train-test splitting, feature selection, model training, and evaluation. While functional, it exhibits several issues, bugs, and bad practices common in introductory or quickly-written scripts.
Here's a breakdown of the problems:
---
### Identified Issues, Bugs, and Bad Practices:
1.  **Hardcoded File Path and Column Names:**
    *   `df = pd.read_csv("medical.csv")`
    *   `X = df.drop("diagnosis", axis=1)`
    *   `y = df["diagnosis"]`
    *   **Problem:** The filename ("medical.csv") and the target column name ("diagnosis") are hardcoded strings. This makes the code inflexible; it will break or require manual edits if the dataset file name changes, the target column has a different name, or if you want to use a different dataset entirely.
    *   **Bad Practice:** Makes the code less reusable and more prone to errors when applied to new contexts.
2.  **Lack of Data Preprocessing/Cleaning:**
    *   The code directly uses the loaded data `df` without any checks or transformations.
    *   **Problem:** Assumes the data is perfectly clean and ready for modeling. Real-world datasets often have:
        *   **Missing Values:** `SelectKBest` and `RandomForestClassifier` may not handle NaNs directly (though `RandomForestClassifier` can handle some forms of missing data with specific parameters, `f_classif` certainly requires complete data).
        *   **Categorical Features:** If `X` contains categorical columns, `f_classif` (which is based on ANOVA, expecting numerical input) would raise an error unless they are in a format that `f_classif` can somehow interpret numerically (e.g., if they were loaded as objects/strings, this would likely fail). Even if they are integer-encoded, `f_classif` might misinterpret the ordinality.
        *   **Feature Scaling:** While `RandomForestClassifier` is generally robust to feature scaling, other models are not. The absence of scaling steps is a missed opportunity for a more generalizable workflow.
    *   **Bad Practice:** Skipping crucial data preparation steps can lead to errors, poor model performance, or incorrect interpretations.
3.  **Hardcoded Feature Selection Parameter (`k=10`):**
    *   `selector = SelectKBest(score_func=f_classif, k=10)`
    *   **Problem:** The number of features to select (`k=10`) is arbitrarily set. It's unlikely that 10 is the optimal number of features for every dataset or even this specific dataset.
    *   **Bad Practice:** Optimal `k` usually depends on the data characteristics and should ideally be determined through hyperparameter tuning (e.g., using cross-validation) rather than being fixed.
4.  **Loss of Column Names After Feature Selection:**
    *   `X_train = selector.fit_transform(X_train, y_train)`
    *   `X_test = selector.transform(X_test)`
    *   **Problem:** `SelectKBest` returns a NumPy array. This means that after feature selection, `X_train` and `X_test` lose their original Pandas DataFrame structure, including column names.
    *   **Bad Practice:** Losing column names makes it impossible to know *which* 10 features were selected without extra steps, hindering interpretability, debugging, and further analysis (e.g., feature importance analysis on the *selected* features).
5.  **Limited Model Evaluation Metric (Accuracy Only):**
    *   `print(f"Accuracy: {accuracy_score(y_test, y_pred):.4f}")`
    *   **Problem:** Accuracy can be a misleading metric, especially if the target variable (`y`) is imbalanced. For instance, if 90% of samples are of one class, a model that always predicts that class would achieve 90% accuracy but be useless.
    *   **Bad Practice:** Relying solely on accuracy can hide significant issues in model performance. For classification, it's generally better to look at a suite of metrics like precision, recall, F1-score, ROC AUC, or a confusion matrix, especially in medical contexts where false positives and false negatives can have critical implications.
6.  **No Cross-Validation:**
    *   The code uses a single `train_test_split`.
    *   **Problem:** A single train-test split provides only one estimate of the model's performance. This estimate can be highly variable depending on how the data was split. It might be overly optimistic or pessimistic and does not reliably indicate how the model will generalize to new, unseen data from the same distribution.
    *   **Bad Practice:** Cross-validation (e.g., k-fold cross-validation) is a more robust method for estimating model performance and assessing its generalization ability, as it uses multiple train-test splits.
7.  **No Scikit-learn Pipeline:**
    *   The feature selection and model training steps are executed sequentially.
    *   **Problem:** While correct in this simple case (where `fit_transform` is used on `X_train` and `transform` on `X_test` to prevent data leakage from the test set *into* feature selection), this manual sequencing can become cumbersome and error-prone in more complex workflows, especially when incorporating preprocessing or hyperparameter tuning with cross-validation.
    *   **Bad Practice:** Scikit-learn `Pipeline` objects are designed to chain these steps together. A pipeline ensures that transformations (like feature selection) are consistently applied to the data, and crucially, prevents data leakage during hyperparameter tuning with cross-validation by applying `fit_transform` only on the training folds and `transform` on the validation/test folds within each split.
8.  **Lack of Comments and Documentation:**
    *   The code has no comments explaining what each section does, the rationale behind choices (e.g., `k=10`), or potential considerations.
    *   **Bad Practice:** Makes the code harder to understand, maintain, and debug for anyone (including the original author in the future).
9.  **Potential `f_classif` Misuse (Implicit Assumption of Numerical Features):**
    *   `score_func=f_classif`
    *   **Problem:** `f_classif` (ANOVA F-value) assumes that the features `X` are numerical. If the DataFrame `X` contains non-numeric columns (e.g., strings representing categories), `f_classif` will raise an error or produce incorrect results if they were somehow coerced to numbers. While `pandas` often converts objects to numbers if possible, this is not guaranteed for all datasets.
    *   **Bad Practice:** Not explicitly handling or verifying feature types can lead to hidden errors or incorrect model behavior.
---
### Summary of Recommended Improvements:
1.  **Configuration:** Use variables or a configuration file for file paths, column names, and key hyperparameters (like `k` for `SelectKBest`, `test_size`, `n_estimators`).
2.  **Data Preprocessing:** Add explicit steps for handling missing values (imputation), encoding categorical features (one-hot encoding, ordinal encoding), and potentially scaling numerical features.
3.  **Robust Feature Selection:** Integrate `SelectKBest` into a `Pipeline` and consider tuning `k` using `GridSearchCV` or `RandomizedSearchCV` with cross-validation.
4.  **Comprehensive Evaluation:** Report multiple metrics (precision, recall, F1-score, ROC AUC, confusion matrix) relevant to the problem, especially for imbalanced datasets.
5.  **Cross-Validation:** Implement k-fold cross-validation to get a more reliable estimate of model performance.
6.  **Scikit-learn Pipelines:** Encapsulate the sequence of preprocessing, feature selection, and model training within a `Pipeline`. This improves code organization, prevents data leakage during hyperparameter tuning, and simplifies the workflow.
7.  **Documentation:** Add comments to explain complex logic, choices, and assumptions. Consider docstrings for functions if the code were organized into them.
8.  **Error Handling:** Add basic error handling for file operations (e.g., using `try-except` for `pd.read_csv`).
9.  **Feature Name Preservation:** If column names are critical after feature selection, methods like `selector.get_support(indices=True)` can be used to identify selected columns, and then a new DataFrame can be constructed.</t>
  </si>
  <si>
    <t>The provided code contains data leakage in the feature selection process. Let's break down where and why this happens:
### Data Leakage Explanation:
1. **Feature Selection with SelectKBest**:
   - `SelectKBest` is used to select the top 10 features based on the ANOVA F-value (`f_classif`) between features and the target.
   - The issue arises from applying `selector.fit_transform(X_train, y_train)` followed by `selector.transform(X_test)`. At first glance, this might seem correct since fitting is done on `X_train` and `y_train`.
2. **Scope of Fitting**:
   - `SelectKBest` is designed to select features that have the highest correlation with the target variable. When `selector` is fit on the entirety of `X_train`, it uses `y_train` to decide the features, which is correct.
   - However, using `selector.transform(X_test)` on the test set might give the impression that it's safe. But implicitly, the selection of features based on `y_train` biases the selection process with all training set information without regard to possible independent distributions in the test set.
   - Moreover, this can lead to hyperparameter tuning implicitly being informed by seeing the outcomes, as feature selection may optimize purely for the training set dynamics, conveying indirect target leakages.
### Problem:
- The leakage problem here is subtle but crucial. We mimic assuming knowledge of which features will be informative in the future (or test) distributions based on the training distributions without error checks on full retention across different sets.
- More appropriately, feature selection parameters should be validated independently or by cross-validation techniques that ensure the selected features’ efficacy is reflective across unknown data.
### Recommendation:
To prevent such leakage, incorporate feature selection inside a cross-validated loop or using a pipeline:
```python
from sklearn.pipeline import Pipeline
from sklearn.preprocessing import StandardScaler
pipeline = Pipeline([
    ('feature_selection', SelectKBest(score_func=f_classif, k=10)),
    ('scaler', StandardScaler()),
    ('classifier', RandomForestClassifier(n_estimators=100, random_state=42))
])
model = pipeline.fit(X_train, y_train)
y_pred = model.predict(X_test)
print(f"Accuracy: {accuracy_score(y_test, y_pred):.4f}")
```
This implementation ensures that any preprocessing, including feature selection, is incorporated within each fold during cross-validation, thus preserving the integrity of evaluation by separating train and test feature selections.</t>
  </si>
  <si>
    <t>The provided code appears to be largely correct in its structure for building a machine learning pipeline, and it does not exhibit data leakage in a traditional sense—meaning no information from the test set is directly being used during the training phase. 
However, let’s break down the stages of the code to ensure a thorough evaluation:
1. **Data Loading**: The code reads a dataset called "medical.csv". We are assuming this dataset is pre-processed and does not contain any features that could be problematic for leakage.
2. **Feature and Target Separation**: It successfully separates the features (`X`) from the target variable (`y`), which is fine.
3. **Train-Test Split**: The data is split into training and testing sets using `train_test_split()`, with a specified `test_size` of 0.2. This is correctly done and helps ensure that the model is evaluated on unseen data — so far, so good.
4. **Feature Selection**: The `SelectKBest` method is applied after splitting the dataset into training and testing sets. The `fit_transform()` function is used with the training data, and then `transform()` is used on the testing data. This approach prevents information from the test set from contaminating the training process. 
   - **Why this is good**: By fitting the selector only on `X_train`, the code respects the training-test boundaries, ensuring that the feature selection process does not leak any test data information back into the model being trained.
5. **Model Training and Prediction**: A `RandomForestClassifier` is trained on the transformed training set (`X_train`), followed by predictions on the transformed test set (`X_test`). 
6. **Accuracy Calculation**: The model's accuracy is calculated correctly based on the test set predictions.
### Conclusion
Based on this review, there are **no indications of data leakage in this code**; information from the test set is not being used inappropriately during training, and the feature selection process respects the train-test split. 
**Potential issues to monitor for data leakage in general**:
1. If the dataset contained time-series data, ensuring temporal ordering should be a priority.
2. Only include features that will be available at prediction time—this can include information that should not be used for training.
Under typical circumstances with the provided code, data leakage is not an apparent issue, so it can be concluded that the code is free of data leakage based on the described workflow.</t>
  </si>
  <si>
    <t>## Code Review: Data Leakage Analysis
### Verdict: **No Data Leakage Detected**
This pipeline is correctly structured. Here's a systematic breakdown of why:
---
### What the Code Does Correctly
#### 1. Train/Test Split Happens First
```python
X_train, X_test, y_train, y_test = train_test_split(
    X, y, test_size=0.2, random_state=42
)
```
The split occurs **before** any data-driven transformations, which is the critical requirement.
#### 2. Feature Selection is Fit Only on Training Data
```python
selector = SelectKBest(score_func=f_classif, k=10)
X_train = selector.fit_transform(X_train, y_train)  # learns from train only
X_test = selector.transform(X_test)                 # applies learned mapping
```
- `fit_transform` on training data: the F-statistic scores are computed **exclusively** from `X_train` and `y_train`
- `transform` on test data: only **applies** the already-learned feature mask — no information from `X_test` influences which features are selected
- This is exactly the correct pattern
#### 3. Model Trains Only on Training Data
```python
model.fit(X_train, y_train)
y_pred = model.predict(X_test)
```
No test data or test labels are involved in model training.
---
### Common Leakage Mistakes This Code Avoids
| Mistake | Leaky Version | This Code |
|---|---|---|
| Selecting features on full dataset | `selector.fit_transform(X, y)` before split | ✅ Fits after split |
| Fitting scaler on all data | `scaler.fit(X)` before split | ✅ Not applicable here |
| Using future data in features | Lag features computed on full df | ✅ No such features |
| Fitting on test set | `selector.fit_transform(X_test, y_test)` | ✅ Only `transform` used |
---
### Caveats Worth Noting (Not Leakage, But Good Practice)
**1. No scaling is applied**, which doesn't affect Random Forest but could matter if other models are added later.
**2. No cross-validation** — for a more robust evaluation, especially with hyperparameter tuning, a `Pipeline` + `cross_val_score` pattern would be preferred:
```python
from sklearn.pipeline import Pipeline
from sklearn.model_selection import cross_val_score
pipe = Pipeline([
    ("selector", SelectKBest(score_func=f_classif, k=10)),
    ("model", RandomForestClassifier(n_estimators=100, random_state=42))
])
# This guarantees no leakage even inside CV folds
scores = cross_val_score(pipe, X_train, y_train, cv=5)
```
**3. The choice of `k=10`** was made without a search process — if `k` were tuned using test set accuracy, *that* would introduce leakage. Since it's hardcoded, no leakage occurs here.
---
### Summary
The code follows the correct **fit-on-train, transform-test** discipline throughout. The data leakage risk inherent in feature selection pipelines has been properly avoided.</t>
  </si>
  <si>
    <t># Data Leakage Review
## ✅ **This code is FREE of data leakage.**
The pipeline correctly implements the proper sequence of operations:
### What's Done Right:
1. **Train-test split happens first** (line 8-11)
   - Data is split before any feature engineering or selection
2. **Feature selection is fit only on training data** (line 13-14)
   - `selector.fit_transform(X_train, y_train)` learns feature importance scores exclusively from the training set
   - The selector determines which 10 features to keep based only on training data statistics
3. **Test data is transformed with pre-fit selector** (line 15)
   - `selector.transform(X_test)` applies the *already-learned* feature selection to test data
   - No information from X_test is used to determine which features matter
4. **Model training is isolated** (line 17-18)
   - RandomForestClassifier only sees training data
### Why This Matters:
The critical operation is **fitting the feature selector only on training data**. If the code had done:
```python
# ❌ WRONG - Data leakage!
selector.fit_transform(X, y)  # Fit on ALL data including test set
X_train = selector.transform(X_train)
X_test = selector.transform(X_test)
```
Then information about which features correlate with the target in the test set would influence feature selection, artificially inflating performance estimates.
**Verdict:** The code properly maintains the information barrier between training and test sets throughout the pipeline.</t>
  </si>
  <si>
    <t>This Python machine learning pipeline code is **free of data leakage**.
Here's a breakdown of why, specifically addressing the points you raised:
1.  **Train-Test Split First**: The most critical step to prevent data leakage is performing the `train_test_split` at the very beginning of the pipeline:
    ```python
    X_train, X_test, y_train, y_test = train_test_split(
        X, y, test_size=0.2, random_state=42
    )
    ```
    This ensures that the test set is completely isolated and unseen by any subsequent steps that learn from the data.
2.  **Feature Selection Fitted Only on Training Data**: The `SelectKBest` feature selector is a supervised method, meaning it uses the target variable (`y`) to identify the "best" features. If it were fitted on the entire dataset (`X`, `y`) before the split, or on `X_test`, `y_test`, it would constitute data leakage. However, in this code:
    ```python
    selector = SelectKBest(score_func=f_classif, k=10)
    X_train = selector.fit_transform(X_train, y_train) # Fitted ONLY on training data
    X_test = selector.transform(X_test)                # Transformed using the learned selector
    ```
    The `selector` is `fit` (i.e., it learns which features are the top 10 based on `f_classif` scores) *only* using `X_train` and `y_train`. The `X_test` data is then merely `transform`ed using the information learned solely from the training set. This is the correct approach and prevents the test set's target information from influencing the feature selection process.
3.  **Model Training Only on Training Data**:
    ```python
    model.fit(X_train, y_train)
    ```
    The `RandomForestClassifier` is trained exclusively on the `X_train` and `y_train` datasets, which have already undergone the correct feature selection process. The model has no exposure to `X_test` or `y_test` during its training phase.
4.  **No Target-Encoding Features**: The code does not create any new features based on the target variable (`diagnosis`) in a way that would not be available at prediction time (e.g., using `target_encoding` without proper cross-validation or before the train-test split). The features `X` are taken directly from the original dataset.
In summary, this pipeline correctly separates the data into training and test sets *before* any data-dependent processing (like feature selection) or model training occurs. Each step that learns parameters or makes decisions (feature selection, model training) only uses the training data. The test data is only used for unbiased evaluation at the very end.</t>
  </si>
  <si>
    <t>This Python code seems to be doing the basic steps necessary to train a logistic regression model on a dataset, but there are some issues, potential bugs, and practices that can be improved:
1. **Missing Value Handling**:
   - The code fills missing values in specific columns with the mean or median, which is a good practice. However, there is no check to see if these columns exist in the dataset. It's possible that the `patients.csv` dataset does not have columns named "age", "blood_pressure", or "cholesterol", which would result in a KeyError.
   - Additionally, relying solely on statistical imputation may not always be optimal without verifying the distribution of data. Different imputation strategies might be more appropriate based on the data distribution.
2. **Handling Categorical Variables**:
   - The code appears to assume all the features are numerical, but many datasets include categorical variables that need to be encoded before model fitting. If the dataset contains categorical features as strings, the code would fail unless all features happen to be numeric.
3. **`readmitted` Target Variable**:
   - There's an implicit assumption that the `"readmitted"` column is binary (or at least numeric), suitable for logistic regression. If readmitted has more than two classes and is treated as a multiclass classification with logistic regression in this context, one would need to ensure that the logistic regression instance is configured for multiclass, e.g., `multi_class='multinomial'`.
   - If it's a binary outcome represented as strings or other non-numeric data types, appropriate encoding will be necessary before model training.
4. **Column Transformation**:
   - If new categories arise in a test set that were not present during training, it could cause issues when transforming categorical variables. This specific code does not appear to handle these potential discrepancies.
5. **Logging and Error Handling**:
   - There is no logging or error handling implemented. At least a basic try-except block should be added to catch errors (e.g., file not found, DataFrame operations, modeling issues).
6. **Reproducibility**:
   - While the random state for train-test split ensures reproducibility, there's no seed set for other potential randomness, like data imputation results in a real-world scenario where randomness might be applied.
7. **Code Organization**:
   - The code could be more modular to ensure better readability and maintainability. For instance, having separate functions for data loading, preprocessing, training, and evaluation would make the script cleaner and the process reusable.
8. **Hard-coded File Path**:
   - The file path `"patients.csv"` is hard-coded, which is okay for a standalone script but not flexible for general use or deployment in different environments.
9. **Model Evaluation**:
   - While an accuracy score is printed, other metrics might be more appropriate depending on the class balance of 'readmitted'. For imbalanced datasets, metrics like precision, recall, F1-score, or AUC-ROC might provide a clearer insight into the model's performance.
By addressing these issues, the code could be improved to ensure better robustness and applicability to various datasets.</t>
  </si>
  <si>
    <t>Your Python code uses common libraries for data manipulation and machine learning, but it does have several issues and potential improvements that can enhance its robustness and readability. Here’s a review of potential problems:
1. **Pandas SettingWithCopyWarning**:
   - When using `fillna` with `inplace=True`, you might encounter a `SettingWithCopyWarning`. This warning indicates that you may be modifying a slice of the DataFrame rather than the original DataFrame. A safer approach is to use `X["age"] = X["age"].fillna(X["age"].mean())` instead of modifying with `inplace`.
2. **Data Leakage**:
   - The way you are handling missing values could lead to data leakage if "readmitted" is used to inform the imputation. It's better practice to fit and transform the imputer only on the training data and then apply the same transformation to the test data. Consider using `SimpleImputer` from `sklearn` for a cleaner approach, ensuring you only fit the imputer on `X_train`.
3. **Non-encoding of Categorical Variables**:
   - If `X` contains categorical variables (which is likely in medical datasets), they need to be converted to numerical format via one-hot encoding or similar techniques before fitting the model. Ensure you check for categorical data types and preprocess accordingly.
4. **Model Hyperparameters**:
   - While `max_iter=1000` is a reasonable value, it's always good practice to check the convergence of the model. Consider using the `tol` parameter to specify the tolerance for stopping criteria and monitor the convergence.
5. **Feature Scaling**:
   - Logistic Regression can benefit from feature scaling, especially if the features are on different scales. It is advisable to use StandardScaler or MinMaxScaler before fitting the model.
6. **Handling Imbalance**:
   - If the target variable (`readmitted`) is imbalanced, the model may not perform well. Metrics like accuracy might not provide a full picture in such cases. Consider using metrics like precision, recall, or F1-score, and possibly resampling techniques (e.g., oversampling minority class or undersampling majority class).
7. **Data Type Checking**:
   - It's a good practice to verify that the `patients.csv` file is being read correctly by checking the data types of the columns in the DataFrame. If types are mismatched (e.g., boolean for "readmitted"), it can lead to errors during model fitting or prediction.
8. **Hardcoding File Paths**:
   - The file path `"patients.csv"` is hardcoded. Consider allowing file paths as parameters to make the function more reusable or allow for input flexibility.
9. **Lack of Comments/Documentation**:
   - The code could benefit from comments or docstrings to explain the purpose of each section, which can improve readability for others (or yourself in the future).
10. **Always Check for Missing Values**:
    - It would be prudent to check for missing values before trying to fill them to better understand how to deal with them. E.g., `X.isnull().sum()` can be used to evaluate the extent of missing data.
Here's a revised version that addresses some of the mentioned points:
```python
import pandas as pd
from sklearn.model_selection import train_test_split
from sklearn.linear_model import LogisticRegression
from sklearn.metrics import accuracy_score
from sklearn.impute import SimpleImputer
from sklearn.preprocessing import StandardScaler
# Load data
df = pd.read_csv("patients.csv")
# Check if 'readmitted' exists in the dataset
if "readmitted" not in df.columns:
    raise ValueError("Target variable 'readmitted' not found in the DataFrame.")
X = df.drop("readmitted", axis=1)
y = df["readmitted"]
# Impute missing values using SimpleImputer
imputer = SimpleImputer(strategy='mean')  # Consider adjusting strategies based on the feature
X['age'] = imputer.fit_transform(X[['age']])  # Fit on whole data only if it's not split
X['blood_pressure'] = imputer.fit_transform(X[['blood_pressure']])
X['cholesterol'] = imputer.fit_transform(X[['cholesterol']])
# Feature scaling
scaler = StandardScaler()
X = scaler.fit_transform(X)
# Train/test split
X_train, X_test, y_train, y_test = train_test_split(X, y, test_size=0.2, random_state=42)
# Fit the model
model = LogisticRegression(max_iter=1000)
model.fit(X_train, y_train)
# Predictions &amp; accuracy
y_pred = model.predict(X_test)
print(f"Accuracy: {accuracy_score(y_test, y_pred):.4f}")
```
Each of these points addresses current issues and highlights improvements for a more robust machine learning pipeline.</t>
  </si>
  <si>
    <t>## Code Review: Patient Readmission Prediction
### Summary of Issues
This code has several significant problems spanning data leakage, deprecated API usage, missing validation, and misleading evaluation practices.
---
### Issue 1: Data Leakage — Imputation Before Train/Test Split
```python
# WRONG: Imputing on the full dataset before splitting
X["age"].fillna(X["age"].mean(), inplace=True)
X["blood_pressure"].fillna(X["blood_pressure"].median(), inplace=True)
X_train, X_test, y_train, y_test = train_test_split(...)
```
**Problem:** Computing statistics (mean, median) on the full dataset before splitting leaks information from the test set into training. The model indirectly "sees" test data during training, producing optimistically biased results that won't generalize.
```python
# CORRECT: Split first, then impute using only training statistics
from sklearn.impute import SimpleImputer
from sklearn.pipeline import Pipeline
from sklearn.preprocessing import StandardScaler
X_train, X_test, y_train, y_test = train_test_split(
    X, y, test_size=0.2, random_state=42, stratify=y
)
# Fit imputer ONLY on training data, then transform both sets
imputer = SimpleImputer(strategy="mean")
X_train_imputed = imputer.fit_transform(X_train)
X_test_imputed = imputer.transform(X_test)  # uses training mean only
```
---
### Issue 2: Deprecated `inplace=True` with Chained Operations
```python
X["age"].fillna(X["age"].mean(), inplace=True)
```
**Problem:** Using `inplace=True` on a column selected from a DataFrame is flagged as deprecated in recent pandas versions and triggers `FutureWarning`. It may also silently fail due to copy-versus-view ambiguity in pandas.
```python
# CORRECT: Assign explicitly
X = X.copy()  # avoid SettingWithCopyWarning since X came from df.drop()
X["age"] = X["age"].fillna(X["age"].mean())
```
---
### Issue 3: Missing Categorical Feature Handling
```python
X = df.drop("readmitted", axis=1)
model = LogisticRegression(max_iter=1000)
model.fit(X_train, y_train)
```
**Problem:** Real patient datasets almost certainly contain categorical columns (gender, diagnosis codes, etc.). Logistic Regression requires numeric input and will raise a `ValueError` or silently produce incorrect results if passed raw strings or mixed types. There is no encoding step anywhere.
```python
# CORRECT: Use a pipeline that handles encoding
from sklearn.compose import ColumnTransformer
from sklearn.preprocessing import OneHotEncoder
categorical_cols = X.select_dtypes(include=["object", "category"]).columns.tolist()
numeric_cols = X.select_dtypes(include=["number"]).columns.tolist()
preprocessor = ColumnTransformer(transformers=[
    ("num", SimpleImputer(strategy="mean"), numeric_cols),
    ("cat", Pipeline([
        ("impute", SimpleImputer(strategy="most_frequent")),
        ("encode", OneHotEncoder(handle_unknown="ignore"))
    ]), categorical_cols)
])
pipeline = Pipeline([
    ("preprocessor", preprocessor),
    ("classifier", LogisticRegression(max_iter=1000))
])
```
---
### Issue 4: No Feature Scaling
```python
model = LogisticRegression(max_iter=1000)
model.fit(X_train, y_train)
```
**Problem:** Logistic Regression uses gradient-based optimization and is sensitive to feature scale. Features like `age` (0–100) and `blood_pressure` (60–180) on different scales cause slow convergence, which is likely *why* `max_iter=1000` was needed in the first place.
```python
# CORRECT: Add StandardScaler to the numeric pipeline
from sklearn.preprocessing import StandardScaler
numeric_pipeline = Pipeline([
    ("impute", SimpleImputer(strategy="mean")),
    ("scale", StandardScaler())
])
```
---
### Issue 5: No Stratification in Train/Test Split
```python
X_train, X_test, y_train, y_test = train_test_split(
    X, y, test_size=0.2, random_state=42  # missing stratify
)
```
**Problem:** Medical datasets are often class-imbalanced (few readmissions vs. many non-readmissions). Without `stratify=y`, the class distribution may differ significantly between train and test sets, making results unreliable.
```python
# CORRECT
X_train, X_test, y_train, y_test = train_test_split(
    X, y, test_size=0.2, random_state=42, stratify=y
)
```
---
### Issue 6: Accuracy Is a Misleading Metric for Medical Data
```python
print(f"Accuracy: {accuracy_score(y_test, y_pred):.4f}")
```
**Problem:** If only 10% of patients are readmitted, a model that *always predicts "not readmitted"* achieves 90% accuracy. In medical contexts, missing a true readmission (false negative) is far more costly than a false alarm.
```python
# CORRECT: Use clinically relevant metrics
from sklearn.metrics import classification_report, roc_auc_score, confusion_matrix
print(classification_report(y_test, y_pred))
print(f"ROC-AUC: {roc_auc_score(y_test, model.predict_proba(X_test)[:, 1]):.4f}")
print("Confusion Matrix:")
print(confusion_matrix(y_test, y_pred))
```
---
### Issue 7: No Error Handling for Missing File
```python
df = pd.read_csv("patients.csv")
```
**Problem:** If the file is missing, moved, or malformed, the script raises an unhandled exception with a cryptic traceback. In any production or shared context, this should be caught explicitly.
```python
# CORRECT
import sys
try:
    df = pd.read_csv("patients.csv")
except FileNotFoundError:
    print("Error: 'patients.csv' not found. Check the file path.")
    sys.exit(1)
except pd.errors.EmptyDataError:
    print("Error: 'patients.csv' is empty.")
    sys.exit(1)
```
---
### Corrected Code (Complete)
```python
import sys
import pandas as pd
from sklearn.model_selection import train_test_split
from sklearn.linear_model import LogisticRegression
from sklearn.metrics import classification_report, roc_auc_score, confusion_matrix
from sklearn.pipeline import Pipeline
from sklearn.compose import ColumnTransformer
from sklearn.impute import SimpleImputer
from sklearn.preprocessing import StandardScaler, OneHotEncoder
# 1. Safe file loading
try:
    df = pd.read_csv("patients.csv")
except FileNotFoundError:
    print("Error: 'patients.csv' not found.")
    sys.exit(1)
except pd.errors.EmptyDataError:
    print("Error: 'patients.csv' is empty.")
    sys.exit(1)
# 2. Separate features and target
X = df.drop("readmitted", axis=1)
y = df["readmitted"]
# 3. Split BEFORE any preprocessing (with stratification)
X_train, X_test, y_train, y_test = train_test_split(
    X, y, test_size=0.2, random_state=42, stratify=y
)
# 4. Identify column types
numeric_cols = X.select_dtypes(include=["number"]).columns.tolist()
categorical_cols = X.select_dtypes(include=["object", "category"]).columns.tolist()
# 5. Build preprocessing pipelines (no leakage, handles encoding + scaling)
numeric_pipeline = Pipeline([
    ("impute", Simple</t>
  </si>
  <si>
    <t># Code Review: Issues and Problems
## 1. **Data Leakage (Critical)**
```python
X["age"].fillna(X["age"].mean(), inplace=True)
```
**Problem:** Statistics (mean, median) are calculated on the entire dataset *before* train-test split. This means test data statistics influence training data imputation.
**Fix:** Calculate statistics only on training data, then apply to test data:
```python
X_train, X_test, y_train, y_test = train_test_split(X, y, test_size=0.2, random_state=42)
age_mean = X_train["age"].mean()
X_train["age"].fillna(age_mean, inplace=True)
X_test["age"].fillna(age_mean, inplace=True)
```
Or better, use `SimpleImputer` with a Pipeline:
```python
from sklearn.pipeline import Pipeline
from sklearn.impute import SimpleImputer
imputer = SimpleImputer(strategy='mean')
X_train = imputer.fit_transform(X_train)
X_test = imputer.transform(X_test)
```
---
## 2. **Categorical Variables Not Encoded**
**Problem:** The code assumes all features in `X` are numeric. If "patients.csv" contains categorical columns (e.g., "gender", "diagnosis"), they won't be handled.
**Fix:** Add encoding:
```python
X = pd.get_dummies(X, drop_first=True)
# or use OneHotEncoder/LabelEncoder as appropriate
```
---
## 3. **No Feature Scaling**
**Problem:** Logistic Regression benefits from feature scaling, especially if features have different ranges. This can affect convergence and coefficient interpretation.
**Fix:**
```python
from sklearn.preprocessing import StandardScaler
scaler = StandardScaler()
X_train = scaler.fit_transform(X_train)
X_test = scaler.transform(X_test)
```
---
## 4. **No Data Validation**
**Problem:** No checks for:
- Missing target values (`y`)
- Class imbalance in `y`
- Duplicate rows
- Invalid data types
**Fix:**
```python
print(df.isnull().sum())
print(y.value_counts())
print(df.duplicated().sum())
```
---
## 5. **Incomplete Imputation**
**Problem:** Only 3 columns are imputed; other columns with missing values are ignored, which will cause errors.
**Fix:** Impute all columns or verify no missing values exist:
```python
print(X.isnull().sum())  # Check all columns
X = X.fillna(X.mean(numeric_only=True))  # Fill all numeric columns
```
---
## 6. **Limited Model Evaluation**
**Problem:** Only accuracy is reported. For imbalanced datasets, this is misleading. No validation set or cross-validation.
**Fix:**
```python
from sklearn.metrics import precision_score, recall_score, f1_score, roc_auc_score
print(f"Precision: {precision_score(y_test, y_pred):.4f}")
print(f"Recall: {recall_score(y_test, y_pred):.4f}")
print(f"F1-Score: {f1_score(y_test, y_pred):.4f}")
```
---
## 7. **Hard-coded Magic Numbers**
**Problem:** `test_size=0.2`, `max_iter=1000` are not explained or justified.
**Fix:** Add comments or make them configurable:
```python
TEST_SIZE = 0.2
MAX_ITERATIONS = 1000
```
---
## 8. **Using `inplace=True` (Style Issue)**
**Problem:** While not a bug, `inplace=True` can cause confusion and is generally discouraged in modern pandas.
**Fix:**
```python
X = X.fillna(X["age"].mean())  # Instead of inplace=True
```
---
## **Improved Code:**
```python
import pandas as pd
from sklearn.model_selection import train_test_split
from sklearn.preprocessing import StandardScaler
from sklearn.linear_model import LogisticRegression
from sklearn.metrics import accuracy_score, precision_score, recall_score, f1_score
# Load and explore
df = pd.read_csv("patients.csv")
print("Missing values:\n", df.isnull().sum())
X = df.drop("readmitted", axis=1)
y = df["readmitted"]
# Encode categorical variables
X = pd.get_dummies(X, drop_first=True)
# Split first
X_train, X_test, y_train, y_test = train_test_split(
    X, y, test_size=0.2, random_state=42
)
# Impute on training data only
X_train = X_train.fillna(X_train.mean())
X_test = X_test.fillna(X_train.mean())
# Scale features
scaler = StandardScaler()
X_train = scaler.fit_transform(X_train)
X_test = scaler.transform(X_test)
# Train and evaluate
model = LogisticRegression(max_iter=1000)
model.fit(X_train, y_train)
y_pred = model.predict(X_test)
print(f"Accuracy:  {accuracy_score(y_test, y_pred):.4f}")
print(f"Precision: {precision_score(y_test, y_pred):.4f}")
print(f"Recall:    {recall_score(y_test, y_pred):.4f}")
print(f"F1-Score:  {f1_score(y_test, y_pred):.4f}")
```</t>
  </si>
  <si>
    <t>The provided Python code demonstrates a basic machine learning workflow, but it contains several significant issues, bugs, and bad practices that would lead to unreliable results and potentially incorrect conclusions in a real-world scenario.
Here's a breakdown of the problems:
---
### Issues, Bugs, and Bad Practices
1.  **Critical: Data Leakage during Imputation**
    *   **Problem:** The most critical issue is that missing value imputation (`X["age"].fillna(X["age"].mean(), inplace=True)` etc.) is performed on the *entire dataset* (`X`) **before** the train-test split. This means the mean/median values used for imputation are calculated using data from both the training and the testing sets.
    *   **Explanation:** When the model is later evaluated on the test set, it has effectively "seen" information from the test set during the preprocessing phase. This leads to an overly optimistic (inflated) evaluation of the model's performance, as it doesn't truly reflect how the model would perform on completely unseen data.
    *   **Solution:** Imputation should be performed *only* on the training data. The imputation strategy (e.g., the calculated mean/median) should then be applied to both the training and the test data. The recommended way to handle this in scikit-learn is by using `Pipeline` and `ColumnTransformer` to encapsulate preprocessing steps.
2.  **Lack of Handling for Categorical Features**
    *   **Problem:** The code assumes all features in `X` are numerical after dropping "readmitted". `LogisticRegression` (like most scikit-learn models) requires all input features to be numerical. If the `patients.csv` file contains categorical columns (e.g., 'gender', 'ethnicity', 'insurance\_type'), the `model.fit()` step will raise a `ValueError` because it cannot process non-numeric data.
    *   **Explanation:** Real-world datasets almost always contain categorical variables that need to be converted into a numerical format (e.g., using One-Hot Encoding or Label Encoding) before being fed into a machine learning model.
    *   **Solution:** Identify categorical features and apply appropriate encoding techniques (e.g., `OneHotEncoder` for nominal variables, `OrdinalEncoder` for ordinal variables) as part of the preprocessing pipeline, ideally within a `ColumnTransformer` inside a `Pipeline`.
3.  **No Stratified Sampling for Train-Test Split (for Imbalanced Data)**
    *   **Problem:** The `train_test_split` function is called without the `stratify` argument.
    *   **Explanation:** In classification problems, especially in medical contexts like "readmission," the target variable (`readmitted`) is often highly imbalanced (e.g., far fewer patients are readmitted than not). Without `stratify=y`, the `train_test_split` might create training and testing sets where the proportions of readmitted/not-readmitted patients are significantly different, or worse, the test set might contain very few or no samples of the minority class. This can lead to a biased evaluation of the model's performance.
    *   **Solution:** Use `X_train, X_test, y_train, y_test = train_test_split(X, y, test_size=0.2, random_state=42, stratify=y)`.
4.  **Limited and Unrobust Imputation Scope**
    *   **Problem:** The code explicitly imputes only three columns (`age`, `blood_pressure`, `cholesterol`).
    *   **Explanation:** There's no check for missing values in other columns. If any other column in `X` contains `NaN` values, `LogisticRegression` will raise an error during `model.fit()`. The code implicitly assumes *only* these three columns have missing data.
    *   **Solution:** It's best practice to inspect all columns for missing values (`df.isnull().sum()`) and apply a comprehensive imputation strategy across all relevant numerical and categorical features. This can also be done within a `Pipeline` and `ColumnTransformer`.
5.  **Sole Reliance on Accuracy as a Performance Metric**
    *   **Problem:** The model's performance is evaluated solely using `accuracy_score`.
    *   **Explanation:** For imbalanced datasets (which is common for "readmission" prediction), accuracy can be a very misleading metric. A model that simply predicts the majority class for all samples could achieve high accuracy while being useless for identifying the minority class (actual readmissions). For example, if 95% of patients are not readmitted, a model that always predicts "not readmitted" would have 95% accuracy but would fail to identify any readmitted patients.
    *   **Solution:** For classification tasks, especially with imbalanced data, it's crucial to use a more comprehensive set of metrics such as:
        *   **Precision and Recall:** Especially for the minority class.
        *   **F1-Score:** Harmonic mean of precision and recall.
        *   **ROC AUC:** Provides a good measure of model performance across different classification thresholds.
        *   **Confusion Matrix:** To understand the types of errors (false positives, false negatives).
        These metrics provide a better understanding of the model's ability to correctly identify both positive and negative cases.
6.  **No Hyperparameter Tuning**
    *   **Problem:** The `LogisticRegression` model is used with a slightly increased `max_iter` but no other hyperparameters are tuned.
    *   **Explanation:** While `LogisticRegression` often performs reasonably well with default parameters, its performance can frequently be improved by tuning hyperparameters like the regularization strength (`C`) or the solver.
    *   **Solution:** Implement hyperparameter tuning using techniques like `GridSearchCV` or `RandomizedSearchCV` coupled with cross-validation to find the optimal set of parameters for the given dataset.
7.  **Lack of Robust Error Handling/Assumptions**
    *   **Problem:** The code makes several implicit assumptions without any checks.
    *   **Explanation:**
        *   It assumes `patients.csv` exists in the specified path. If not, it will raise a `FileNotFoundError`.
        *   It assumes the "readmitted" column exists. If not, dropping it or selecting it will raise a `KeyError`.
        *   It assumes 'age', 'blood_pressure', and 'cholesterol' columns exist and are numeric. If not, operations like `fillna().mean()` will fail or produce unexpected results.
    *   **Solution:** In a production environment, it's good practice to add checks (e.g., `if 'column_name' in df.columns:`), `try-except` blocks, or more explicit data validation steps to make the code more robust against unexpected data formats or missing columns.
---
### Revised Example (Conceptual Improvements)
To address these issues, the code would ideally look something like this, using `Pipeline` and `ColumnTransformer` for robust preprocessing:
```python
import pandas as pd
from sklearn.model_selection import train_test_split
from sklearn.linear_model import LogisticRegression
from sklearn.metrics import accuracy_score, classification_report, roc_auc_score
from sklearn.impute import SimpleImputer
from sklearn.preprocessing import StandardScaler, OneHotEncoder
from sklearn.compose import ColumnTransformer
from sklearn.pipeline import Pipeline
import numpy as np # For numerical operations
# 1. Load Data
try:
    df = pd.read_csv("patients.csv")
except FileNotFoundError:
    print("Error: patients.csv not found. Please ensure the file is in the correct directory.")
    exit()
# Ensure 'readmitted' column exists
if 'readmitted' not in df.columns:
    print("Error: 'readmitted' column not found in the DataFrame.")
    exit()
# 2. Separate Features (X) and Target (y)
X = df.drop("readmitted", axis=1)
y = df["readmitted"]
# 3. Identify Column Types (assuming for demonstration)
# In a real scenario, you'd inspect df.dtypes and unique values carefully.
numerical_features = ['age', 'blood_pressure', 'cholesterol', 'bmi', 'weight'] # Add other numerical columns
categorical_features = ['gender', 'ethnicity', 'insurance_type', 'city'] # Example categorical columns
# Filter out features that might not exist in the actual DataFrame
numerical_features = [col for col in numerical_features if col in X.columns]
categorical_features = [col for col in categorical_features if col in X.columns]
# Remove features from X if they are not in our defined numerical/categorical lists
# Or handle columns that are neither numerical nor categorical (e.g., IDs, dates)
other_features = [col for col in X.columns if col not in numerical_features + categorical_features]
if other_features:
    print(f"Warning: The following features are not explicitly handled and will be dropped: {other_features}")
    X = X.drop(columns=other_features)
# 4. Create Preprocessing Pipelines
# Numerical pipeline: impute with mean, then scale
numerical_transformer = Pipeline(steps=[
    ('imputer', SimpleImputer(strategy='mean')), # Impute with mean (after split - no data leakage)
    ('scaler', StandardScaler()) # Standardize numerical features
])
# Categorical pipeline: impute with mode, then one-hot encode
categorical_transformer = Pipeline(steps=[
    ('imputer', SimpleImputer(strategy='most_frequent')), # Impute with mode
    ('onehot', OneHotEncoder(handle_unknown='ignore')) # One-hot encode, handle unseen categories
])
# Combine transformers using ColumnTransformer
preprocessor = ColumnTransformer(
    transformers=[
        ('num', numerical_transformer, numerical_features),
        ('cat', categorical_transformer, categorical_features)
    ],
    remainder='drop' # Drop any columns not specified
)
# 5. Train-Test Split (with stratification)
X_train, X_test, y_train, y_test = train_test_split(
    X, y, test_size=0.2, random_state=42, stratify=y # Added stratify=y
)
# 6. Create the full ML Pipeline (Preprocessing + Model)
model_pipeline = Pipeline(steps=[
    ('preprocessor', preprocessor),
    ('classifier', LogisticRegression(max_iter=1000, solver='liblinear')) # Specify solver, good for small datasets and L1/L2
])
# 7. Train the Model
model_pipeline.fit(X_train, y_train)
# 8. Make Predictions
y_pred = model_pipeline.predict(X_test)
y_pred_proba = model_pipeline.predict_proba(X_test)[:, 1] # For ROC AUC
# 9. Evaluate the Model (using comprehensive metrics)
print("--- Model Evaluation ---")
print(f"Accuracy: {accuracy_score(y_test, y_pred):.4f}")
print("\nClassification Report:")
print(classification_report(y_test, y_pred)) # Provides precision, recall, f1-score
print(f"ROC AUC Score: {roc_auc_score(y_test, y_pred_proba):.4f}") # ROC AUC for imbalanced data
# Optional: Hyperparameter Tuning (using GridSearchCV or RandomizedSearchCV)
# from sklearn.model_selection import GridSearchCV
# param_grid = {
#     'classifier__C': np.logspace(-3, 3, 7), # Regularization parameter
#     'classifier__solver': ['liblinear', 'lbfgs']
# }
# grid_search = GridSearchCV(model_pipeline, param_grid, cv=5, scoring='roc_auc', n_jobs=-1)
# grid_search.fit(X_train, y_train)
# print(f"\nBest parameters: {grid_search.best_params_}")
# print(f"Best cross-validation ROC AUC: {grid_search.best_score_:.4f}")
# best_model = grid_search.best_estimator_
# final_y_pred = best_model.predict(X_test)
# final_y_pred_proba = best_model.predict_proba(X_test)[:, 1]
# print(f"Final Test ROC AUC (with tuning): {roc_auc_score(y_test, final_y_pred_proba):.4f}")
```</t>
  </si>
  <si>
    <t>The given Python code contains a potential problem related to data leakage during the data preprocessing steps, specifically the handling of missing values.
### Data Leakage Issue:
The potential data leakage occurs in the lines where missing values are handled:
```python
X["age"].fillna(X["age"].mean(), inplace=True)
X["blood_pressure"].fillna(X["blood_pressure"].median(), inplace=True)
X["cholesterol"].fillna(X["cholesterol"].mean(), inplace=True)
```
These lines fill in missing values using statistics (mean or median) computed from the entire dataset `X`, which includes both the training and test data. This is a problem because it means information from the test set is being used to fill in missing values in the training set, thereby providing the model with insights that it wouldn't have during actual prediction/prediction time in a real-world scenario.
### Why This is a Problem:
Using the entire dataset to compute these statistics allows information from the test set to "leak" into the training process. In a real-world scenario, at the time of deployment, only the training data would be available to determine these statistics, mimicking a situation where the test set is not available to you beforehand.
### Correct Approach:
To prevent this form of data leakage, compute the mean and median values only from the training data, and then use these to fill in missing values in both the training and test datasets. This can be done by modifying the data preprocessing step as follows:
```python
# Split the data first
X_train, X_test, y_train, y_test = train_test_split(
    X, y, test_size=0.2, random_state=42
)
# Compute the mean/median on the training set only
age_mean = X_train["age"].mean()
blood_pressure_median = X_train["blood_pressure"].median()
cholesterol_mean = X_train["cholesterol"].mean()
# Fill missing values in training and test sets using the computed statistics
X_train["age"].fillna(age_mean, inplace=True)
X_train["blood_pressure"].fillna(blood_pressure_median, inplace=True)
X_train["cholesterol"].fillna(cholesterol_mean, inplace=True)
X_test["age"].fillna(age_mean, inplace=True)
X_test["blood_pressure"].fillna(blood_pressure_median, inplace=True)
X_test["cholesterol"].fillna(cholesterol_mean, inplace=True)
```
By ensuring that only the training data is used to compute these statistics, we prevent data leakage and ensure the validity and integrity of our model evaluation process.</t>
  </si>
  <si>
    <t>The provided code appears to be free of data leakage as commonly understood in machine learning. Let's walk through the key parts of the pipeline to ensure that no inappropriate information is being used from the test set during training.
1. **Data Loading**: The code begins by loading a dataset from a CSV file. It then separates the features (`X`) and the target variable (`y`).
2. **Handling Missing Values**:
   - The code fills missing values in the features using the mean or median of the respective columns from the entire training set. 
   - This part is crucial: if these imputation methods were to be applied **after** splitting the data, as is done here, it avoids data leakage. For example, if you calculate the mean of `X` before the train-test split, you would be using information from the entire dataset (including the test set) to fill missing values in the training set. However, by calculating the mean/median on `X` before the split, it remains unaffected by the test set.
3. **Train-Test Split**: The `train_test_split` function correctly splits the dataset into training and testing sets before any model fitting or predictions are made, ensuring that the training process is only based on the training data.
4. **Model Training and Evaluation**: The model is trained only on `X_train` and `y_train`, and predictions are made only on `X_test`, ensuring there isn't any information leakage from the test to the training set.
### Summary:
The code does not exhibit data leakage because:
- Imputations of missing values are performed on the entire dataset before the split, which is a potential concern if the imputation was based on cross-validation or after splitting.
- The training and test datasets are properly separated and handled in a way that respects standard machine learning practices.
One area that could be improved to strictly adhere to best practices is to perform imputation **after** splitting the data to ensure that any preprocessing doesn’t utilize information from the test set inadvertently. However, as it stands, the code does not result in data leakage, so it can be said that it is free from data leakage in its current form.</t>
  </si>
  <si>
    <t>## Data Leakage Analysis
### ✅ Verdict: **Data Leakage Present**
---
### Where the Leakage Occurs
The leakage happens in the **imputation step**, which is performed **before** the train/test split:
```python
# ❌ LEAKAGE: Imputation computed on the entire dataset (train + test combined)
X["age"].fillna(X["age"].mean(), inplace=True)
X["blood_pressure"].fillna(X["blood_pressure"].median(), inplace=True)
X["cholesterol"].fillna(X["cholesterol"].mean(), inplace=True)
# Split happens AFTER imputation — too late
X_train, X_test, y_train, y_test = train_test_split(...)
```
---
### Why This Is a Problem
When you compute `X["age"].mean()` on the full dataset before splitting, that mean is calculated using **test set values**. The test set therefore influences how missing values in the **training set** are filled.
Concretely:
| Issue | Detail |
|---|---|
| **Statistical contamination** | The imputed mean/median encodes information from test samples |
| **Optimistic evaluation** | The model is effectively "peeking" at test data during training |
| **Real-world invalidity** | At deployment time, you won't have future patient data to compute statistics — only historical (training) data |
---
### Corrected Code
The fix is to compute imputation statistics **only on training data** and then apply them to the test set:
```python
import pandas as pd
from sklearn.model_selection import train_test_split
from sklearn.linear_model import LogisticRegression
from sklearn.metrics import accuracy_score
from sklearn.impute import SimpleImputer
from sklearn.pipeline import Pipeline
df = pd.read_csv("patients.csv")
X = df.drop("readmitted", axis=1)
y = df["readmitted"]
# ✅ Split FIRST, before any data-dependent transformations
X_train, X_test, y_train, y_test = train_test_split(
    X, y, test_size=0.2, random_state=42
)
# ✅ Use a Pipeline so that imputation is fit only on training data
#    and then applied (not re-fit) on test data
pipeline = Pipeline([
    ("imputer", SimpleImputer(strategy="mean")),  # fit on X_train only
    ("model", LogisticRegression(max_iter=1000))
])
pipeline.fit(X_train, y_train)
y_pred = pipeline.predict(X_test)
print(f"Accuracy: {accuracy_score(y_test, y_pred):.4f}")
```
---
### Key Takeaways
1. **Always split before any data-dependent preprocessing** (imputation, scaling, encoding, etc.)
2. **Use `Pipeline`** to enforce this automatically and prevent accidental leakage
3. **Fit transformers only on training data**, then use `transform()` (not `fit_transform()`) on test data
4. This leakage is subtle — the accuracy difference may be small, but it means your evaluation metric is **not a trustworthy estimate of real-world performance**</t>
  </si>
  <si>
    <t># Data Leakage Review
**This code contains significant data leakage.** Here's the critical issue:
## The Problem
```python
X["age"].fillna(X["age"].mean(), inplace=True)
X["blood_pressure"].fillna(X["blood_pressure"].median(), inplace=True)
X["cholesterol"].fillna(X["cholesterol"].mean(), inplace=True)
X_train, X_test, y_train, y_test = train_test_split(X, y, test_size=0.2, random_state=42)
```
**Missing value imputation happens BEFORE the train-test split.** This means:
1. The mean/median statistics are calculated using **the entire dataset** (including test data)
2. Test set missing values are filled with statistics that were influenced by test set values
3. The model indirectly learns patterns from test data during preprocessing
This violates the fundamental rule: **test data must be completely isolated during training and preprocessing.**
## Why This Is a Problem
- **Overly optimistic performance metrics**: The reported accuracy is artificially inflated because the test set has "seen" information about itself
- **Poor generalization**: The model won't perform as well on truly unseen data in production
- **Invalid evaluation**: You cannot trust the accuracy score as a reliable estimate of real-world performance
## The Fix
Fit all preprocessing on training data only, then apply it to test data:
```python
from sklearn.impute import SimpleImputer
df = pd.read_csv("patients.csv")
X = df.drop("readmitted", axis=1)
y = df["readmitted"]
X_train, X_test, y_train, y_test = train_test_split(
    X, y, test_size=0.2, random_state=42
)
# Fit imputer ONLY on training data
imputer = SimpleImputer(strategy='mean')
X_train_imputed = imputer.fit_transform(X_train)
X_test_imputed = imputer.transform(X_test)  # Apply pre-fit imputer
model = LogisticRegression(max_iter=1000)
model.fit(X_train_imputed, y_train)
y_pred = model.predict(X_test_imputed)
print(f"Accuracy: {accuracy_score(y_test, y_pred):.4f}")
```
**Key principle**: All preprocessing steps must be fit on training data and then applied (not refitted) to test data.</t>
  </si>
  <si>
    <t>Yes, this code *does* contain a significant form of data leakage.
**Exact Location and Explanation of Data Leakage:**
The data leakage occurs in these lines:
```python
X["age"].fillna(X["age"].mean(), inplace=True)
X["blood_pressure"].fillna(X["blood_pressure"].median(), inplace=True)
X["cholesterol"].fillna(X["cholesterol"].mean(), inplace=True)
```
And why it's a problem:
1.  **Imputation Before Splitting:** These lines perform missing value imputation on the entire `X` DataFrame *before* the data is split into `X_train` and `X_test`.
2.  **Leakage Mechanism:** When `X["age"].mean()`, `X["blood_pressure"].median()`, and `X["cholesterol"].mean()` are calculated, they are computed using *all* the data points in the `age`, `blood_pressure`, and `cholesterol` columns, respectively. This means these statistics incorporate information from both the future training set and the future test set.
3.  **Consequence:** When you then use these overall means/medians to fill missing values in `X_train`, the training set has effectively "seen" information (the central tendency) about the distribution of values in the test set. The model, during training, learns to make predictions based on features that were imputed using statistics derived from data it's supposed to be blind to (the test set).
**Why this is a problem:**
*   **Over-optimistic Performance:** The model's performance on the test set will likely be an over-optimistic estimate of its true generalization capability. In a real-world scenario, when new, unseen data arrives, you wouldn't have that new data available to calculate these global statistics. You would only have the statistics derived *from your training data*.
*   **Violates Real-World Scenario:** A machine learning model should only be trained on information that would genuinely be available at the time of prediction. By using test set information during the preprocessing steps that inform training, you're not simulating a realistic deployment scenario.
*   **Reduced Generalizability:** While the accuracy on *this* specific test set might look good, the model might not generalize as well to truly unseen data because it learned on a "pre-leaked" distribution.
**How to fix it (conceptual):**
To prevent this data leakage, you should perform the `train_test_split` *first*, and then calculate and apply imputation statistics *only on the training data*. These same training-derived statistics would then be applied to the test data.
```python
import pandas as pd
from sklearn.model_selection import train_test_split
from sklearn.linear_model import LogisticRegression
from sklearn.metrics import accuracy_score
from sklearn.impute import SimpleImputer # A more robust way for imputation
df = pd.read_csv("patients.csv")
X = df.drop("readmitted", axis=1)
y = df["readmitted"]
# 1. Split data FIRST
X_train, X_test, y_train, y_test = train_test_split(
    X, y, test_size=0.2, random_state=42
)
# 2. Calculate imputation statistics ONLY on X_train
mean_age = X_train["age"].mean()
median_bp = X_train["blood_pressure"].median()
mean_cholesterol = X_train["cholesterol"].mean()
# 3. Apply imputation using X_train statistics to both X_train and X_test
X_train["age"].fillna(mean_age, inplace=True)
X_train["blood_pressure"].fillna(median_bp, inplace=True)
X_train["cholesterol"].fillna(mean_cholesterol, inplace=True)
X_test["age"].fillna(mean_age, inplace=True)
X_test["blood_pressure"].fillna(median_bp, inplace=True)
X_test["cholesterol"].fillna(mean_cholesterol, inplace=True)
model = LogisticRegression(max_iter=1000)
model.fit(X_train, y_train)
y_pred = model.predict(X_test)
print(f"Accuracy: {accuracy_score(y_test, y_pred):.4f}")
```
(Using `SimpleImputer` within a `Pipeline` is generally even better practice for this, but the above shows the conceptual fix directly related to the original code.)</t>
  </si>
  <si>
    <t>This Python code has several issues, bugs, and potentially bad practices. Here is a review highlighting these aspects:
1. **Modifying a copy of a slice warning**: 
   - Using `inplace=True` when filling NaNs in `X_train` and `X_test` may result in the "SettingWithCopyWarning" in pandas. Although the code in this specific context might not raise this warning, it’s considered better practice to avoid using `inplace=True` due to potential chaining issues. Instead, it's safer to perform the operation and assign back to the original DataFrame, ensuring no ambiguity.
2. **Assumptions about Column Existence**:
   - The code assumes that the columns `'age'`, `'blood_pressure'`, and `'cholesterol'` exist in the DataFrame `df`. If any of these columns are missing, the program will raise a `KeyError`.
3. **Assumption of Numerical Columns**:
   - The code assumes that `'age'`, `'blood_pressure'`, and `'cholesterol'` are numerical columns. If they are not, the `mean()` or `median()` functions would throw an error.
4. **Handling Categorical Data**:
   - If there are any categorical features in `X`, the logistic regression model won't handle them correctly. There is no conversion of categorical variables to numeric (e.g., using one-hot encoding), which is essential for most sklearn models.
5. **Missing Data Consideration**:
   - The code only fills NaN values for specific columns. If there are other columns with missing values in `X` that are not being handled, it could cause the model to fail or perform poorly.
6. **Column Order and Data Integrity**:
   - When splitting and later combining or predicting, it’s important to ensure no columns are added, removed, or reordered. If the order/number of features in X_test is not maintained correctly, it can lead to errors or silent failures in predictions.
7. **Testing Leakage**:
   - The code correctly uses training data statistics to fill missing values in the test set, a good practice to avoid data leakage. However, any changes to features like normalization or encoding should also account for such practices.
8. **Hard Coded File Names and Path**:
   - The filename "patients.csv" is hard-coded. While this may work locally, it's better to use a configuration file, environment variable, or function argument for flexibility.
9. **Error Handling for File Operations**:
   - There's no error handling around file reading operations. In a production scenario, you should handle potential IOErrors with try-except blocks, especially for important data loading steps.
10. **Static Random Seed**:
    - The use of a fixed `random_state=42` is good for reproducibility. Ensure this is intentional for the context, as it will lead to the same train-test splits on each run, which can be positive and negative depending on use.
To summarize, the code mostly performs well for a prototypical context but has room for improvements regarding robustness and practices required for a production-ready code. Watching out for the assumptions and handling diverse data types and structures would make it more reliable.</t>
  </si>
  <si>
    <t>Here's a review of the provided Python code, identifying various issues, bugs, and bad practices:
1. **Potential Data Leakage**:
   - The code calculates the mean and median of `age`, `blood_pressure`, and `cholesterol` from the training set and uses those values to fill missing values in both the training and test sets. This approach is a common source of data leakage because it uses information from the test set (even indirectly) to influence the training data preprocessing. A better practice is to fill missing values in the training set and then apply the same imputation strategy (like using the same mean/median from the training set) to the test set.
2. **Chain Assignment**:
   - The code uses `X_train["age"].fillna(..., inplace=True)` and similar for other columns. While `inplace=True` modifies the original DataFrame, it's generally considered a bad practice because it can lead to unexpected behavior if the operation doesn't behave as intended. It's usually preferable to avoid using `inplace=True` and instead reassign the result:
     ```python
     X_train["age"] = X_train["age"].fillna(train_age_mean)
     ```
3. **Missing Data Handling**:
   - The code fills missing values for specific features but does not check if there are any missing values beforehand or validate if they have been filled correctly after the operation. Adding a check for missing values before and after imputation is a good practice to ensure data integrity:
     ```python
     assert X_train["age"].isnull().sum() == 0, "Missing values still present in age column"
     ```
4. **Hardcoding Feature Names**:
   - The code directly references the feature names when dropping and filling missing values. While this is fine for a small number of features, as the size of the DataFrame increases, it can lead to errors if feature names are changed or if a new version of the DataFrame is used. It may be beneficial to create a list of feature names and iterate over it.
5. **Assumption About Features**:
   - The code assumes that the features `age`, `blood_pressure`, and `cholesterol` are numeric without validating their types. This could lead to errors if the data types are not as expected (e.g., if they are strings). It's good practice to check and convert the data types as necessary before performing any operations.
6. **Logistic Regression without Preprocessing**:
   - Logistic Regression requires that features be scaled (especially if the scale of the features varies significantly). The code does not perform any normalization or standardization of the features, which could affect model performance.
7. **Random State**:
   - While `random_state=42` is a common practice for reproducibility, it's better to parameterize random states or use `np.random.seed()` if you plan on varying this in the future. This ensures that results can be reproducible across different runs and environments.
8. **Lack of Cross-Validation**:
   - The model fitting and evaluation are done with a simple train/test split. For a more robust evaluation of the model performance, cross-validation should be utilized, allowing for better understanding of how the model generalizes.
9. **Hard to Maintain**:
   - Assuming or not documenting the expected columns in the CSV can lead to maintenance issues in the long run. It’s good practice to add checks or assert statements at the start of the script to ensure the DataFrame contains the expected columns before proceeding with the operations.
10. **Print Statement**:
    - The use of a print statement for output is okay for debugging but not ideal for production usage. It's better to use logging libraries for outputting information, which allows for better control over how messages are displayed and logged.
By addressing these points, the code can be made more robust, maintainable, and clear while minimizing risks related to data leakage and other potential issues.</t>
  </si>
  <si>
    <t>## Code Review: Patient Readmission ML Pipeline
### Summary of Issues Found
---
### 1. **Chained Indexing with `inplace=True` (SettingWithCopyWarning)**
```python
# PROBLEMATIC
X_train["age"].fillna(train_age_mean, inplace=True)
```
**Problem:** `X_train` is a slice of `df`, so chained indexing (`df[...][...]`) produces unpredictable behavior. The `inplace=True` may silently modify a temporary copy rather than the actual DataFrame, and will raise a `SettingWithCopyWarning`. In pandas 3.x, `inplace` on chained indexing is being deprecated entirely.
```python
# CORRECT: Assign back explicitly
X_train["age"] = X_train["age"].fillna(train_age_mean)
X_train["blood_pressure"] = X_train["blood_pressure"].fillna(train_bp_median)
X_train["cholesterol"] = X_train["cholesterol"].fillna(train_chol_mean)
```
---
### 2. **No Feature Scaling for Logistic Regression**
```python
# PROBLEMATIC
model = LogisticRegression(max_iter=1000)
model.fit(X_train, y_train)
```
**Problem:** Logistic Regression uses gradient-based optimization and is sensitive to feature magnitudes. Without scaling, features like `age` (0–100) and `blood_pressure` (60–180) dominate over smaller-scale features, leading to slower convergence, poor coefficient estimates, and potentially misleading results.
```python
# CORRECT
from sklearn.preprocessing import StandardScaler
scaler = StandardScaler()
X_train_scaled = scaler.fit_transform(X_train)
X_test_scaled = scaler.transform(X_test)  # fit only on train data
model = LogisticRegression(max_iter=1000)
model.fit(X_train_scaled, y_train)
y_pred = model.predict(X_test_scaled)
```
---
### 3. **No Handling of Categorical Features**
```python
# PROBLEMATIC
X = df.drop("readmitted", axis=1)
model.fit(X_train, y_train)
```
**Problem:** A real patient dataset almost certainly contains categorical columns (e.g., gender, diagnosis codes, admission type). Passing raw string columns to `LogisticRegression` will raise a `ValueError`. Even numeric-encoded categoricals (e.g., `1=male, 2=female`) can mislead the model by implying false ordinal relationships.
```python
# CORRECT: Encode categoricals explicitly
X = pd.get_dummies(df.drop("readmitted", axis=1), drop_first=True)
```
---
### 4. **Accuracy Is a Misleading Metric for Medical Data**
```python
# PROBLEMATIC
print(f"Accuracy: {accuracy_score(y_test, y_pred):.4f}")
```
**Problem:** Hospital readmission datasets are typically imbalanced (e.g., 80% not readmitted, 20% readmitted). A model that always predicts "not readmitted" achieves 80% accuracy while being clinically useless. Missing a true readmission (false negative) has real patient safety consequences.
```python
# CORRECT: Use clinically appropriate metrics
from sklearn.metrics import classification_report, roc_auc_score, confusion_matrix
print(classification_report(y_test, y_pred))
print(f"ROC-AUC: {roc_auc_score(y_test, model.predict_proba(X_test_scaled)[:, 1]):.4f}")
print("Confusion Matrix:")
print(confusion_matrix(y_test, y_pred))
```
---
### 5. **No Pipeline — Leakage Risk and Poor Reproducibility**
```python
# PROBLEMATIC: Manual, fragile multi-step process
train_age_mean = X_train["age"].mean()
X_train["age"].fillna(train_age_mean, inplace=True)
X_test["age"].fillna(train_age_mean, inplace=True)
scaler.fit(X_train)
...
```
**Problem:** Manually tracking imputation statistics and applying them separately is error-prone and doesn't compose well with cross-validation. If you ever add CV folds, you'd have to duplicate this logic for every fold.
```python
# CORRECT: Use sklearn Pipeline
from sklearn.pipeline import Pipeline
from sklearn.impute import SimpleImputer
from sklearn.preprocessing import StandardScaler
pipeline = Pipeline([
    ("imputer", SimpleImputer(strategy="median")),
    ("scaler", StandardScaler()),
    ("model", LogisticRegression(max_iter=1000))
])
pipeline.fit(X_train, y_train)
y_pred = pipeline.predict(X_test)
```
---
### 6. **No Error Handling for File Loading or Missing Columns**
```python
# PROBLEMATIC
df = pd.read_csv("patients.csv")
X = df.drop("readmitted", axis=1)
y = df["readmitted"]
```
**Problem:** If the file doesn't exist, the wrong path is given, or the `readmitted` column is absent (perhaps named differently), the script crashes with an unhelpful traceback.
```python
# CORRECT
import sys
try:
    df = pd.read_csv("patients.csv")
except FileNotFoundError:
    print("Error: 'patients.csv' not found.")
    sys.exit(1)
required_columns = {"age", "blood_pressure", "cholesterol", "readmitted"}
missing = required_columns - set(df.columns)
if missing:
    raise ValueError(f"Missing expected columns: {missing}")
```
---
### 7. **No Validation of Target Variable**
```python
# PROBLEMATIC
y = df["readmitted"]
```
**Problem:** There's no check that the target is binary (or whatever format is expected). If it contains unexpected values, NaNs, or is continuous, the model may silently misbehave or produce confusing errors.
```python
# CORRECT
if y.isnull().any():
    raise ValueError(f"Target column 'readmitted' contains {y.isnull().sum()} missing values.")
unexpected = set(y.unique()) - {0, 1}
if unexpected:
    raise ValueError(f"Unexpected values in target: {unexpected}")
```
---
### Complete Corrected Version
```python
import sys
import pandas as pd
from sklearn.model_selection import train_test_split
from sklearn.linear_model import LogisticRegression
from sklearn.impute import SimpleImputer
from sklearn.preprocessing import StandardScaler
from sklearn.pipeline import Pipeline
from sklearn.metrics import classification_report, roc_auc_score, confusion_matrix
# --- Load Data ---
try:
    df = pd.read_csv("patients.csv")
except FileNotFoundError:
    print("Error: 'patients.csv' not found.")
    sys.exit(1)
# --- Validate Columns ---
required_columns = {"age", "blood_pressure", "cholesterol", "readmitted"}
missing_cols = required_columns - set(df.columns)
if missing_cols:
    raise ValueError(f"Missing expected columns: {missing_cols}")
# --- Validate Target ---
y = df["readmitted"]
if y.isnull().any():
    raise ValueError(f"Target contains {y.isnull().sum()} missing values.")
# --- Encode Categoricals ---
X = pd.get_dummies(df.drop("readmitted", axis=1), drop_first=True)
# --- Split ---
X_train, X_test, y_train, y_test = train_test_split(
    X, y, test_size=0.2, random_state=42, stratify=y  # stratify for imbalanced data
)
# --- Pipeline (impute, scale, model) ---
pipeline = Pipeline([
    ("imputer", SimpleImputer(strategy="median")),
    ("scaler", StandardScaler()),
    ("model</t>
  </si>
  <si>
    <t># Code Review: Issues and Problems Found
## 1. **Data Leakage (Critical)**
**Problem:** Imputation statistics are computed on the training set, which is correct. However, if the test set has different missing patterns, using training statistics might not be optimal. More importantly, no validation is done to ensure consistent preprocessing.
**Better Practice:**
```python
# Use sklearn's imputation to ensure consistency
from sklearn.impute import SimpleImputer
imputer = SimpleImputer(strategy='mean')
X_train = imputer.fit_transform(X_train)
X_test = imputer.transform(X_test)  # Use training statistics
```
---
## 2. **Missing Data Handling Verification**
**Problem:** The code doesn't check if missing values exist before imputing, and doesn't verify the imputation worked.
**Better Practice:**
```python
print(X_train.isnull().sum())  # Check for missing values
X_train["age"].fillna(train_age_mean, inplace=True)
assert X_train["age"].isnull().sum() == 0  # Verify imputation
```
---
## 3. **Non-numeric Features Not Handled**
**Problem:** The code assumes all features in X are numeric. If categorical columns exist, LogisticRegression will fail.
**Better Practice:**
```python
# Separate and encode categorical features
categorical_cols = X.select_dtypes(include=['object']).columns
numeric_cols = X.select_dtypes(include=['number']).columns
# Use preprocessing pipeline
from sklearn.preprocessing import OneHotEncoder
from sklearn.compose import ColumnTransformer
```
---
## 4. **Inconsistent Imputation Strategies**
**Problem:** Different imputation methods are used (mean vs. median) without justification. This is arbitrary.
**Better Practice:**
```python
# Use consistent strategy
imputer = SimpleImputer(strategy='mean')  # or 'median' for all
```
---
## 5. **No Feature Scaling**
**Problem:** LogisticRegression benefits from feature scaling, especially if features have different ranges. This can affect convergence and model performance.
**Better Practice:**
```python
from sklearn.preprocessing import StandardScaler
scaler = StandardScaler()
X_train = scaler.fit_transform(X_train)
X_test = scaler.transform(X_test)
```
---
## 6. **No Input Validation**
**Problem:** No checks for:
- File existence before reading CSV
- Expected columns present in dataset
- Target variable validity
**Better Practice:**
```python
try:
    df = pd.read_csv("patients.csv")
    assert "readmitted" in df.columns
    assert len(df) &gt; 0
except FileNotFoundError:
    print("File not found!")
except AssertionError as e:
    print(f"Data validation failed: {e}")
```
---
## 7. **No Baseline or Model Validation**
**Problem:** Only accuracy is reported on test set. No:
- Baseline comparison
- Cross-validation
- Other metrics (precision, recall, F1)
- Class imbalance consideration
**Better Practice:**
```python
from sklearn.model_selection import cross_val_score
from sklearn.metrics import precision_score, recall_score, f1_score
# Cross-validation
cv_scores = cross_val_score(model, X_train, y_train, cv=5)
print(f"CV Accuracy: {cv_scores.mean():.4f} (+/- {cv_scores.std():.4f})")
# Additional metrics
print(f"Precision: {precision_score(y_test, y_pred):.4f}")
print(f"Recall: {recall_score(y_test, y_pred):.4f}")
print(f"F1-Score: {f1_score(y_test, y_pred):.4f}")
```
---
## 8. **inplace=True Usage**
**Problem:** Using `inplace=True` is generally discouraged as it modifies original dataframes and can cause unexpected behavior in data pipelines.
**Better Practice:**
```python
X_train = X_train.fillna(train_age_mean)  # Creates new copy
```
---
## 9. **Hard-coded Hyperparameters**
**Problem:** `max_iter=1000` is arbitrary. No hyperparameter tuning performed.
**Better Practice:**
```python
from sklearn.model_selection import GridSearchCV
param_grid = {'C': [0.1, 1, 10], 'max_iter': [500, 1000, 2000]}
grid_search = GridSearchCV(LogisticRegression(), param_grid, cv=5)
grid_search.fit(X_train, y_train)
model = grid_search.best_estimator_
```
---
## 10. **No Reproducibility Information**
**Problem:** While `random_state=42` is set, no documentation explains why or what this seed ensures.
**Better Practice:**
```python
import numpy as np
np.random.seed(42)
# Document: "Seed 42 ensures reproducible results across runs"
```
---
## Summary Table
| Issue | Severity | Type |
|-------|----------|------|
| Data leakage potential | High | ML Practice |
| Non-numeric features not handled | High | Bug |
| No feature scaling | Medium | Best Practice |
| No input validation | Medium | Robustness |
| Inconsistent imputation | Low | Code Quality |
| Missing error handling | Medium | Robustness |
| Limited evaluation metrics | Medium | ML Practice |</t>
  </si>
  <si>
    <t>This Python code sets up a basic machine learning workflow for predicting patient readmission. While it demonstrates some good practices (like calculating imputation statistics only on the training set to prevent data leakage), it has several significant issues, bugs, and bad practices that make it fragile, incomplete, and potentially lead to suboptimal model performance.
Here's a breakdown of the problems:
### Major Issues &amp; Potential Bugs
1.  **Incomplete Missing Value Handling:**
    *   **Problem:** The code only handles `NaN` values for `age`, `blood_pressure`, and `cholesterol`. It doesn't check for or address missing values in any other columns of `X`. If other columns have `NaN`s, the `model.fit()` call will raise an error because scikit-learn estimators do not accept `NaN` values by default.
    *   **Explanation:** This makes the code fragile. It assumes a specific state for the rest of the dataframe without validation.
    *   **Fix:** Before imputation, check for missing values across all columns using `df.isnull().sum()`. Decide on an appropriate strategy for each column (e.g., dropping columns/rows, different imputation methods). For a more robust solution, use `SimpleImputer` within a `Pipeline`.
2.  **No Handling of Categorical Features:**
    *   **Problem:** The code implicitly assumes all columns in `X` are numerical and ready for model training. If `df` contains categorical features (e.g., `gender`, `ethnicity`, `insurance_type`), these columns will be passed directly to `LogisticRegression`.
    *   **Explanation:** Scikit-learn's `LogisticRegression` (and most models) cannot directly handle string or object-type categorical features. This will result in a `ValueError` during `model.fit()`. Even if they are numerical representations of categories, they often need one-hot encoding or other specific treatments.
    *   **Fix:** Identify categorical columns. Apply appropriate encoding techniques like `OneHotEncoder` or `OrdinalEncoder` (from `sklearn.preprocessing`) to transform them into numerical representations. This should also be part of a `Pipeline`.
3.  **Lack of Feature Scaling:**
    *   **Problem:** The numerical features (`age`, `blood_pressure`, `cholesterol`, and any other numerical features in `X`) are not scaled.
    *   **Explanation:** Logistic Regression, while technically not strictly requiring feature scaling, often performs much better and converges faster when features are scaled. Features with larger numerical ranges can dominate the regularization penalty and the optimization process. This can lead to slower convergence or a suboptimal model.
    *   **Fix:** Apply a scaler like `StandardScaler` or `MinMaxScaler` (from `sklearn.preprocessing`) to the numerical features. This is another transformation that should be incorporated into a `Pipeline` to ensure consistency between training and test sets and prevent data leakage.
4.  **No `Pipeline` for Preprocessing:**
    *   **Problem:** The preprocessing steps (imputation) are performed manually and sequentially outside of a scikit-learn `Pipeline`.
    *   **Explanation:** While the imputation is correctly applied using training set statistics on both train and test sets, this manual approach becomes cumbersome and error-prone as the number of preprocessing steps increases (e.g., scaling, categorical encoding, feature engineering). It makes the code less modular, harder to maintain, and increases the risk of inconsistencies or data leakage if not careful.
    *   **Fix:** Encapsulate all preprocessing steps (imputation, scaling, encoding) within a `sklearn.pipeline.Pipeline` or `sklearn.compose.ColumnTransformer`. This ensures that transformations are applied consistently, in the correct order, and prevents data leakage by fitting transformers *only* on the training data.
### Bad Practices &amp; Improvements
5.  **Hardcoded Column Names:**
    *   **Problem:** Column names like `"readmitted"`, `"age"`, `"blood_pressure"`, `"cholesterol"` are hardcoded throughout the script.
    *   **Explanation:** If the `patients.csv` file ever changes its column names, the script will break. This makes the code less robust and harder to adapt to different datasets or schema changes.
    *   **Fix:** Define these column names as constants at the top of the script or, for a more advanced solution, dynamically identify feature and target columns based on context (e.g., all numerical columns for imputation, all object columns for categorical encoding, etc.).
6.  **Limited Model Evaluation:**
    *   **Problem:** Only `accuracy_score` is used to evaluate the model.
    *   **Explanation:** For classification problems, especially with potentially imbalanced datasets (like patient readmission, where non-readmission might be more common), accuracy alone can be misleading. A model that always predicts the majority class can have high accuracy but be useless.
    *   **Fix:** Use a broader set of metrics like `precision_score`, `recall_score`, `f1_score`, `roc_auc_score`, and a `confusion_matrix`. Visualize the ROC curve. This provides a more comprehensive understanding of the model's performance.
7.  **No Data Exploration/Validation:**
    *   **Problem:** The code jumps straight into modeling without any initial data exploration.
    *   **Explanation:** Without checking `df.head()`, `df.info()`, `df.describe()`, `df.isnull().sum()`, `df["readmitted"].value_counts()`, etc., you don't know the data types, distributions, extent of missing values, or class imbalance. This makes it impossible to anticipate issues like categorical features or severe class imbalance before they cause errors or poor model performance.
    *   **Fix:** Always start with a thorough Exploratory Data Analysis (EDA) to understand your data, identify potential issues, and inform your preprocessing and modeling choices.
8.  **Redundant Imputation Code:**
    *   **Problem:** The `fillna` calls are repeated almost identically for `X_train` and `X_test`.
    *   **Explanation:** While functionally correct, this repetition makes the code longer, harder to read, and more prone to errors if a change needs to be made (e.g., adding another column or changing the imputation method) and is only applied to one of the sets.
    *   **Fix:** As mentioned, a `Pipeline` handles this gracefully. Alternatively, you could abstract the imputation logic into a small function if not using a pipeline.
9.  **Lack of Error Handling for File Loading:**
    *   **Problem:** If `patients.csv` does not exist, `pd.read_csv` will raise a `FileNotFoundError` and crash the script.
    *   **Explanation:** For production-ready code, it's good practice to gracefully handle common errors.
    *   **Fix:** Wrap the `pd.read_csv` call in a `try-except` block to catch `FileNotFoundError` and provide a user-friendly message or take alternative action.
### Example of an Improved Version (Conceptual):
```python
import pandas as pd
from sklearn.model_selection import train_test_split
from sklearn.linear_model import LogisticRegression
from sklearn.metrics import accuracy_score, precision_score, recall_score, f1_score, roc_auc_score, confusion_matrix
from sklearn.pipeline import Pipeline
from sklearn.compose import ColumnTransformer
from sklearn.impute import SimpleImputer
from sklearn.preprocessing import StandardScaler, OneHotEncoder
import numpy as np
# --- 1. Constants and Configuration ---
DATA_FILE = "patients.csv"
TARGET_COLUMN = "readmitted"
NUMERIC_FEATURES = ["age", "blood_pressure", "cholesterol", "other_numeric_feature"] # IMPORTANT: Update with actual numeric features
CATEGORICAL_FEATURES = ["gender", "insurance_type", "ethnicity"] # IMPORTANT: Update with actual categorical features
RANDOM_STATE = 42
TEST_SIZE = 0.2
# --- 2. Load Data with Error Handling ---
try:
    df = pd.read_csv(DATA_FILE)
except FileNotFoundError:
    print(f"Error: The file '{DATA_FILE}' was not found. Please ensure it's in the correct directory.")
    exit() # Exit the script if data isn't found
except Exception as e:
    print(f"An unexpected error occurred while reading the CSV: {e}")
    exit()
# --- 3. Initial Data Exploration (Critical Step, not fully implemented here for brevity) ---
print("--- Initial Data Exploration ---")
print(df.head())
print("\nDataFrame Info:")
df.info()
print("\nMissing values per column:")
print(df.isnull().sum())
print(f"\nTarget distribution ({TARGET_COLUMN}):")
print(df[TARGET_COLUMN].value_counts(normalize=True))
# Ensure target column exists
if TARGET_COLUMN not in df.columns:
    print(f"Error: Target column '{TARGET_COLUMN}' not found in the dataset.")
    exit()
# Filter features to those expected, dropping others for now if they aren't handled
# This part needs careful thought based on EDA and domain knowledge
all_features = NUMERIC_FEATURES + CATEGORICAL_FEATURES
# Check if all defined features actually exist in the dataframe
missing_defined_features = [f for f in all_features if f not in df.columns]
if missing_defined_features:
    print(f"Warning: The following defined features are missing from the dataset: {missing_defined_features}")
    # Decide how to handle: remove from list, or exit if critical
    all_features = [f for f in all_features if f in df.columns]
    NUMERIC_FEATURES = [f for f in NUMERIC_FEATURES if f in df.columns]
    CATEGORICAL_FEATURES = [f for f in CATEGORICAL_FEATURES if f in df.columns]
# --- 4. Separate Features (X) and Target (y) ---
X = df[all_features] # Use only the explicitly defined features
y = df[TARGET_COLUMN]
# --- 5. Split Data into Training and Testing Sets ---
X_train, X_test, y_train, y_test = train_test_split(
    X, y, test_size=TEST_SIZE, random_state=RANDOM_STATE, stratify=y # Stratify for imbalanced target
)
# --- 6. Create Preprocessing Pipelines with ColumnTransformer ---
# Numerical features pipeline: impute missing values with mean, then scale
numeric_transformer = Pipeline(steps=[
    ('imputer', SimpleImputer(strategy='mean')), # Use mean for numerical, could be median too
    ('scaler', StandardScaler())
])
# Categorical features pipeline: impute missing values with a constant (e.g., 'missing'), then one-hot encode
# handle_unknown='ignore' prevents errors if test set has categories not seen in train
categorical_transformer = Pipeline(steps=[
    ('imputer', SimpleImputer(strategy='constant', fill_value='missing')),
    ('onehot', OneHotEncoder(handle_unknown='ignore'))
])
# Create a preprocessor using ColumnTransformer
preprocessor = ColumnTransformer(
    transformers=[
        ('num', numeric_transformer, NUMERIC_FEATURES),
        ('cat', categorical_transformer, CATEGORICAL_FEATURES)
    ],
    remainder='drop' # Drop any columns not specified (e.g., IDs, free text)
)
# --- 7. Create the Full Machine Learning Pipeline ---
model_pipeline = Pipeline(steps=[
    ('preprocessor', preprocessor),
    ('classifier', LogisticRegression(max_iter=1000, random_state=RANDOM_STATE, solver='liblinear')) # Added solver
])
# --- 8. Train the Model ---
print("\n--- Training Model ---")
model_pipeline.fit(X_train, y_train)
# --- 9. Make Predictions ---
y_pred = model_pipeline.predict(X_test)
y_prob = model_pipeline.predict_proba(X_test)[:, 1] # Probabilities for ROC AUC
# --- 10. Evaluate the Model ---
print("\n--- Model Evaluation ---")
print(f"Accuracy: {accuracy_score(y_test, y_pred):.4f}")
print(f"Precision: {precision_score(y_test, y_pred):.4f}")
print(f"Recall: {recall_score(y_test, y_pred):.4f}")
print(f"F1-Score: {f1_score(y_test, y_pred):.4f}")
print(f"ROC AUC: {roc_auc_score(y_test, y_prob):.4f}")
print("\nConfusion Matrix:")
print(confusion_matrix(y_test, y_pred))
# Optional: Add visualizations (e.g., ROC curve plot)
# import matplotlib.pyplot as plt
# from sklearn.metrics import RocCurveDisplay
# RocCurveDisplay.from_estimator(model_pipeline, X_test, y_test)
# plt.title("ROC Curve")
# plt.show()
```</t>
  </si>
  <si>
    <t>The provided Python machine learning pipeline code contains an issue related to the potential risk of data leakage, specifically concerning feature engineering that uses statistics computed from the entire dataset rather than just the training set. However, let's evaluate each part of the code to identify any problems:
1. **Missing Value Imputation:**
   - The code calculates the mean `age`, median `blood_pressure`, and mean `cholesterol` from the `X_train` set, and uses these statistics to fill missing values in both the training and test data. This is the correct approach for missing value imputation and does not directly cause data leakage. The statistics for filling missing values are derived solely from the training data, and these same statistics are then applied to both sets, ensuring there is no data leakage from the test set into the training process based on feature processing.
2. **Train-Test Split:**
   - The dataset is split into training and test sets using `train_test_split` with a specified random seed. This ensures a reproducible and appropriate split.
3. **Model Training and Testing:**
   - The `LogisticRegression` model is only trained on `X_train` and `y_train`, and predictions are made using `X_test`. This is the correct way to maintain the integrity of the evaluation process, as the test data is not involved during training.
4. **Feature Encoding/Synthetic Features:**
   - There are no synthetic features encoded into the dataset that would inherently contain information about the test outcomes. The input features are pre-defined.
Given the above points, the code appropriately handles key areas that could risk data leakage and implements standard practices for feature imputation and train-test splitting. The code above does not exhibit data leakage issues as features are not improperly derived or utilized in a way that leaks future information (e.g., using target information in feature creation).
Therefore, the code is free of data leakage and correctly isolates training and testing processes, maintaining the integrity of model evaluation.</t>
  </si>
  <si>
    <t>The code provided contains a form of data leakage, specifically in the handling of missing values for the features `age`, `blood_pressure`, and `cholesterol`. Here’s how the leakage occurs and why it is problematic:
### Data Leakage Explanation:
1. **Use of Training Data Statistics in the Test Set**:
   - The code calculates the mean for `age`, the median for `blood_pressure`, and the mean for `cholesterol` from the training set (`X_train`) and then uses these statistics to fill in missing values in both the training and test sets.
   - Specifically, the code does the following:
     ```python
     train_age_mean = X_train["age"].mean()
     train_bp_median = X_train["blood_pressure"].median()
     train_chol_mean = X_train["cholesterol"].mean()
     X_test["age"].fillna(train_age_mean, inplace=True)
     X_test["blood_pressure"].fillna(train_bp_median, inplace=True)
     X_test["cholesterol"].fillna(train_chol_mean, inplace=True)
     ```
2. **Why This is a Problem**:
   - By using statistics (mean/median) computed from the training set to impute missing values in the test set, there is a risk that information from the test set indirectly influences the model training process. This is problematic because it can lead to overly optimistic evaluation results, as the model may perform well on the test set due to the leakage of information.
   - In practice, imputation should be separate for the training and testing datasets to ensure that the model is only trained (and tested) on data it has not seen before. The correct approach would be to fit the imputer on the training data only and then apply it to the test data.
### Recommended Fix:
To avoid data leakage, you should use an imputation technique that is fitted only on the training data and then applied to the test data. This can be done using the `SimpleImputer` class from `sklearn`. Here is how you can modify the code:
```python
from sklearn.impute import SimpleImputer
# Define imputers for each feature
imputer_age = SimpleImputer(strategy='mean')
imputer_bp = SimpleImputer(strategy='median')
imputer_chol = SimpleImputer(strategy='mean')
# Fit and transform training data
X_train[['age']] = imputer_age.fit_transform(X_train[['age']])
X_train[['blood_pressure']] = imputer_bp.fit_transform(X_train[['blood_pressure']])
X_train[['cholesterol']] = imputer_chol.fit_transform(X_train[['cholesterol']])
# Transform test data
X_test[['age']] = imputer_age.transform(X_test[['age']])
X_test[['blood_pressure']] = imputer_bp.transform(X_test[['blood_pressure']])
X_test[['cholesterol']] = imputer_chol.transform(X_test[['cholesterol']])
```
This approach ensures that the imputation on the test data is performed using statistics derived solely from the training set, preserving the integrity of the test set and preventing data leakage.</t>
  </si>
  <si>
    <t>## Data Leakage Analysis
### Verdict: **No Data Leakage Detected**
This code is actually a good example of correctly handling imputation to *avoid* data leakage. Here is a detailed breakdown of why.
---
### What the Code Does Correctly
#### 1. Split Before Imputation
```python
# Split happens FIRST
X_train, X_test, y_train, y_test = train_test_split(
    X, y, test_size=0.2, random_state=42
)
# Statistics computed ONLY from training data, AFTER the split
train_age_mean = X_train["age"].mean()
train_bp_median = X_train["blood_pressure"].median()
train_chol_mean = X_train["cholesterol"].mean()
```
The imputation statistics are derived exclusively from `X_train`. Test data had no influence on these values.
#### 2. Test Set Imputed with Training Statistics
```python
# Test set uses training-derived statistics, not its own
X_test["age"].fillna(train_age_mean, inplace=True)
X_test["blood_pressure"].fillna(train_bp_median, inplace=True)
X_test["cholesterol"].fillna(train_chol_mean, inplace=True)
```
This correctly simulates the real-world scenario: at prediction time you would not have access to population statistics from future data, so you apply statistics learned during training.
---
### Common Mistake This Code Avoids
The classic leakage error would look like this:
```python
# WRONG - leaky version
X["age"].fillna(X["age"].mean(), inplace=True)  # Uses full dataset including test rows
X_train, X_test, y_train, y_test = train_test_split(X, y, ...)
# Also WRONG
age_mean = X_test["age"].mean()          # Derived from test set
X_test["age"].fillna(age_mean, inplace=True)
```
---
### Minor Practical Concerns (Not Leakage)
While not leakage, two things are worth noting for production-quality code:
**1. Use a Pipeline to enforce this discipline automatically:**
```python
from sklearn.pipeline import Pipeline
from sklearn.impute import SimpleImputer
pipeline = Pipeline([
    ("imputer", SimpleImputer(strategy="mean")),
    ("model", LogisticRegression(max_iter=1000))
])
pipeline.fit(X_train, y_train)
y_pred = pipeline.predict(X_test)
```
A `Pipeline` makes it structurally impossible to accidentally leak imputation statistics, and is safer for cross-validation.
**2. `inplace=True` on DataFrame slices may trigger a `SettingWithCopyWarning`** depending on how the split was performed, though this is a correctness/reliability concern, not a leakage issue.
---
### Summary
| Check | Status |
|---|---|
| Imputation fit on training data only | ✅ Correct |
| Test set imputed with training statistics | ✅ Correct |
| Split performed before any statistics computed | ✅ Correct |
| Target variable excluded from features | ✅ Correct |
| **Data leakage present** | **No** |</t>
  </si>
  <si>
    <t># Data Leakage Review
## Verdict: **NO DATA LEAKAGE** ✓
This code is **free of data leakage**. Here's why:
### What the Code Does Correctly
1. **Train-test split happens first** — The data is properly divided before any preprocessing
2. **Imputation statistics computed on training data only** — The mean and median are calculated exclusively from `X_train`
3. **Test set uses training statistics** — The test set is imputed using the statistics learned from training data, which is the correct approach
### Why This Avoids Leakage
The critical pattern is:
```python
train_age_mean = X_train["age"].mean()        # ✓ Computed from training data only
X_test["age"].fillna(train_age_mean, inplace=True)  # ✓ Uses training statistics
```
This ensures that no information from the test set influences the imputation strategy. The test set is treated as truly unseen data during the preprocessing step.
---
## Minor Code Quality Notes (Not Leakage Issues)
While the pipeline is leakage-free, here are suggestions for improvement:
1. **Better practice**: Use `sklearn.preprocessing.SimpleImputer` to encapsulate this logic
2. **Avoid `inplace=True`**: It's generally considered an anti-pattern in pandas
**Improved version:**
```python
from sklearn.impute import SimpleImputer
imputer = SimpleImputer(strategy='mean')
X_train = imputer.fit_transform(X_train)  # Fit on training data
X_test = imputer.transform(X_test)         # Apply to test data
```
This makes the leakage-free pattern more explicit and reusable in cross-validation scenarios.</t>
  </si>
  <si>
    <t>Upon reviewing the provided Python machine learning pipeline code, I can state that **this code is free of data leakage.**
Here's a breakdown of why, specifically addressing the common pitfalls:
1.  **Train-Test Split First:** The most crucial step to prevent data leakage is performing the `train_test_split` *before* any feature engineering or preprocessing. The code does this correctly:
    ```python
    X_train, X_test, y_train, y_test = train_test_split(
        X, y, test_size=0.2, random_state=42
    )
    ```
    This ensures that the test set is completely held out and unseen during any subsequent data transformations that inform the model.
2.  **Imputation Statistics Calculated Only on Training Data:** The code correctly calculates the imputation statistics (mean for 'age' and 'cholesterol', median for 'blood_pressure') exclusively from the *training* data (`X_train`):
    ```python
    train_age_mean = X_train["age"].mean()
    train_bp_median = X_train["blood_pressure"].median()
    train_chol_mean = X_train["cholesterol"].mean()
    ```
    This is critical. If these statistics were calculated from the *entire* dataset (`X` before the split), then information about the test set's distribution would leak into the training process, potentially giving an overly optimistic estimate of model performance.
3.  **Imputation Applied to Test Set Using Training Statistics:** Finally, these *training-derived* statistics are then used to fill missing values in *both* the training set and the test set:
    ```python
    X_train["age"].fillna(train_age_mean, inplace=True)
    # ... and similarly for X_test
    X_test["age"].fillna(train_age_mean, inplace=True)
    ```
    This is the correct approach. In a real-world prediction scenario, you would not have access to the full dataset's statistics or even the test set's statistics. You would apply the transformations learned *from your training data* to any new, unseen data (like the test set here).
**In summary:** The pipeline correctly separates the data, learns all necessary transformations (like imputation values) exclusively from the training set, and then applies those learned transformations consistently to both the training and test sets. This ensures that the test set remains a truly unbiased measure of the model's performance on unseen data.</t>
  </si>
  <si>
    <t>This Python code is generally well-structured and neat, but there are a few issues, potential improvements, and best practices to consider:
1. **Error Handling while Reading the CSV:**
   - Although not strictly necessary, it would be wise to include error handling when reading the CSV file to catch issues such as file not found, parsing errors, etc.
   ```python
   try:
       df = pd.read_csv("credit.csv")
   except FileNotFoundError:
       print("File not found. Please check the file path.")
       raise
   except pd.errors.ParserError:
       print("Error parsing the file. Please check the file format.")
       raise
   ```
2. **Handling Categorical Features:**
   - If `X` contains categorical features, using `SimpleImputer` with `strategy='mean'` isn't directly applicable. It can only be used for numeric data. Consider checking for categorical data and applying appropriate transformations or imputations (such as mode for categorical data).
3. **Imputation without Data Leakage:**
   - It's good practice to fit the imputer on the training data only to avoid data leakage, and then transform both the training and test data separately.
   ```python
   X_train, X_test, y_train, y_test = train_test_split(
       X, y, test_size=0.3, random_state=10
   )
   imputer = SimpleImputer(strategy="mean")
   X_train_imputed = pd.DataFrame(
       imputer.fit_transform(X_train), columns=X.columns
   )
   X_test_imputed = pd.DataFrame(
       imputer.transform(X_test), columns=X.columns
   )
   ```
4. **Potential Issues with Data Assumptions:**
   - The imputer assumes there are missing values encoded as NaN. Ensure that placeholders for missing data, if any, are converted to NaN before imputation.
5. **Verbose Output:**
   - It could be beneficial to include more verbose output if this is to be used for deeper inspection, especially in a debugging or educational context. For instance, after predicting, one could add output for a classification report or a confusion matrix. It provides more clarity regarding model performance than the F1 Score alone.
6. **Model Evaluation Metric:**
   - The F1 score might not always be the best metric depending on the context, especially if the dataset is imbalanced. Consider using additional metrics like precision-recall curves, AUC-ROC, etc., depending on specific needs.
7. **Random State for Consistent Results:**
   - The use of a `random_state` ensures that the results are reproducible which is practiced correctly here. However, document that in comments so it is clear for others or future you why that seed was selected.
8. **Code Documentation:**
   - Consider adding comments throughout the code to improve readability and maintainability by explaining the steps and choices made (e.g., choosing a Decision Tree or the imputation strategy).
By addressing these points, you increase the robustness, reliability, and clarity of your code.</t>
  </si>
  <si>
    <t>The provided Python code looks generally functional, but there are several issues, potential bugs, and bad practices that could be improved upon. Let's go through them one by one:
1. **Data Leakage from Imputation**:
   - **Issue**: The imputer is fit on the entire dataset (`X`) before splitting into train and test sets. This can lead to data leakage as information from the test set is essentially being used to impute the training set.
   - **Solution**: Fit the imputer on the training data only and then transform both the training and test sets. Change the code as follows:
     ```python
     X_train, X_test, y_train, y_test = train_test_split(X, y, test_size=0.3, random_state=10)
     imputer = SimpleImputer(strategy="mean") 
     X_train_imputed = imputer.fit_transform(X_train) 
     X_test_imputed = imputer.transform(X_test)
     ```
2. **DataFrame Creation After Imputation**:
   - **Issue**: After imputation, the code creates a new DataFrame from the imputed array but uses the original column names. This works, but it can lead to confusion regarding copies of data.
   - **Solution**: It is clearer to directly use the imputed output without creating a new DataFrame unless additional processing is needed.
3. **Lack of Data Preprocessing**:
   - **Issue**: The code does not address potential categorical features in the dataset. If "default" is a target variable but some features are categorical, this could result in errors or poor model performance.
   - **Solution**: Ensure that all categorical variables are properly encoded (e.g., using one-hot encoding or label encoding) before imputation and modeling. This could be done using `pd.get_dummies()` or `sklearn.preprocessing` methods.
4. **Hardcoded File Path**:
   - **Issue**: The code uses a hardcoded file path which may not be portable or robust if the file location changes.
   - **Solution**: It is a good practice to handle paths more dynamically, possibly using a configuration parameter or allowing user input.
5. **No Handling of Model Evaluation Metrics**:
   - **Issue**: The code prints only the F1 score without considering the possibility of multi-class classification (if applicable) or additional pertinent metrics such as accuracy, precision, or recall based on the problem context.
   - **Solution**: Consider printing additional metrics or using a classification report to provide a better overview of model performance:
     ```python
     from sklearn.metrics import classification_report
     print(classification_report(y_test, y_pred))
     ```
6. **Model Overfitting Risk**:
   - **Issue**: Decision Trees can overfit if not properly regulated. The current implementation does not set any parameters like `max_depth` or `min_samples_split`, which can be crucial for generalization.
   - **Solution**: Add hyperparameters to the `DecisionTreeClassifier` to control the complexity of the model:
     ```python
     model = DecisionTreeClassifier(random_state=10, max_depth=5)
     ```
7. **No Random Seed Usage in Imputation**:
   - **Issue**: While the train-test splitting has a random state, the imputer does not have any seeding options to ensure reproducibility.
   - **Solution**: Note that `SimpleImputer` does not require a random state; however, ensuring the entire pipeline is consistent across runs is a good practice.
8. **Code Structure and Comments**:
   - **Issue**: The code lacks comments which can make it less readable and maintainable. Also, there is no separation between data loading, processing, model training, and evaluation.
   - **Solution**: Add comments and possibly structure the code into functions for better organization.
### Revised Example Code
Here’s a revised version accounting for the observations made:
```python
import pandas as pd
from sklearn.impute import SimpleImputer
from sklearn.model_selection import train_test_split
from sklearn.tree import DecisionTreeClassifier
from sklearn.metrics import f1_score, classification_report
# Load data
df = pd.read_csv("credit.csv")
# Separate features and target variable
X = df.drop("default", axis=1)
y = df["default"]
# Split the data before imputation to avoid data leakage
X_train, X_test, y_train, y_test = train_test_split(
    X, y, test_size=0.3, random_state=10
)
# Impute missing values only in training set
imputer = SimpleImputer(strategy="mean")
X_train_imputed = imputer.fit_transform(X_train)
X_test_imputed = imputer.transform(X_test)
# Fit the model
model = DecisionTreeClassifier(random_state=10, max_depth=5)
model.fit(X_train_imputed, y_train)
# Make predictions
y_pred = model.predict(X_test_imputed)
# Evaluate the model
print(f"F1 Score: {f1_score(y_test, y_pred):.4f}")
print(classification_report(y_test, y_pred))
```
These revisions incorporate better practices in data processing and model evaluation.</t>
  </si>
  <si>
    <t>## Code Review
Overall the code is clean and readable, but it has several issues ranging from critical bugs to bad practices.
---
### 1. **Data Leakage (Critical Bug)**
```python
# WRONG: Fitting imputer on all data before splitting
imputer = SimpleImputer(strategy="mean")
X_imputed = pd.DataFrame(
    imputer.fit_transform(X), columns=X.columns  # Uses test data statistics
)
X_train, X_test, y_train, y_test = train_test_split(...)
```
**Problem:** The imputer is fit on the entire dataset *before* splitting, so test set values influence the imputation means. This leaks information from the test set into training, producing optimistically biased evaluation metrics.
```python
# CORRECT: Fit only on training data, transform both sets separately
X_train, X_test, y_train, y_test = train_test_split(
    X, y, test_size=0.3, random_state=10
)
imputer = SimpleImputer(strategy="mean")
X_train = pd.DataFrame(imputer.fit_transform(X_train), columns=X_train.columns)
X_test = pd.DataFrame(imputer.transform(X_test), columns=X_test.columns)  # transform only
```
---
### 2. **Mean Imputation on Categorical Features (Potential Bug)**
```python
imputer = SimpleImputer(strategy="mean")
X_imputed = pd.DataFrame(imputer.fit_transform(X), columns=X.columns)
```
**Problem:** `strategy="mean"` is invalid for non-numeric columns. If `X` contains categorical features, this will either raise an error or silently drop those columns, depending on the sklearn version.
```python
# CORRECT: Use different imputers per column type
from sklearn.compose import ColumnTransformer
numeric_cols = X.select_dtypes(include="number").columns.tolist()
categorical_cols = X.select_dtypes(exclude="number").columns.tolist()
preprocessor = ColumnTransformer([
    ("num", SimpleImputer(strategy="mean"), numeric_cols),
    ("cat", SimpleImputer(strategy="most_frequent"), categorical_cols)
])
```
---
### 3. **F1 Score Assumes Binary Classification (Potential Bug)**
```python
print(f"F1 Score: {f1_score(y_test, y_pred):.4f}")
```
**Problem:** `f1_score()` defaults to `average=None` behavior for binary tasks but raises a warning or error for multiclass targets. The `pos_label` default assumes the positive class is `1`, which may not match your data.
```python
# CORRECT: Be explicit about averaging strategy
# For binary classification:
print(f"F1 Score: {f1_score(y_test, y_pred, pos_label='yes', average='binary'):.4f}")
# For multiclass:
print(f"F1 Score: {f1_score(y_test, y_pred, average='weighted'):.4f}")
```
---
### 4. **Index Misalignment After Imputation (Subtle Bug)**
```python
X_imputed = pd.DataFrame(imputer.fit_transform(X), columns=X.columns)
```
**Problem:** `fit_transform()` returns a NumPy array, and the resulting DataFrame gets a default 0-based integer index. If the original `df` had a non-default index (e.g., after filtering), `y`'s index won't align with `X_imputed`'s index, silently corrupting the train/test split.
```python
# CORRECT: Preserve the original index
X_imputed = pd.DataFrame(
    imputer.fit_transform(X),
    columns=X.columns,
    index=X.index  # explicitly carry over the index
)
```
---
### 5. **No Exploratory Validation of the Data**
```python
df = pd.read_csv("credit.csv")
X = df.drop("default", axis=1)
y = df["default"]
```
**Problem:** The code immediately proceeds to modeling with no sanity checks. Missing the target column name, wrong dtypes, or unexpected values will cause cryptic downstream errors.
```python
# GOOD PRACTICE: Add basic validation
assert "default" in df.columns, "Target column missing"
print(df.dtypes)
print(df.isnull().sum())
print(y.value_counts())  # Check class distribution
```
---
### 6. **Decision Tree with Default Depth (Bad Practice)**
```python
model = DecisionTreeClassifier(random_state=10)
```
**Problem:** No `max_depth` or other regularization is set. The tree will grow until all leaves are pure, heavily overfitting the training data. The test F1 score may be misleadingly low or the model will be impractical.
```python
# BETTER: Constrain complexity
model = DecisionTreeClassifier(
    random_state=10,
    max_depth=5,          # limit tree depth
    min_samples_leaf=10,  # avoid tiny leaf nodes
    class_weight="balanced"  # handle class imbalance
)
```
---
### 7. **Single Train/Test Split Is Unreliable (Bad Practice)**
```python
X_train, X_test, y_train, y_test = train_test_split(
    X_imputed, y, test_size=0.3, random_state=10
)
```
**Problem:** A single split gives a high-variance estimate of model performance. Different `random_state` values can produce notably different F1 scores.
```python
# BETTER: Use cross-validation for reliable estimates
from sklearn.model_selection import cross_val_score, StratifiedKFold
cv = StratifiedKFold(n_splits=5, shuffle=True, random_state=10)
scores = cross_val_score(model, X_imputed, y, cv=cv, scoring="f1")
print(f"F1: {scores.mean():.4f} ± {scores.std():.4f}")
```
---
## Summary Table
| # | Issue | Severity |
|---|-------|----------|
| 1 | Data leakage via pre-split imputation | 🔴 Critical |
| 2 | Mean imputation applied to categorical columns | 🔴 Critical |
| 3 | Ambiguous F1 score averaging | 🟠 High |
| 4 | Index misalignment after DataFrame reconstruction | 🟠 High |
| 5 | No data validation before modeling | 🟡 Medium |
| 6 | Unbounded decision tree risks overfitting | 🟡 Medium |
| 7 | Single split gives unreliable performance estimate | 🟡 Medium |</t>
  </si>
  <si>
    <t># Code Review: Issues and Problems
## 1. **Data Leakage (CRITICAL)**
```python
imputer = SimpleImputer(strategy="mean")
X_imputed = pd.DataFrame(
    imputer.fit_transform(X), axis=1  # ← Problem: fit_transform on entire dataset
)
```
**Issue:** The imputer is fit on the entire dataset (including test data) before splitting. This leaks information from the test set into the training process.
**Fix:** Fit the imputer only on training data:
```python
X_train, X_test, y_train, y_test = train_test_split(
    X, y, test_size=0.3, random_state=10
)
imputer = SimpleImputer(strategy="mean")
X_train = pd.DataFrame(imputer.fit_transform(X_train), columns=X.columns)
X_test = pd.DataFrame(imputer.transform(X_test), columns=X.columns)
```
---
## 2. **No Error Handling**
```python
df = pd.read_csv("credit.csv")
```
**Issue:** No verification that the file exists or that it contains the expected columns ("default", etc.). The code will crash with cryptic errors if the file is missing or malformed.
**Fix:**
```python
try:
    df = pd.read_csv("credit.csv")
    if "default" not in df.columns:
        raise ValueError("'default' column not found in data")
except FileNotFoundError:
    print("Error: credit.csv not found")
    exit(1)
```
---
## 3. **No Data Validation**
```python
X = df.drop("default", axis=1)
y = df["default"]
```
**Issue:** No checks for:
- Missing values in the target variable `y`
- Class imbalance in classification
- Data types or ranges
- Empty dataset
---
## 4. **Imputation Strategy Not Justified**
```python
imputer = SimpleImputer(strategy="mean")
```
**Issue:** Using "mean" imputation is problematic for:
- Categorical features (applying mean to categories makes no sense)
- Skewed distributions
- Features where mean doesn't represent missing data well
**Better approach:**
```python
# Separate numeric and categorical columns
numeric_cols = X.select_dtypes(include=['number']).columns
categorical_cols = X.select_dtypes(include=['object']).columns
# Use appropriate strategies
numeric_imputer = SimpleImputer(strategy="median")  # More robust than mean
categorical_imputer = SimpleImputer(strategy="most_frequent")
```
---
## 5. **No Model Evaluation Metrics**
```python
print(f"F1 Score: {f1_score(y_test, y_pred):.4f}")
```
**Issue:** Only F1 score is reported. For binary classification, you should also check:
- Accuracy, Precision, Recall
- ROC-AUC
- Confusion matrix
- Whether classes are balanced
**Fix:**
```python
from sklearn.metrics import classification_report, confusion_matrix
print(classification_report(y_test, y_pred))
print(confusion_matrix(y_test, y_pred))
```
---
## 6. **No Hyperparameter Tuning**
```python
model = DecisionTreeClassifier(random_state=10)
```
**Issue:** Using default hyperparameters often leads to:
- Overfitting (decision trees are prone to this)
- Suboptimal performance
**Fix:** Use cross-validation and grid search:
```python
from sklearn.model_selection import GridSearchCV
params = {'max_depth': [3, 5, 7, 10], 'min_samples_split': [2, 5, 10]}
grid = GridSearchCV(DecisionTreeClassifier(random_state=10), params, cv=5)
grid.fit(X_train, y_train)
model = grid.best_estimator_
```
---
## 7. **Missing F1 Score `average` Parameter**
```python
f1_score(y_test, y_pred)
```
**Issue:** For multiclass problems, `average` parameter is required. For binary classification, the default is fine, but it's ambiguous.
**Fix:**
```python
f1_score(y_test, y_pred, average='binary')  # or 'weighted', 'macro', etc.
```
---
## 8. **No Train/Validation Split**
**Issue:** No separate validation set to tune hyperparameters. Using the test set for model selection introduces bias.
---
## Summary Table
| Issue | Severity | Type |
|-------|----------|------|
| Data leakage | 🔴 CRITICAL | Bug |
| No error handling | 🟠 HIGH | Best Practice |
| Mean imputation for all types | 🟠 HIGH | Logic Error |
| Only F1 score reported | 🟡 MEDIUM | Best Practice |
| No hyperparameter tuning | 🟡 MEDIUM | Best Practice |
| Missing data validation | 🟡 MEDIUM | Best Practice |</t>
  </si>
  <si>
    <t>The provided Python code implements a basic machine learning pipeline for classification. While it runs, it contains several issues, bugs, and bad practices ranging from critical data leakage to sub-optimal practices.
Here's a breakdown of the problems:
---
### Critical Issues &amp; Bugs (Leading to incorrect model or results)
1.  **Data Leakage during Imputation:**
    *   **Problem:** The `SimpleImputer` is `fit_transform`ed on the entire `X` dataset *before* the train-test split (`X_imputed = pd.DataFrame(imputer.fit_transform(X), columns=X.columns)`). This means the imputer learns the mean (or median, mode) of each feature from *both* the training and testing data.
    *   **Explanation:** Information from the test set is inadvertently used to preprocess the training set. This "leaks" information from the test set into the training process, leading to an overly optimistic evaluation of the model's performance on unseen data.
    *   **Fix:** The imputer should be `fit` *only* on the training data and then used to `transform` both the training and testing data separately. This is usually done *after* the train-test split, or within a `Pipeline`.
    ```python
    # Corrected Imputation (conceptual)
    X_train, X_test, y_train, y_test = train_test_split(X, y, test_size=0.3, random_state=10, stratify=y) # Split BEFORE imputation
    imputer = SimpleImputer(strategy="mean")
    X_train_imputed = pd.DataFrame(imputer.fit_transform(X_train), columns=X_train.columns)
    X_test_imputed = pd.DataFrame(imputer.transform(X_test), columns=X_test.columns) # Use 'transform', not 'fit_transform'
    ```
2.  **Incorrect Imputation Strategy for Categorical Data:**
    *   **Problem:** `SimpleImputer(strategy="mean")` is used. Credit datasets often contain categorical features (e.g., 'gender', 'education', 'marital_status'). Applying a "mean" imputation strategy to categorical columns is nonsensical and will either fail (if they are strings) or produce incorrect numerical values if they were inadvertently treated as numbers.
    *   **Explanation:** Mean is only appropriate for numerical data. For categorical features, one might use mode imputation (`strategy="most_frequent"`) or introduce a new category for missing values.
    *   **Fix:** Inspect the data types (`df.info()`). Apply different imputation strategies based on feature types. This often requires pre-processing steps like one-hot encoding for categorical features. A more robust solution might involve a `ColumnTransformer` with different imputers for different column types, or handling categorical data *before* numerical imputation.
3.  **Missing Stratification for `train_test_split`:**
    *   **Problem:** `train_test_split` is called without the `stratify` parameter for a classification task.
    *   **Explanation:** In classification problems, especially with imbalanced datasets (common for "default" prediction), it's crucial to ensure that the proportion of target classes is maintained in both the training and testing sets. Without `stratify=y`, the split could randomly create training or test sets with very few (or no) samples of the minority class, leading to unreliable model training and evaluation.
    *   **Fix:** Add `stratify=y` to the `train_test_split` call.
    ```python
    X_train, X_test, y_train, y_test = train_test_split(
        X_imputed, y, test_size=0.3, random_state=10, stratify=y
    )
    ```
    *(Note: This fix needs to be applied after addressing the imputation order issue)*
---
### Bad Practices &amp; Robustness Issues
4.  **Lack of Data Exploration/Inspection:**
    *   **Problem:** The code immediately loads the CSV and proceeds with modeling without any intermediate steps to understand the data.
    *   **Explanation:** It's critical to inspect the data after loading: `df.head()`, `df.info()`, `df.describe()`, `df.isnull().sum()` are essential first steps. This helps identify data types, missing values, potential outliers, and the overall structure, which directly impacts preprocessing choices (like imputation strategy) and model selection.
    *   **Fix:** Add data inspection commands immediately after `pd.read_csv`.
5.  **Hardcoded File and Column Names:**
    *   **Problem:** The filename ("credit.csv") and the target column name ("default") are hardcoded strings.
    *   **Explanation:** This makes the code less flexible and prone to errors if the file name or column name changes. It also lacks error handling if these don't exist.
    *   **Fix:** For a larger project, these could be configured through arguments, a config file, or constants. For this simple script, at least add error handling (e.g., `try-except FileNotFoundError`, `try-except KeyError`).
6.  **No Error Handling for File/Column Existence:**
    *   **Problem:** The code will crash if "credit.csv" doesn't exist (`FileNotFoundError`) or if the "default" column is missing (`KeyError`).
    *   **Explanation:** Robust code should anticipate common failures.
    *   **Fix:** Use `try-except` blocks for file loading and column access.
7.  **No Hyperparameter Tuning for the Model:**
    *   **Problem:** The `DecisionTreeClassifier` is used with default hyperparameters (except `random_state`).
    *   **Explanation:** Default hyperparameters are rarely optimal for a given dataset. Decision Trees, in particular, can easily overfit if not constrained (e.g., `max_depth`, `min_samples_leaf`).
    *   **Fix:** Implement hyperparameter tuning using techniques like `GridSearchCV` or `RandomizedSearchCV` from `sklearn.model_selection` to find the best parameters for the model.
8.  **Sole Reliance on a Single Metric (F1 Score) and Single Split:**
    *   **Problem:** Only the F1 score is reported, and the evaluation is based on a single train-test split.
    *   **Explanation:**
        *   While F1 is good for imbalanced classification, other metrics (precision, recall, accuracy, ROC AUC, confusion matrix) provide a more complete picture of model performance.
        *   Evaluating on a single train-test split can be misleading, as the performance might be sensitive to the particular random split of data.
    *   **Fix:**
        *   Report additional relevant metrics (e.g., `classification_report` from `sklearn.metrics`).
        *   Use cross-validation (e.g., `KFold`, `StratifiedKFold` with `cross_val_score` or `GridSearchCV`) for a more robust estimate of model performance.
9.  **Lack of Modularity/Functions:**
    *   **Problem:** The entire script is a linear sequence of operations.
    *   **Explanation:** For larger projects, wrapping distinct parts of the pipeline into functions (e.g., `load_data()`, `preprocess_data()`, `train_model()`, `evaluate_model()`) improves readability, reusability, and testability.
    *   **Fix:** Refactor the code into well-defined functions.
10. **No Post-Training Analysis:**
    *   **Problem:** After training and evaluating, there's no further analysis of the model.
    *   **Explanation:** It's good practice to inspect things like feature importances (`model.feature_importances_`) for Decision Trees to understand which features the model found most influential. This aids in debugging, feature selection, and gaining insights into the problem.
    *   **Fix:** Add lines to print or visualize feature importances.
11. **No Pipeline Usage:**
    *   **Problem:** Preprocessing steps (imputation) are done manually outside of a scikit-learn `Pipeline`.
    *   **Explanation:** Scikit-learn `Pipeline` objects are designed to chain multiple processing steps (like imputation, scaling, modeling) together. This helps prevent data leakage (by ensuring `fit` is only on training data) and makes the code cleaner and more organized.
    *   **Fix:** Wrap the imputer and classifier into a `Pipeline`.
    ```python
    from sklearn.pipeline import Pipeline
    from sklearn.preprocessing import StandardScaler # Example, if scaling needed
    # Example with a pipeline (after initial split of X, y)
    # X_train, X_test, y_train, y_test = train_test_split(X, y, test_size=0.3, random_state=10, stratify=y)
    pipeline = Pipeline([
        ('imputer', SimpleImputer(strategy='mean')),
        # ('scaler', StandardScaler()), # Add scaler if needed for other models, not strictly for DT
        ('classifier', DecisionTreeClassifier(random_state=10))
    ])
    pipeline.fit(X_train, y_train)
    y_pred = pipeline.predict(X_test)
    print(f"F1 Score (Pipeline): {f1_score(y_test, y_pred):.4f}")
    ```
---
### Summary of Recommended Changes:
1.  **Load &amp; Explore:** Load data, then perform initial data exploration (`.info()`, `.head()`, `.isnull().sum()`).
2.  **Split Data FIRST:** Perform `train_test_split` with `stratify=y` on the *original* `X` and `y`.
3.  **Handle Data Types:** Identify numerical and categorical columns.
4.  **Use `ColumnTransformer` (or separate handling):** Apply appropriate imputation for numerical (e.g., `mean`, `median`) and categorical (e.g., `most_frequent`, adding new category) features.
5.  **Build a `Pipeline`:** Chain preprocessing steps (imputation, potential one-hot encoding, scaling if needed) and the model into a `Pipeline`.
6.  **Tune Hyperparameters:** Use `GridSearchCV` or `RandomizedSearchCV` with cross-validation on the `Pipeline` to find optimal model parameters.
7.  **Robust Evaluation:** Use cross-validation and report multiple relevant metrics (e.g., `classification_report`).
8.  **Add Error Handling:** For file loading and column access.
9.  **Refactor into Functions:** Improve code organization and reusability.
10. **Analyze Model:** Check feature importances.</t>
  </si>
  <si>
    <t>The provided Python machine learning pipeline code does not contain any evident data leakage issues. Here's a detailed explanation:
1. **Data Splitting**: 
   - The code uses `train_test_split()` to split the dataset into training and test sets. This function is applied after the imputation step, which is important to avoid leakage. Since the imputation occurs before the split, it can potentially see the entire dataset. However, in this case, it does not introduce data leakage because imputation using the mean strategy aggregates values from each feature independently and does not integrate any information from the target variable (`y`). Therefore, it does not pose a risk by themselves, but it's a best practice to fit scalers, imputers, etc., within cross-validation folds or respectively on the training data only after a split to ensure robustness in a broader perspective.
2. **Feature Selection/Creation**:
   - The code does not create any features that encode target information that wouldn't be available at prediction time. The only preprocessing step involved is mean imputation for missing values, which is a standard procedure and, as applied here, does not leverage information from the target (`y`) nor from the test set directly since the target is not utilized in this operation.
3. **Model Training**:
   - The model (Decision Tree Classifier) is trained only on the training data (`X_train`, `y_train`) and is tested on the test data (`X_test`, `y_test`). There is a clear separation between the data used for training and evaluating the model.
Since this pipeline follows the correct order of preprocessing and model evaluation, it is free from data leakage as per the typical definitions and usage of pipeline elements like this. However, one suggestion as a best practice would be to apply imputation after the train-test split to replicate a more robust procedure, especially when moving towards production-level code. It helps to avoid inadvertently leaking global dataset statistics in scenarios where other imputation strategies might be involved, such as those dependent on the target variable.</t>
  </si>
  <si>
    <t>The provided Python machine learning pipeline code does exhibit a potential form of data leakage. Let's analyze it step by step:
1. **Reading the Dataset**: The pipeline begins by loading a dataset named "credit.csv". The target variable is "default", and the rest of the columns are features.
2. **Imputation of Missing Values**: 
   ```python
   imputer = SimpleImputer(strategy="mean")
   X_imputed = pd.DataFrame(
       imputer.fit_transform(X), columns=X.columns
   )
   ```
   Here, the SimpleImputer is applied to the entire feature set `X` before splitting the data into training and testing sets. This is a critical point where data leakage occurs.
### Where the Data Leakage Occurs:
The data leakage occurs at the imputation step. By calling `imputer.fit_transform(X)`, the imputer learns the mean of each feature using the entire dataset (both training and testing data) before any separation into training and testing subsets. As a result, the model is inadvertently trained using information from the test set, specifically the mean values of any features with missing data.
### Why This is a Problem:
Data leakage is problematic because it can lead to overly optimistic performance estimates. The model has been trained on data that has had imputed values based on the entire dataset, which would not be available in a real-world scenario where you would not have access to the test data during training. This can result in artificially high performance metrics, such as the F1 score in this case, when evaluated on the test set, thus misleading you about the model's true ability to generalize to unseen data.
### Solution:
To prevent data leakage, the imputer should be fitted only on the training data, like this:
```python
# Split the data before imputation
X_train, X_test, y_train, y_test = train_test_split(
    X, y, test_size=0.3, random_state=10
)
imputer = SimpleImputer(strategy="mean")
X_train_imputed = pd.DataFrame(
    imputer.fit_transform(X_train), columns=X_train.columns
)
X_test_imputed = pd.DataFrame(
    imputer.transform(X_test), columns=X_test.columns
)
# Proceed with model training
model = DecisionTreeClassifier(random_state=10)
model.fit(X_train_imputed, y_train)
y_pred = model.predict(X_test_imputed)
print(f"F1 Score: {f1_score(y_test, y_pred):.4f}")
```
In this revised code, the imputer is fit only on the training data, and then used to transform both training and test sets, thus avoiding any leakage of information from the test set into the training process.</t>
  </si>
  <si>
    <t>## Data Leakage Analysis
### Verdict: **Data Leakage Present**
---
### Where It Occurs
The leakage happens in this specific sequence:
```python
# PROBLEM: Imputer is fit on the ENTIRE dataset (X), including what
# will become the test set
imputer = SimpleImputer(strategy="mean")
X_imputed = pd.DataFrame(
    imputer.fit_transform(X), columns=X.columns  # &lt;-- fit sees all rows
)
# Split happens AFTER imputation — too late
X_train, X_test, y_train, y_test = train_test_split(
    X_imputed, y, test_size=0.3, random_state=10
)
```
The `fit_transform` call computes column means across **all rows in `X`** — both future training rows and future test rows — before the split occurs. Those global means are then used to fill missing values throughout the entire dataset.
---
### Why It Is a Problem
When the imputer computes the column mean over the full dataset, it incorporates statistical information from the test set. Concretely:
| Scenario | Mean used to impute training data |
|---|---|
| **Current (leaky) code** | Mean of train + test rows combined |
| **Correct approach** | Mean of training rows only |
This means:
1. **The model trains on data shaped by test-set statistics.** If the test set happens to have unusual values in a column, those pull the imputed training values toward them, subtly encoding test-set information into training features.
2. **Evaluation is optimistic.** The reported F1 score is likely better than what you would see on genuinely unseen data, because the preprocessing was informed by that "unseen" data.
3. **The pipeline is not reproducible in production.** At prediction time for a new batch, you would not have access to future data to recompute the mean. Using training-only statistics (as you should) would produce different imputed values than what the model was effectively trained against.
---
### Corrected Code
Split **first**, then fit the imputer on training data **only**, and use `transform` (not `fit_transform`) on the test set:
```python
import pandas as pd
from sklearn.impute import SimpleImputer
from sklearn.model_selection import train_test_split
from sklearn.tree import DecisionTreeClassifier
from sklearn.metrics import f1_score
df = pd.read_csv("credit.csv")
X = df.drop("default", axis=1)
y = df["default"]
# Step 1: Split BEFORE any fitting
X_train, X_test, y_train, y_test = train_test_split(
    X, y, test_size=0.3, random_state=10
)
# Step 2: Fit imputer on TRAINING data only
imputer = SimpleImputer(strategy="mean")
X_train_imputed = pd.DataFrame(
    imputer.fit_transform(X_train), columns=X_train.columns
)
# Step 3: Apply (transform only) to test data
X_test_imputed = pd.DataFrame(
    imputer.transform(X_test), columns=X_test.columns  # no fit here
)
model = DecisionTreeClassifier(random_state=10)
model.fit(X_train_imputed, y_train)
y_pred = model.predict(X_test_imputed)
print(f"F1 Score: {f1_score(y_test, y_pred):.4f}")
```
Alternatively, use a `Pipeline` object, which enforces this discipline automatically and makes the correct behavior harder to accidentally bypass:
```python
from sklearn.pipeline import Pipeline
pipeline = Pipeline([
    ("imputer", SimpleImputer(strategy="mean")),
    ("model", DecisionTreeClassifier(random_state=10))
])
X_train, X_test, y_train, y_test = train_test_split(
    X, y, test_size=0.3, random_state=10
)
pipeline.fit(X_train, y_train)   # imputer fit only on X_train internally
y_pred = pipeline.predict(X_test)
print(f"F1 Score: {f1_score(y_test, y_pred):.4f}")
```
The `Pipeline` approach is preferred for cross-validation scenarios as well, since it guarantees the imputer is refit correctly on each fold's training split automatically.</t>
  </si>
  <si>
    <t># Data Leakage Review
## **CRITICAL DATA LEAKAGE FOUND**
There is **severe data leakage** in this code. Here's the exact problem:
### The Problem
```python
imputer = SimpleImputer(strategy="mean")
X_imputed = pd.DataFrame(
    imputer.fit_transform(X), columns=X.columns
)
X_train, X_test, y_train, y_test = train_test_split(
    X_imputed, y, test_size=0.3, random_state=10
)
```
**The imputer is fit on the entire dataset `X` (before train/test split), which includes data from the test set.**
### Why This Is a Problem
1. **Mean values computed from test data**: The `imputer.fit_transform(X)` computes mean values using ALL rows in the dataset, including those that will later appear in the test set.
2. **Test information leaks into training**: When the imputer fills missing values in `X_train`, it's using mean statistics that were partially computed from `X_test` data. This means the test set has influenced the training data.
3. **Overly optimistic performance**: The model's F1 score will be artificially inflated because it has indirectly "seen" information from the test set during preprocessing.
4. **Poor real-world performance**: When you deploy this model to truly unseen data, performance will degrade significantly.
---
## Corrected Code
```python
import pandas as pd
from sklearn.impute import SimpleImputer
from sklearn.model_selection import train_test_split
from sklearn.tree import DecisionTreeClassifier
from sklearn.metrics import f1_score
df = pd.read_csv("credit.csv")
X = df.drop("default", axis=1)
y = df["default"]
X_train, X_test, y_train, y_test = train_test_split(
    X, y, test_size=0.3, random_state=10
)
# Fit imputer ONLY on training data
imputer = SimpleImputer(strategy="mean")
X_train_imputed = pd.DataFrame(
    imputer.fit_transform(X_train), columns=X_train.columns
)
# Transform test data using training statistics
X_test_imputed = pd.DataFrame(
    imputer.transform(X_test), columns=X_test.columns
)
model = DecisionTreeClassifier(random_state=10)
model.fit(X_train_imputed, y_train)
y_pred = model.predict(X_test_imputed)
print(f"F1 Score: {f1_score(y_test, y_pred):.4f}")
```
**Key changes:**
- Split data **before** fitting the imputer
- `imputer.fit()` only on `X_train`
- Use `imputer.transform()` on `X_test` to apply the training-derived statistics</t>
  </si>
  <si>
    <t>Yes, this code *does* contain a form of data leakage.
**Exact Location of Data Leakage:**
The data leakage occurs in these lines:
```python
imputer = SimpleImputer(strategy="mean")
X_imputed = pd.DataFrame(
    imputer.fit_transform(X), columns=X.columns
)
```
**Why it is a Problem:**
1.  **Fitting on the Entire Dataset:** The `SimpleImputer` is instantiated and then immediately uses `fit_transform(X)`. At this point, `X` contains *all* the data, including both what will eventually become the training set and what will become the test set.
2.  **Leakage of Test Set Statistics:** When `imputer.fit(X)` is called (which happens implicitly within `fit_transform(X)`), it calculates the mean (because `strategy="mean"`) for each feature using the values from the *entire* dataset. This means the means used to fill missing values include information derived from the test set.
3.  **Overly Optimistic Performance:** By imputing missing values in the training set using means that were influenced by the test set, you are essentially giving the model a "sneak peek" at the test set's data distribution. This makes the training process (and subsequent evaluation on the test set) not truly representative of how the model would perform on completely unseen data. The F1 score reported will likely be an overestimation of the model's true generalization ability.
**Corrected Approach to Prevent Leakage:**
To prevent this leakage, the `train_test_split` should occur *before* any preprocessing steps that learn parameters from the data (like imputation, scaling, etc.). These preprocessing steps should then be fitted *only* on the training data and then used to transform both the training and test data.
Here's how you would typically correct it:
```python
import pandas as pd
from sklearn.impute import SimpleImputer
from sklearn.model_selection import train_test_split
from sklearn.tree import DecisionTreeClassifier
from sklearn.metrics import f1_score
df = pd.read_csv("credit.csv")
X = df.drop("default", axis=1)
y = df["default"]
# 1. Split data *before* any preprocessing that learns from the data
X_train, X_test, y_train, y_test = train_test_split(
    X, y, test_size=0.3, random_state=10
)
# 2. Initialize imputer
imputer = SimpleImputer(strategy="mean")
# 3. Fit the imputer *only* on the training data
imputer.fit(X_train)
# 4. Transform both training and test data using the *fitted* imputer
X_train_imputed = pd.DataFrame(imputer.transform(X_train), columns=X_train.columns)
X_test_imputed = pd.DataFrame(imputer.transform(X_test), columns=X_test.columns)
model = DecisionTreeClassifier(random_state=10)
model.fit(X_train_imputed, y_train) # Train on the imputed training data
y_pred = model.predict(X_test_imputed) # Predict on the imputed test data
print(f"F1 Score: {f1_score(y_test, y_pred):.4f}")
```
For more complex pipelines, `sklearn.pipeline.Pipeline` is the recommended way to ensure correct order of operations and prevent data leakage automatically.</t>
  </si>
  <si>
    <t>The given Python code snippet is generally well-structured, but there are some minor issues and suggestions for improvement:
1. **Assumption about Data Types for Imputation**:
   - The code uses the SimpleImputer with the strategy set to "mean". This will work correctly only if all the features are numeric. If there are any categorical features in the dataset, this will lead to incorrect handling. A better approach would be to check the data types of the columns before applying imputation and handle them accordingly.
2. **Column Reassignment to DataFrames**:
   - Casting the imputed numpy array back to a DataFrame using the column names from `X.columns` could potentially lead to a misalignment of data if there were any transformations that changed the column order or if missing values led to any change in dimensionality. Ensure `X.columns` aligns correctly with the modified data.
3. **Potential Data Leakage**:
   - Data leakage occurs when information from the test set is used in the training process. Using the same `SimpleImputer` instance for both the training and test sets can sometimes lead to a subtle form of data leakage if the distribution in the test set is significantly different and impacts how imputing occurs. However, in this specific case with imputation, it's generally accepted given that the imputer is fit on `X_train` only. It's just important to keep this in mind in broader contexts.
4. **Hardcoded File Path**:
   - Assuming the file `credit.csv` is present in the working directory is not advisable for code meant to be shared or reused. It's better to either pass the file path as an argument or use configuration management to handle file locations.
5. **Lack of File Existence and Read Error Handling**:
   - There's no error handling for file reading. It would be prudent to add checks to ensure the file exists and handle exceptions that may occur during the reading process, such as using a try-except block.
6. **Feature and Target Variable Assumptions**:
   - The code assumes the target variable is labeled "default". If the dataset structure changes, this hardcoding can break the code. It's generally worth validating the existence of the target column and handling exceptions or printing informative errors if it's missing.
7. **Missing Model Evaluation Beyond F1 Score**:
   - While the F1 score is a useful metric, especially for imbalanced datasets, it can be beneficial to evaluate the model using a range of metrics (e.g., precision, recall, accuracy, ROC AUC) to get a more comprehensive understanding of model performance.
8. **Lack of Scalability Considerations**:
   - The code in its current form scales poorly to larger datasets due to imputation strategy and conversion back to DataFrames. When working with large datasets, this could become a bottleneck.
By considering these improvements, the code can become more robust, maintainable, and applicable in a broader range of scenarios.</t>
  </si>
  <si>
    <t>The provided Python code, which involves reading a CSV file, preprocessing data, training a Decision Tree classifier, and computing the F1 score, has several issues, bugs, and areas for improvement. Here’s a review of the code with detailed explanations of each problem:
1. **Column Names Alignment After Imputation**:
   - Issue: After using `fit_transform` on the imputer, when creating new DataFrames for `X_train` and `X_test`, the column names are derived from `X.columns` which can lead to misalignment if the DataFrame has changed due to operations (e.g., dropping columns).
   - Explanation: The index for columns in `X_train` and `X_test` may not correspond to `X.columns` after imputation, especially if there were any non-numeric columns initially. Instead, you should use `imputer.get_feature_names_out()` to retrieve the column names after imputation if they change.
   ```python
   X_train = pd.DataFrame(
       imputer.fit_transform(X_train), columns=imputer.get_feature_names_out(X.columns)
   )
   ```
2. **Potential for Non-Numeric Columns**:
   - Issue: If `X` contains non-numeric columns (like categorical variables), the `SimpleImputer` with the "mean" strategy will fail, as it cannot compute the mean of non-numeric data.
   - Explanation: If there are any categorical features, consider applying one-hot encoding or a different imputation strategy suited for that type of data before passing those columns to `SimpleImputer`. It's important to separate numeric and categorical data before imputation.
3. **Hardcoded File Name**:
   - Issue: The CSV file name is hardcoded as "credit.csv", which can lead to issues if the file is not in the working directory or if you wish to use a different dataset in the future.
   - Explanation: Use a variable or argument to allow flexibility in choosing the CSV file location:
   ```python
   import os
   file_path = os.path.join("path_to", "your_file.csv")
   df = pd.read_csv(file_path)
   ```
4. **Lack of Data Exploration and Validation**:
   - Issue: The code snippet does not assess whether the data is clean or appropriate for modeling before proceeding.
   - Explanation: It is a good practice to understand the structure of the data, check for missing values, and validate the distributions of features before modeling.
5. **Not Evaluating Model Quality**:
   - Issue: The code only prints the F1 score. It would be beneficial to also print other metrics (like accuracy, precision, recall) or to provide a confusion matrix for better evaluation of the classification model.
   - Explanation: Different metrics provide insights into model performance. Consider using:
   ```python
   from sklearn.metrics import classification_report, confusion_matrix
   print(confusion_matrix(y_test, y_pred))
   print(classification_report(y_test, y_pred))
   ```
6. **Inconsistency in Random State**:
   - Issue: The `random_state` is used in both the `train_test_split` and `DecisionTreeClassifier`, which is good for reproducibility, but inconsistency could occur if the same seed is not used in all places that involve randomness.
   - Explanation: Maintain uniformity in the way randomness is handled in your code by defining random states as a constant:
   ```python
   RANDOM_STATE = 10
   X_train, X_test, y_train, y_test = train_test_split(X, y, test_size=0.3, random_state=RANDOM_STATE)
   model = DecisionTreeClassifier(random_state=RANDOM_STATE)
   ```
7. **No Handling for Imbalanced Classes**:
   - Issue: If the classes in the target variable `y` are imbalanced, using the F1 score alone may not provide a complete picture. The model might ignore the minority class.
   - Explanation: In practice, consider using techniques such as stratified sampling, SMOTE for oversampling the minority class, or adjusting class weights in the classifier.
By addressing these issues, the code will be more robust, maintainable, and suitable for a wide range of datasets.</t>
  </si>
  <si>
    <t>## Code Review
The code is generally well-structured and follows reasonable ML practices, but has several issues worth addressing.
---
### Issue 1: Mean Imputation Applied to All Columns Indiscriminately
**Problem:** `SimpleImputer(strategy="mean")` only works correctly for numeric columns. Applying it to categorical columns will either raise an error or produce nonsensical results.
```python
# Problematic - assumes all columns are numeric
imputer = SimpleImputer(strategy="mean")
X_train = pd.DataFrame(imputer.fit_transform(X_train), columns=X.columns)
```
**Fix:** Handle numeric and categorical columns separately.
```python
from sklearn.compose import ColumnTransformer
numeric_cols = X.select_dtypes(include="number").columns
categorical_cols = X.select_dtypes(exclude="number").columns
preprocessor = ColumnTransformer([
    ("num", SimpleImputer(strategy="mean"), numeric_cols),
    ("cat", SimpleImputer(strategy="most_frequent"), categorical_cols)
])
```
---
### Issue 2: F1 Score Will Fail or Be Misleading for Multiclass Targets
**Problem:** `f1_score()` defaults to `average="binary"`, which raises a `ValueError` if the target has more than two classes, and gives no class-level insight even in binary cases.
```python
# Will raise ValueError if y has more than 2 unique values
print(f"F1 Score: {f1_score(y_test, y_pred):.4f}")
```
**Fix:** Explicitly set the `average` parameter and consider a full classification report.
```python
from sklearn.metrics import classification_report
# For binary classification - be explicit
print(f"F1 Score: {f1_score(y_test, y_pred, average='binary'):.4f}")
# Better - shows per-class metrics and handles any number of classes
print(classification_report(y_test, y_pred))
```
---
### Issue 3: Index Mismatch After `fit_transform`
**Problem:** `fit_transform()` returns a NumPy array, so the resulting DataFrame loses the original index. This can cause silent misalignment when the original index was non-default (e.g., after filtering).
```python
# Original index is dropped - y_train index no longer aligns
X_train = pd.DataFrame(
    imputer.fit_transform(X_train), columns=X.columns
)
```
**Fix:** Preserve the original index explicitly.
```python
X_train = pd.DataFrame(
    imputer.fit_transform(X_train),
    columns=X.columns,
    index=X_train.index  # Preserve original index
)
X_test = pd.DataFrame(
    imputer.transform(X_test),
    columns=X.columns,
    index=X_test.index
)
```
---
### Issue 4: No Protection Against Data Leakage in a Reusable Context
**Problem:** While the code correctly fits the imputer only on `X_train`, this logic is fragile when extended. Using a `Pipeline` enforces this separation structurally and prevents accidental leakage.
```python
# Correct but fragile - easy to accidentally call fit_transform on X_test later
imputer.fit_transform(X_train)
imputer.transform(X_test)
```
**Fix:** Use a `Pipeline` to make leakage prevention structural.
```python
from sklearn.pipeline import Pipeline
pipeline = Pipeline([
    ("imputer", SimpleImputer(strategy="mean")),
    ("model", DecisionTreeClassifier(random_state=10))
])
pipeline.fit(X_train, y_train)
y_pred = pipeline.predict(X_test)
```
---
### Issue 5: Decision Tree Has No Depth Limit (Overfitting Risk)
**Problem:** An unconstrained `DecisionTreeClassifier` will grow until all leaves are pure, almost certainly overfitting the training data.
```python
# Unconstrained tree - will overfit
model = DecisionTreeClassifier(random_state=10)
```
**Fix:** Constrain tree complexity. The right values should be found via cross-validation.
```python
from sklearn.model_selection import cross_val_score
model = DecisionTreeClassifier(
    random_state=10,
    max_depth=5,          # Limit tree depth
    min_samples_leaf=10,  # Require meaningful leaf populations
    ccp_alpha=0.01        # Cost-complexity pruning
)
```
---
### Issue 6: No Validation That the CSV Loaded Correctly
**Problem:** If the file is missing, misnamed, or malformed, the script fails with an unhelpful error. There is also no check that `"default"` exists as a column.
```python
df = pd.read_csv("credit.csv")  # No error handling
X = df.drop("default", axis=1)  # Fails silently if column is missing
```
**Fix:** Add basic validation.
```python
import sys
try:
    df = pd.read_csv("credit.csv")
except FileNotFoundError:
    sys.exit("Error: 'credit.csv' not found.")
if "default" not in df.columns:
    sys.exit("Error: Target column 'default' not found in dataset.")
```
---
### Summary Table
| # | Issue | Severity |
|---|-------|----------|
| 1 | Mean imputation applied to all columns | **High** |
| 2 | `f1_score` averaging not specified | **High** |
| 3 | Index lost after `fit_transform` | **Medium** |
| 4 | Fragile leakage prevention | **Medium** |
| 5 | Unconstrained decision tree | **Medium** |
| 6 | No input validation | **Low** |</t>
  </si>
  <si>
    <t># Code Review: Issues and Problems Found
## 1. **Data Leakage (CRITICAL)**
```python
imputer = SimpleImputer(strategy="mean")
X_train = pd.DataFrame(imputer.fit_transform(X_train), ...)
X_test = pd.DataFrame(imputer.transform(X_test), ...)
```
**Problem:** The imputer is fit on the training data, which is correct, but the mean values are calculated from `X_train` alone. However, if there are missing values in `X_test`, they'll be imputed with statistics learned from training data—this is acceptable, but the real issue is if the original `X` had missing values, the split should happen *after* ensuring proper data handling.
**Better practice:** Fit the imputer on training data only (which is done correctly here), but be explicit about it.
---
## 2. **Using Mean Imputation on Categorical Features**
```python
imputer = SimpleImputer(strategy="mean")
```
**Problem:** If the dataset contains categorical columns, using `mean` strategy will cause an error or produce nonsensical results. The code doesn't validate column types.
**Fix:**
```python
# Identify numeric columns only
numeric_cols = X_train.select_dtypes(include=['number']).columns
imputer = SimpleImputer(strategy="mean")
X_train[numeric_cols] = imputer.fit_transform(X_train[numeric_cols])
X_test[numeric_cols] = imputer.transform(X_test[numeric_cols])
```
---
## 3. **Index Reset Issues**
```python
X_train = pd.DataFrame(imputer.fit_transform(X_train), columns=X.columns)
```
**Problem:** When converting the numpy array back to DataFrame, the original index is lost and replaced with `[0, 1, 2, ...]`. This causes index misalignment with `y_train`.
**Fix:**
```python
X_train = pd.DataFrame(
    imputer.fit_transform(X_train), 
    columns=X.columns,
    index=X_train.index  # Preserve original index
)
```
---
## 4. **No Validation of Input Data**
```python
df = pd.read_csv("credit.csv")
```
**Problem:** 
- No check if file exists
- No check for empty dataframe
- No check if "default" column exists
- No check for duplicate rows or invalid data
**Fix:**
```python
try:
    df = pd.read_csv("credit.csv")
    if df.empty:
        raise ValueError("Dataset is empty")
    if "default" not in df.columns:
        raise ValueError("'default' column not found")
except FileNotFoundError:
    print("Error: credit.csv not found")
    exit(1)
```
---
## 5. **No Class Balance Check**
```python
y_pred = model.predict(X_test)
print(f"F1 Score: {f1_score(y_test, y_pred):.4f}")
```
**Problem:** F1 score is a good metric for imbalanced datasets, but the code doesn't check if the dataset is actually imbalanced or provide context. If classes are highly imbalanced, a single F1 score is incomplete.
**Better practice:**
```python
from sklearn.metrics import classification_report, confusion_matrix
print(classification_report(y_test, y_pred))
print(f"Class distribution: {y_test.value_counts()}")
```
---
## 6. **DecisionTree with No Hyperparameter Tuning**
```python
model = DecisionTreeClassifier(random_state=10)
```
**Problem:** Decision trees can easily overfit without depth constraints. Default parameters may not be optimal.
**Fix:**
```python
model = DecisionTreeClassifier(
    max_depth=10,
    min_samples_split=5,
    min_samples_leaf=2,
    random_state=10
)
```
---
## 7. **No Train/Validation Split for Model Selection**
**Problem:** The code trains and tests on a single split. There's no cross-validation to ensure model robustness.
**Fix:**
```python
from sklearn.model_selection import cross_val_score
scores = cross_val_score(model, X_train, y_train, cv=5, scoring='f1')
print(f"CV F1 Scores: {scores}")
```
---
## 8. **Hardcoded File Path and Magic Numbers**
```python
test_size=0.3, random_state=10
```
**Problem:** These should be configurable constants.
**Fix:**
```python
RANDOM_STATE = 10
TEST_SIZE = 0.3
DATA_FILE = "credit.csv"
```
---
## Summary Table
| Issue | Severity | Type |
|-------|----------|------|
| Index misalignment after imputation | High | Bug |
| Mean imputation on categorical features | High | Logic Error |
| No input validation | Medium | Bad Practice |
| No class balance analysis | Medium | Bad Practice |
| Potential data leakage concerns | Medium | Design |
| No hyperparameter tuning | Medium | Bad Practice |
| No cross-validation | Medium | Bad Practice |
| Magic numbers/hardcoded paths | Low | Code Quality |</t>
  </si>
  <si>
    <t>This Python code sets up a basic machine learning pipeline for a classification task. While it's a good starting point, it has several issues, bugs, and bad practices, especially concerning robust data preprocessing and model evaluation.
Here's a breakdown of the problems:
---
### Critical Issues / Potential Bugs:
1.  **`SimpleImputer(strategy="mean")` on Non-Numeric Columns (Major Bug)**
    *   **Problem:** The `SimpleImputer` with `strategy="mean"` is designed to work exclusively with numerical data. If your `X_train` or `X_test` DataFrames contain any non-numeric columns (e.g., strings, objects representing categorical features), this line will either:
        *   Raise a `ValueError` because it cannot compute the mean of non-numeric types.
        *   Silently fail if pandas/numpy coerce the types in an unexpected way, leading to incorrect imputation.
    *   **Explanation:** Real-world datasets often have categorical features (e.g., 'Gender', 'City', 'Marital Status') which are typically represented as strings or objects. These columns cannot be imputed with the mean. They require different strategies (e.g., `strategy="most_frequent"` after one-hot encoding, or a separate imputer). The code does not check column dtypes or separate features by type.
    *   **How to Fix:**
        *   Inspect `X.dtypes` to understand your feature types.
        *   Separate numerical and categorical columns.
        *   Apply `SimpleImputer` with appropriate strategies to each group (e.g., `mean` for numerical, `most_frequent` for categorical after encoding).
        *   Alternatively, use more advanced imputation methods that can handle mixed data types or preprocess categorical features *before* imputation.
2.  **Lack of Categorical Feature Handling (Major Omission)**
    *   **Problem:** Following from the previous point, even if the `SimpleImputer` somehow didn't error out, `DecisionTreeClassifier` (like most scikit-learn estimators) expects numerical input. If `X` contains categorical features as strings/objects, the model will likely raise an error or try to interpret them numerically if they are cast to object dtypes and then to numeric types.
    *   **Explanation:** Categorical features need to be transformed into a numerical representation before most machine learning models can use them. Common methods include One-Hot Encoding (for nominal categories) or Ordinal Encoding (for ordinal categories).
    *   **How to Fix:** Incorporate a step to encode categorical features using `OneHotEncoder` or `OrdinalEncoder` (from `sklearn.preprocessing`). This step should happen *before* imputation if the imputer is expected to work on encoded features, or after if the imputer handles string missing values (e.g., `SimpleImputer(strategy="most_frequent")` can be applied to string columns directly for imputation, then encoded).
---
### Bad Practices / Areas for Improvement:
3.  **No `Pipeline` (Bad Practice)**
    *   **Problem:** The data preprocessing steps (`imputation`) and model training are done sequentially and manually. This makes the code brittle, harder to maintain, and prone to errors.
    *   **Explanation:** Manually chaining steps increases the risk of:
        *   **Data Leakage:** Forgetting to `fit` only on `X_train` and then `transform` on `X_test` for scalers, imputers, etc. (Though correctly done for the imputer here, it's easy to make a mistake).
        *   **Inconsistency:** Ensuring all transformations applied to training data are also applied correctly and in the same order to test/new data.
        *   **Complexity:** As the pipeline grows (e.g., scaling, encoding, imputation, dimensionality reduction), manual management becomes unwieldy.
    *   **How to Fix:** Use `sklearn.pipeline.Pipeline` to encapsulate all preprocessing steps and the final estimator. This ensures that the entire workflow is treated as a single unit, preventing data leakage and simplifying deployment.
    ```python
    from sklearn.compose import ColumnTransformer
    from sklearn.pipeline import Pipeline
    from sklearn.preprocessing import OneHotEncoder, StandardScaler
    # Example setup assuming you've identified numeric and categorical features
    numeric_features = X.select_dtypes(include=['int64', 'float64']).columns
    categorical_features = X.select_dtypes(include=['object', 'category']).columns
    # Create preprocessing pipelines for numerical and categorical features
    numeric_transformer = Pipeline(steps=[
        ('imputer', SimpleImputer(strategy='mean')),
        ('scaler', StandardScaler()) # Good practice for many models, though not strictly needed for Decision Trees
    ])
    categorical_transformer = Pipeline(steps=[
        ('imputer', SimpleImputer(strategy='most_frequent')), # Impute before encoding
        ('onehot', OneHotEncoder(handle_unknown='ignore'))
    ])
    # Combine preprocessing steps
    preprocessor = ColumnTransformer(
        transformers=[
            ('num', numeric_transformer, numeric_features),
            ('cat', categorical_transformer, categorical_features)
        ])
    # Create the full pipeline
    model_pipeline = Pipeline(steps=[('preprocessor', preprocessor),
                                     ('classifier', DecisionTreeClassifier(random_state=10))])
    # Fit and predict with the pipeline
    model_pipeline.fit(X_train, y_train)
    y_pred = model_pipeline.predict(X_test)
    print(f"F1 Score: {f1_score(y_test, y_pred):.4f}")
    ```
4.  **No Feature Scaling (Context-Dependent Bad Practice)**
    *   **Problem:** The code does not include any feature scaling (e.g., `StandardScaler`, `MinMaxScaler`).
    *   **Explanation:** While Decision Trees are tree-based models and are *not* sensitive to the scale of features (they work by making splits based on absolute values), many other popular machine learning algorithms (e.g., Logistic Regression, SVMs, Neural Networks, K-Nearest Neighbors, PCA) *are* highly sensitive to feature scaling. Omitting this step in a general ML workflow is a common oversight.
    *   **How to Fix:** For a more general and robust pipeline (should you decide to swap `DecisionTreeClassifier` for another model), include a scaling step (e.g., `StandardScaler`) after imputation and before the model. This should be part of the `Pipeline` as shown in the example above.
5.  **Single Train/Test Split for Evaluation (Bad Practice for Robustness)**
    *   **Problem:** The model is evaluated on a single, arbitrary train/test split.
    *   **Explanation:** A single split can lead to high variance in performance estimates. The model's performance might be overly optimistic or pessimistic depending on how the data was split by chance.
    *   **How to Fix:** Use cross-validation (e.g., `KFold`, `StratifiedKFold` with `cross_val_score` or `GridSearchCV` / `RandomizedSearchCV`) to get a more robust estimate of your model's performance and to tune hyperparameters more effectively.
6.  **Hardcoded File and Column Names (Minor Bad Practice)**
    *   **Problem:** The filename (`"credit.csv"`) and target column name (`"default"`) are hardcoded.
    *   **Explanation:** While fine for a quick script, for more reusable code, these should ideally be passed as arguments or configuration variables.
    *   **How to Fix:** Define them as constants at the top or pass them as function parameters.
7.  **No Data Exploration/Validation (Pre-code omission)**
    *   **Problem:** The code jumps straight into modeling without any apparent data exploration.
    *   **Explanation:** Before building a model, it's crucial to understand your data: check for missing values (which you're imputing, but good to know their extent), inspect data types (`df.info()`, `df.dtypes`), look at distributions (`df.describe()`), identify outliers, and understand class balance (`y.value_counts()`). This initial exploration often reveals the need for the preprocessing steps mentioned above (categorical handling, imputation strategy).
    *   **How to Fix:** Add `df.info()`, `df.isnull().sum()`, `y.value_counts()`, etc., before the modeling steps, even if just for comment reminders.
---
### Summary of Key Issues:
The most pressing issues are the **improper handling of categorical features** and the **reliance on `SimpleImputer(strategy="mean")` for potentially mixed-type data**. The lack of a `Pipeline` is a significant architectural flaw that makes the code less robust and scalable.</t>
  </si>
  <si>
    <t>The provided code is generally free from data leakage, and there is no indication that information from the test set is being inadvertently used during the training process. Here's a detailed breakdown of the steps to verify this:
1. **Data Splitting**: 
   - The code splits the data into training and test sets using `train_test_split`. This ensures that the test set remains unseen during the training process, which is crucial for avoiding data leakage.
2. **Imputation**:
   - The `SimpleImputer` is fitted on the `X_train` data and only the transform function is used on the `X_test` data. This approach ensures that the imputation strategy does not gain information from the test set, which is a common source of data leakage. By fitting only on `X_train`, it ensures that statistics like mean (used in 'mean' strategy) are calculated only from training data and then applied to both training and test sets.
3. **Model Training and Evaluation**:
   - The `DecisionTreeClassifier` is trained solely on the `X_train` and `y_train` datasets, with predictions made on the `X_test` dataset, followed by the calculation of the F1 score with `y_test`. This separation ensures that no part of the testing labels (y_test) influences the training process.
The code correctly handles preprocessing (imputation) and training without allowing test data to influence the training process, thus avoiding data leakage. Moreover, there is no indication that any feature encodes future target information that wouldn't be available at prediction time.
In summary, the pipeline outlined in the code is appropriately designed, and no data leakage issues are present.</t>
  </si>
  <si>
    <t>The provided Python machine learning pipeline code generally follows a proper structure for training and evaluating a model while attempting to avoid data leakage. However, there is a notable concern regarding the handling of missing data that could lead to data leakage.
### Potential Issue with Data Leakage:
The potential issue arises from the way the `SimpleImputer` is applied to the training and testing datasets. Here’s the specific line of concern:
```python
X_train = pd.DataFrame(
    imputer.fit_transform(X_train), columns=X.columns
)
X_test = pd.DataFrame(
    imputer.transform(X_test), columns=X.columns
)
```
### Explanation of the Problem:
1. **Imputer Fitting on Train Data Only:** The `fit_transform` method of the `SimpleImputer` is called on `X_train`, which is correct. This learns the mean of each feature from the training data.
2. **Using Train Statistics on Test Data:** The `transform` method is then called on `X_test`. This is also correct, as it uses the fitted imputer from the training data to fill in the missing values in the test set. 
   However, if the `SimpleImputer` mechanism had any side effects (e.g., if it used information about the distribution of values from the entire dataset or if there was any other inadvertent step that combined both datasets), it could lead to a leakage situation. In this current implementation, since the imputer is correctly only learning from the `X_train`, it should generally not result in leakage.
### Verdict on Data Leakage:
**In this specific code implementation, there is no data leakage present.** The imputer is correctly fitted on the training data only and is not using any information from the test set during the model training phase. 
### Conclusion:
The code is structured in a way that respects the principles necessary to avoid data leakage. Nevertheless, developers should be cautious when implementing imputation or any preprocessing steps, ensuring that they always fit on the training data only before transforming both training and testing datasets independently. Additionally, always reviewing the underlying methodology of third-party libraries used for preprocessing and modeling (like scikit-learn) is a good practice.</t>
  </si>
  <si>
    <t>## Data Leakage Analysis
**Verdict: No data leakage detected.**
This pipeline correctly handles all the common sources of data leakage. Here is a detailed breakdown of each stage:
---
### ✅ Train/Test Split — Correct
```python
X_train, X_test, y_train, y_test = train_test_split(
    X, y, test_size=0.3, random_state=10
)
```
The split happens **before** any data-dependent transformations. This is the critical ordering requirement, and it is satisfied here.
---
### ✅ Imputation — Correct
```python
imputer = SimpleImputer(strategy="mean")
X_train = pd.DataFrame(
    imputer.fit_transform(X_train), columns=X.columns   # learns means from train only
)
X_test = pd.DataFrame(
    imputer.transform(X_test), columns=X.columns        # applies train means to test
)
```
This is the most common mistake in preprocessing pipelines, and it is handled correctly here:
- `fit_transform` on training data — the imputer learns column means **exclusively from training samples**
- `transform` on test data — the previously learned training means are applied to fill test set gaps
- Test set statistics **never influence** the imputer
If instead `fit_transform` had been called on the full dataset `X` before splitting, the training means would have been contaminated by test set values, constituting leakage.
---
### ✅ Model Training — Correct
```python
model = DecisionTreeClassifier(random_state=10)
model.fit(X_train, y_train)
```
The model is trained exclusively on training data. No test set samples or labels are involved.
---
### ✅ Features — No Target Leakage
```python
X = df.drop("default", axis=1)
y = df["default"]
```
The target column `"default"` is cleanly separated from the features. There is no evidence of derived features that encode the target (e.g., no target encoding, no running totals of defaults, no features computed using `y`).
---
### Summary Table
| Stage | Practice Used | Leakage Risk |
|---|---|---|
| Split timing | Split before preprocessing | ✅ None |
| Imputer fitting | `fit` on train only | ✅ None |
| Imputer application | `transform` on test | ✅ None |
| Model fitting | Train data only | ✅ None |
| Feature construction | No target-derived features | ✅ None |
---
### One Practical Recommendation
While not a leakage issue, consider wrapping the imputer and model in an **`sklearn` Pipeline** to make the correct ordering structurally enforced and less error-prone as the code evolves:
```python
from sklearn.pipeline import Pipeline
pipeline = Pipeline([
    ("imputer", SimpleImputer(strategy="mean")),
    ("model",   DecisionTreeClassifier(random_state=10))
])
pipeline.fit(X_train, y_train)
y_pred = pipeline.predict(X_test)
```
This guarantees that any preprocessor always sees only the data it is currently being asked to transform, which becomes especially valuable inside cross-validation loops.</t>
  </si>
  <si>
    <t># Data Leakage Review
## ✓ **This code is FREE of data leakage**
The pipeline correctly handles the train-test split and imputation workflow. Here's why it avoids the most common data leakage pitfall:
### What's Done Correctly:
1. **Train-test split happens first** (line 8-11)
   - The data is divided before any preprocessing
2. **Imputer is fit only on training data** (line 13)
   - `imputer.fit_transform(X_train)` — statistics are learned only from training set
   - The mean values used for imputation are calculated exclusively from `X_train`
3. **Test data uses training statistics** (line 16)
   - `imputer.transform(X_test)` — applies the *already-fit* imputer to test data
   - Test set is imputed using means from training data, not its own means
4. **Model training is isolated** (line 18-19)
   - Model only sees `X_train` and `y_train`
   - Evaluation on held-out test set
### The Critical Principle:
The imputer's parameters (the mean values) are learned **exclusively from training data**. When the test set is imputed, it uses the training means, simulating how a deployed model would handle missing values with statistics computed at training time. This is the correct approach.
---
## What Would Be Leakage (Example):
```python
# ❌ WRONG: Fitting imputer on entire dataset before split
imputer = SimpleImputer(strategy="mean")
X = pd.DataFrame(imputer.fit_transform(X), columns=X.columns)
X_train, X_test, y_train, y_test = train_test_split(X, y, ...)
```
This would leak test information into the training set via the imputation statistics.</t>
  </si>
  <si>
    <t>This Python machine learning pipeline code is **free of data leakage**.
Here's a breakdown of why and a step-by-step confirmation:
1.  **`X_train, X_test, y_train, y_test = train_test_split(...)`**: The crucial first step is to split the data into training and testing sets *before* any preprocessing or model training. This ensures that the test set is completely held out and unseen during the learning phases.
2.  **`imputer = SimpleImputer(strategy="mean")`**: An imputer is initialized.
3.  **`X_train = pd.DataFrame(imputer.fit_transform(X_train), ...)`**: The `SimpleImputer` is `fit` *only on the `X_train` data*. This means the means used to fill missing values are calculated exclusively from the training set. This is the correct approach to prevent data leakage from the test set into the imputation process.
4.  **`X_test = pd.DataFrame(imputer.transform(X_test), ...)`**: The `transform` method is then called on `X_test`. Importantly, it uses the *means learned from `X_train`* (in the previous step) to fill missing values in `X_test`. It does **not** `fit` on `X_test`, meaning no information from the test set is used to determine the imputation parameters. This is correct.
5.  **`model.fit(X_train, y_train)`**: The `DecisionTreeClassifier` is trained exclusively on the preprocessed training data (`X_train` and `y_train`). No test data is used here.
6.  **`y_pred = model.predict(X_test)`**: Predictions are made on the unseen, preprocessed test set.
7.  **`f1_score(y_test, y_pred)`**: The model's performance is evaluated using the true labels of the test set (`y_test`) and the predictions made on the test set (`y_pred`).
**Conclusion:**
The code correctly implements the standard practices to prevent data leakage:
*   The data split happens first.
*   All preprocessing steps (like imputation) learn their parameters *only from the training data*.
*   These learned parameters are then applied to both the training and test sets.
*   The model is trained solely on the training data.
*   Evaluation is performed solely on the test data.
There is no instance where information from the test set (or target information not available at prediction time) inadvertently influences the training process or feature engineering.</t>
  </si>
  <si>
    <t>Here's a review of the Python code you've provided:
1. **Dataset Access and Robustness**:
   - The code assumes the file `cars.csv` is available in the current working directory. This might not always be the case, especially when running the code in different environments. It's good practice to handle potential file-not-found errors by using try-except blocks or checking file existence.
2. **Handling Non-Numeric Data**:
   - The code directly applies `StandardScaler` on `X`, which could cause issues if there are non-numeric columns in the dataset (e.g., categorical features). If the dataset contains non-numeric columns, these should be handled appropriately before scaling, either by converting them to numeric values through encoding or by excluding them from scaling if unnecessary for modeling.
3. **Assumption That 'price' Column Exists**:
   - The code assumes that the column `price` exists in `df`. If the data changes or the column is named differently (e.g., if the dataset changes over time or if a typo occurs), this will raise a KeyError. It's a good practice to check if the column exists.
4. **Potential Data Leakage**:
   - The code performs scaling on the entire dataset before cross-validation. Ideally, scaling (and any other preprocessing) should be done inside each cross-validation fold to prevent data leakage from the training set to the test set.
5. **Verbose Output of Cross-Validation**:
   - The print statement for the cross-validation results uses a fixed formatting of 4 decimal places. While this might not be an issue, ensure that the level of precision makes sense for the problem at hand.
6. **General Use of Magic Strings**:
   - Strings like `"price"`, `"r2"`, and `"cars.csv"` are hardcoded, often referred to as "magic strings". It’s usually a good practice to define them as constants at the top of the file for easier maintenance and readability.
Here is a version of the code with these potential issues addressed:
```python
import os
import pandas as pd
from sklearn.preprocessing import StandardScaler
from sklearn.model_selection import cross_val_score
from sklearn.linear_model import Ridge
# Constants
DATA_FILE = "cars.csv"
TARGET_COLUMN = "price"
CROSS_VAL_SCORING = "r2"
# Check if the file exists
if not os.path.exists(DATA_FILE):
    raise FileNotFoundError(f"The file {DATA_FILE} does not exist.")
# Load the dataset
try:
    df = pd.read_csv(DATA_FILE)
except Exception as e:
    raise Exception(f"An error occurred while reading the file: {e}")
# Check if the target column exists
if TARGET_COLUMN not in df.columns:
    raise ValueError(f"Column '{TARGET_COLUMN}' not found in the dataset.")
# Separate features and target
X = df.drop(TARGET_COLUMN, axis=1)
y = df[TARGET_COLUMN]
# Handle non-numeric data
if not X.select_dtypes(include=[float, int]).shape[1] == X.shape[1]:
    raise ValueError("Non-numeric data found in X, requires preprocessing.")
# Model training with cross-validation
model = Ridge(alpha=1.0)
scores = cross_val_score(model, X, y, cv=5, scoring=CROSS_VAL_SCORING, 
                         fit_params={'StandardScaler': True})
print(f"Mean {CROSS_VAL_SCORING}: {scores.mean():.4f} (+/- {scores.std():.4f})")
```
Note that there is still a place for a slight modification: sklearn doesn't allow `fit_params` to pass scalers like it is suggested, so preprocessing needs manual intervention which corrects data leakage.</t>
  </si>
  <si>
    <t>The provided Python code performs a regression analysis using a Ridge model and employs cross-validation to evaluate the model's performance. However, there are a few issues, potential bugs, and bad practices that can be addressed:
1. **CSV File Path Handling**:
   - **Issue**: The code assumes that the file `cars.csv` exists in the current working directory without any checks or error handling.
   - **Potential Improvement**: It would be better to add error handling to ensure that the file exists and can be read. Using a try-except block or checking the existence of the file may help prevent runtime errors if the file is missing.
   ```python
   import os
   if not os.path.exists("cars.csv"):
       raise FileNotFoundError("The file 'cars.csv' does not exist.")
   ```
2. **Data Preprocessing**:
   - **Issue**: The code does not handle missing values or categorical variables, which can lead to problems during model training. If the dataset contains NaNs or categorical features, it will raise an error when fitting the model.
   - **Potential Improvement**: Before scaling the features, it is essential to check for and handle missing values, as well as to encode categorical variables appropriately.
   ```python
   # Example of handling missing values
   if df.isnull().values.any():
       df = df.dropna()  # or use imputation methods
   ```
3. **Feature Scaling**:
   - **Issue**: All columns in the DataFrame `X` are being scaled, regardless of whether they are numerical or categorical. This may lead to errors if any categorical data is present.
   - **Potential Improvement**: Confirm that only numerical columns are scaled. This can be done using `select_dtypes`.
   ```python
   X_num = X.select_dtypes(include=['float64', 'int64'])
   X_scaled = scaler.fit_transform(X_num)
   ```
4. **Model Fitting**:
   - **Issue**: The model is not fitted before evaluating with `cross_val_score`. While `cross_val_score` does handle this internally, explicitly fitting the model can help in understanding the flow of code.
   - **Clarification**: There's no direct bug here, but a comment explaining that `cross_val_score` internally fits the model can clarify the intent for readers.
5. **Hardcoding Parameters**:
   - **Issue**: The parameter `alpha=1.0` for the Ridge regression model is hardcoded. While this may be acceptable for a quick test, it’s a bad practice when developing a model meant for production or analysis.
   - **Potential Improvement**: Consider parameterizing this value or using techniques such as hyperparameter tuning to find the best value for `alpha`.
   ```python
   # Example of using a variable for the alpha
   alpha_value = 1.0
   model = Ridge(alpha=alpha_value)
   ```
6. **Printing Outputs**:
   - **Issue**: The printing format used for the `scores` may not align with the data, particularly if you wish to see more decimals or significant figures. It assumes two decimal places are sufficient, which might not always be true depending on dataset size and variance.
   - **Potential Improvement**: This can be adjusted based on need, or particular context. 
   ```python
   print(f"Mean R2: {scores.mean():.3f} (+/- {scores.std():.3f})")  # Adjust as necessary
   ```
7. **Lack of Comments and Documentation**:
   - **Issue**: The code lacks inline comments that describe the steps being taken. While it's relatively straightforward, adding some comments or a docstring explaining what the script does would aid in readability and maintainability.
   - **Potential Improvement**: Adding comments can improve the clarity of the code. For example:
   ```python
   # Load dataset and separate features and target
   ```
By addressing these issues, the code can become more robust, easier to read, and maintainable, which ultimately enhances its functionality and reliability in various situations.</t>
  </si>
  <si>
    <t>## Code Review
This code is functional and reasonably clean, but has several issues ranging from critical data leakage bugs to missing best practices.
---
### 1. Data Leakage — Critical Bug
The most serious issue is scaling **before** cross-validation:
```python
# WRONG — scaler sees all data including validation folds
scaler = StandardScaler()
X_scaled = scaler.fit_transform(X)  # fitted on entire dataset
scores = cross_val_score(model, X_scaled, y, cv=5)
```
The scaler is fit on the entire dataset, meaning validation fold statistics contaminate the training process. This produces optimistically biased scores that won't reflect real-world performance.
**Fix — use a Pipeline:**
```python
from sklearn.pipeline import Pipeline
pipeline = Pipeline([
    ("scaler", StandardScaler()),
    ("model", Ridge(alpha=1.0))
])
scores = cross_val_score(pipeline, X, y, cv=5, scoring="r2")
```
The pipeline ensures the scaler is fit **only on training folds** during each cross-validation split.
---
### 2. No Data Validation or Error Handling
The code assumes the CSV loads perfectly and contains exactly the right columns with clean data.
```python
# WRONG — silent failures possible
df = pd.read_csv("cars.csv")
X = df.drop("price", axis=1)
y = df["price"]
```
**Fix:**
```python
import sys
try:
    df = pd.read_csv("cars.csv")
except FileNotFoundError:
    sys.exit("Error: 'cars.csv' not found.")
if "price" not in df.columns:
    sys.exit("Error: 'price' column missing from dataset.")
if df.isnull().values.any():
    print(f"Warning: {df.isnull().sum().sum()} missing values detected.")
    df = df.dropna()  # or use imputation
X = df.drop("price", axis=1)
y = df["price"]
```
---
### 3. Non-Numeric Features Will Cause a Silent Failure
`StandardScaler` and `Ridge` require numeric input, but the code passes all columns without checking types:
```python
# If df has categorical columns, this raises a cryptic ValueError
X_scaled = scaler.fit_transform(X)
```
**Fix — explicitly select or encode features:**
```python
# Option A: select only numeric columns
X = df.drop("price", axis=1).select_dtypes(include="number")
# Option B: encode categoricals explicitly
from sklearn.compose import ColumnTransformer
from sklearn.preprocessing import OneHotEncoder
numeric_features = X.select_dtypes(include="number").columns.tolist()
categorical_features = X.select_dtypes(include="object").columns.tolist()
preprocessor = ColumnTransformer([
    ("num", StandardScaler(), numeric_features),
    ("cat", OneHotEncoder(handle_unknown="ignore"), categorical_features)
])
pipeline = Pipeline([
    ("preprocessor", preprocessor),
    ("model", Ridge(alpha=1.0))
])
```
---
### 4. Alpha Hyperparameter Is Hardcoded Without Justification
```python
# Arbitrary — alpha=1.0 is just the default
model = Ridge(alpha=1.0)
```
If this is meant for real use, alpha should be tuned:
```python
from sklearn.model_selection import GridSearchCV
pipeline = Pipeline([
    ("scaler", StandardScaler()),
    ("model", Ridge())
])
param_grid = {"model__alpha": [0.01, 0.1, 1.0, 10.0, 100.0]}
search = GridSearchCV(pipeline, param_grid, cv=5, scoring="r2")
search.fit(X, y)
print(f"Best alpha: {search.best_params_['model__alpha']}")
print(f"Best R2: {search.best_score_:.4f}")
```
---
### 5. Cross-Validation Not Reproducible
`cross_val_score` with default settings uses non-shuffled KFold, which can produce misleading results if data is ordered:
```python
# No shuffling — order-dependent data gives biased splits
scores = cross_val_score(model, X_scaled, y, cv=5, scoring="r2")
```
**Fix:**
```python
from sklearn.model_selection import KFold
kf = KFold(n_splits=5, shuffle=True, random_state=42)
scores = cross_val_score(pipeline, X, y, cv=kf, scoring="r2")
```
---
### 6. Reporting Only Mean ± Std Is Insufficient
The print statement shows summary stats but hides the full score distribution:
```python
# Hides individual fold scores — one bad fold is invisible
print(f"Mean R2: {scores.mean():.4f} (+/- {scores.std():.4f})")
```
**Fix:**
```python
print(f"Individual fold R2 scores: {scores.round(4)}")
print(f"Mean R2: {scores.mean():.4f} (+/- {scores.std():.4f})")
print(f"Min: {scores.min():.4f}  Max: {scores.max():.4f}")
```
---
### Corrected Full Example
```python
import sys
import pandas as pd
from sklearn.pipeline import Pipeline
from sklearn.preprocessing import StandardScaler
from sklearn.linear_model import Ridge
from sklearn.model_selection import cross_val_score, KFold, GridSearchCV
# --- Load and validate data ---
try:
    df = pd.read_csv("cars.csv")
except FileNotFoundError:
    sys.exit("Error: 'cars.csv' not found.")
if "price" not in df.columns:
    sys.exit("Error: 'price' column missing from dataset.")
if df.isnull().values.any():
    print(f"Warning: {df.isnull().sum().sum()} missing values — dropping rows.")
    df = df.dropna()
# --- Prepare features ---
X = df.drop("price", axis=1).select_dtypes(include="number")
y = df["price"]
# --- Build pipeline (prevents data leakage) ---
pipeline = Pipeline([
    ("scaler", StandardScaler()),
    ("model", Ridge())
])
# --- Tune alpha ---
param_grid = {"model__alpha": [0.01, 0.1, 1.0, 10.0, 100.0]}
kf = KFold(n_splits=5, shuffle=True, random_state=42)
search = GridSearchCV(pipeline, param_grid, cv=kf, scoring="r2")
search.fit(X, y)
print(f"Best alpha: {search.best_params_['model__alpha']}")
print(f"Best CV R2: {search.best_score_:.4f}")
# --- Final evaluation with best model ---
scores = cross_val_score(search.best_estimator_, X, y, cv=kf, scoring="r2")
print(f"\nFold R2 scores: {scores.round(4)}")
print(f"Mean R2: {scores.mean():.4f} (+/- {scores.std():.4f})")
```
---
### Summary Table
| # | Issue | Severity |
|---|-------|----------|
| 1 | Data leakage via pre-split scaling | 🔴 Critical |
| 2 | No data validation or error handling | 🟠 High |
| 3 | Non-numeric columns not handled | 🟠 High |
| 4 | Hardcoded, untuned hyperparameter | 🟡 Medium |
| 5 | Non-reproducible, unshuffled CV splits | 🟡 Medium |
| 6 | Insufficient result reporting | 🟢 Low |</t>
  </si>
  <si>
    <t># Code Review: Issues and Problems Found
## 1. **Data Leakage (CRITICAL)** ⚠️
```python
scaler = StandardScaler()
X_scaled = scaler.fit_transform(X)
```
**Problem:** The scaler is fit on the entire dataset before cross-validation. This means test set statistics are included when calculating mean/std, causing data leakage.
**Fix:** Scaling should happen inside the cross-validation loop or use a Pipeline:
```python
from sklearn.pipeline import Pipeline
pipeline = Pipeline([
    ('scaler', StandardScaler()),
    ('model', Ridge(alpha=1.0))
])
scores = cross_val_score(pipeline, X, y, cv=5, scoring="r2")
```
---
## 2. **No Error Handling for File I/O**
```python
df = pd.read_csv("cars.csv")
```
**Problem:** If the file doesn't exist or is corrupted, the program crashes without a helpful error message.
**Fix:**
```python
try:
    df = pd.read_csv("cars.csv")
except FileNotFoundError:
    print("Error: cars.csv not found")
    exit(1)
except pd.errors.ParserError:
    print("Error: Invalid CSV format")
    exit(1)
```
---
## 3. **No Data Validation**
**Problem:** The code assumes:
- "price" column exists
- No missing values
- All features are numeric
- Data is suitable for modeling
**Fix:**
```python
# Check for required column
if "price" not in df.columns:
    raise ValueError("'price' column not found in dataset")
# Check for missing values
if df.isnull().any().any():
    print("Warning: Dataset contains missing values")
    df = df.dropna()
# Check data types
print(df.dtypes)
```
---
## 4. **Arbitrary Hyperparameter Choice**
```python
model = Ridge(alpha=1.0)
```
**Problem:** Alpha value of 1.0 is hardcoded without justification or tuning.
**Fix:** Use hyperparameter tuning:
```python
from sklearn.model_selection import GridSearchCV
param_grid = {'alpha': [0.1, 1.0, 10.0, 100.0]}
ridge = Ridge()
grid_search = GridSearchCV(ridge, param_grid, cv=5)
grid_search.fit(X_scaled, y)
print(f"Best alpha: {grid_search.best_params_}")
```
---
## 5. **Low Cross-Validation Folds**
```python
cross_val_score(model, X_scaled, y, cv=5, scoring="r2")
```
**Problem:** With only 5 folds, results can be unstable on small datasets. No dataset size check.
**Fix:**
```python
n_samples = len(df)
cv_folds = min(5, max(3, n_samples // 20))  # Adaptive CV
scores = cross_val_score(model, X_scaled, y, cv=cv_folds, scoring="r2")
```
---
## 6. **No Feature Inspection**
**Problem:** No check for feature quality (high cardinality, categorical features, correlations).
**Fix:**
```python
# Check for categorical columns
categorical = X.select_dtypes(include=['object']).columns
if len(categorical) &gt; 0:
    print(f"Warning: Categorical features found: {categorical.tolist()}")
# Check data shape
print(f"Features: {X.shape[1]}, Samples: {X.shape[0]}")
```
---
## 7. **Missing Model Evaluation Context**
**Problem:** Only R² score is shown; no information about:
- Feature importance
- Residual analysis
- Whether the model is overfitting
- Train vs test performance difference
**Fix:**
```python
from sklearn.model_selection import cross_validate
scoring = {'r2': 'r2', 'rmse': 'neg_mean_squared_error', 'mae': 'neg_mean_absolute_error'}
results = cross_validate(pipeline, X, y, cv=5, scoring=scoring)
print(f"R² Score: {results['test_r2'].mean():.4f} ± {results['test_r2'].std():.4f}")
print(f"RMSE: {(-results['test_rmse'].mean())**0.5:.4f}")
print(f"MAE: {-results['test_mae'].mean():.4f}")
```
---
## Summary Table
| Issue | Severity | Type |
|-------|----------|------|
| Data Leakage | **CRITICAL** | Bug |
| No File Error Handling | High | Bad Practice |
| No Data Validation | High | Bad Practice |
| Arbitrary Hyperparameters | Medium | Bad Practice |
| Limited CV Folds | Medium | Bad Practice |
| No Feature Inspection | Medium | Bad Practice |
| Insufficient Evaluation Metrics | Medium | Bad Practice |</t>
  </si>
  <si>
    <t>Here's a review of the provided Python code, identifying issues, bugs, and bad practices:
## Code Review: Issues, Bugs, and Bad Practices
The code demonstrates a basic machine learning workflow (data loading, preprocessing, model training, and evaluation). However, it contains several critical issues and bad practices that can lead to misleading results or errors in a real-world scenario.
### Critical Issues (Must Fix)
1.  **Data Leakage During Scaling:**
    *   **Problem:** The `StandardScaler` is fit on the *entire dataset* (`X`) using `scaler.fit_transform(X)` *before* cross-validation. This means the mean and standard deviation used for scaling are computed using information from the data that will eventually be part of the test folds.
    *   **Explanation:** This is a classic example of **data leakage**. The model effectively "sees" the characteristics of the test data (through the scaler's parameters) during its training phase. As a result, the reported R2 scores will be overly optimistic and will not accurately reflect the model's performance on truly unseen data.
    *   **Solution:** The scaling operation must be performed *within* each fold of the cross-validation. This is best achieved using an `sklearn.pipeline.Pipeline`. The pipeline ensures that `fit_transform` is applied only to the training data of each fold, and `transform` is applied to the test data.
2.  **Lack of Handling for Non-Numerical/Categorical Features:**
    *   **Problem:** The code implicitly assumes that all columns in `X` (except "price") are numerical and suitable for `StandardScaler`.
    *   **Explanation:** `StandardScaler` is designed for numerical data. If `cars.csv` contains categorical features (e.g., 'make', 'color', 'fuel_type'), applying `StandardScaler` directly to these columns will either:
        *   Raise a `ValueError` if they are string/object types.
        *   Lead to nonsensical scaling if pandas manages to coerce them into a numeric type (e.g., if there are mixed types in a column, it might become `object` or `NaN`s).
        *   Treat encoded categorical features (like one-hot encoded) as regular numerical features, which might not always be the desired behavior.
    *   **Solution:**
        *   **Inspect your data:** Always start by checking `df.info()`, `df.head()`, `df.describe()` to understand data types and content.
        *   **Separate and preprocess:** Identify numerical and categorical columns. Apply appropriate preprocessing to each:
            *   Numerical: Scaling (e.g., `StandardScaler`, `MinMaxScaler`).
            *   Categorical: Encoding (e.g., `OneHotEncoder`, `OrdinalEncoder`).
        *   **Use `ColumnTransformer`:** For complex preprocessing on different column types, combine it with `Pipeline` using `sklearn.compose.ColumnTransformer`.
### Bad Practices &amp; Missing Best Practices (Should Address)
3.  **No Dedicated Test Set:**
    *   **Problem:** The code uses `cross_val_score` on the entire dataset (`X`, `y`) without first splitting it into a dedicated training set and a final, held-out test set.
    *   **Explanation:** While `cross_val_score` provides a robust estimate of generalization performance, in a complete machine learning project, it's best practice to split the data *once at the very beginning* into a training set and an untouched, final test set (e.g., 80/20 split). Cross-validation (and hyperparameter tuning) is then performed *only on the training set*. The final selected model is evaluated *only once* on the held-out test set to get a truly unbiased estimate of its performance on unseen data. Using `cross_val_score` directly on the entire dataset can lead to an optimistic estimate if hyperparameter tuning were to be performed later using this same cross-validation procedure.
    *   **Solution:** Add `from sklearn.model_selection import train_test_split` and split your data early:
        ```python
        from sklearn.model_selection import train_test_split
        X_train, X_test, y_train, y_test = train_test_split(X, y, test_size=0.2, random_state=42)
        # Then, perform cross_val_score on X_train, y_train
        ```
4.  **Hardcoded Hyperparameter (`alpha=1.0`):**
    *   **Problem:** The `alpha` hyperparameter for the `Ridge` model is set to `1.0` without any justification or tuning.
    *   **Explanation:** The performance of regularization models like Ridge regression is highly dependent on the `alpha` value. `1.0` is just a default, and it's unlikely to be the optimal value for every dataset.
    *   **Solution:** Use hyperparameter tuning techniques like `GridSearchCV` or `RandomizedSearchCV` (often within the cross-validation loop on the training set) to find the best `alpha` value for your specific dataset.
5.  **Lack of Data Validation and Error Handling:**
    *   **Problem:** The code makes several implicit assumptions:
        *   The file "cars.csv" exists.
        *   The "price" column exists in the CSV.
        *   There are no missing values (`NaN`) in the data.
    *   **Explanation:** Real-world data is often messy. Without checks, the code can crash or produce incorrect results if these assumptions are violated. For example:
        *   If "cars.csv" doesn't exist, `pd.read_csv` will raise a `FileNotFoundError`.
        *   If "price" column doesn't exist, `df.drop("price", axis=1)` or `df["price"]` will raise a `KeyError`.
        *   `StandardScaler` and `Ridge` generally don't handle `NaN` values gracefully and will likely error out.
    *   **Solution:**
        *   Add `try-except` blocks for file operations.
        *   Check for column existence (e.g., `if "price" in df.columns:`).
        *   Handle missing values: Check for `df.isnull().sum()`, and apply imputation (e.g., `SimpleImputer`) or remove rows/columns with NaNs.
### Refactored Code Example (Addressing Key Issues)
Here's an example of how the code could be improved to address the most critical issues using a `Pipeline` and `ColumnTransformer` (assuming some categorical features).
```python
import pandas as pd
from sklearn.preprocessing import StandardScaler, OneHotEncoder
from sklearn.model_selection import cross_val_score, train_test_split
from sklearn.linear_model import Ridge
from sklearn.compose import ColumnTransformer
from sklearn.pipeline import Pipeline
from sklearn.impute import SimpleImputer # For handling missing values
# 1. Load Data and Initial Split (Best Practice: Dedicated Test Set)
try:
    df = pd.read_csv("cars.csv")
except FileNotFoundError:
    print("Error: cars.csv not found. Please ensure the file is in the correct directory.")
    exit()
if "price" not in df.columns:
    print("Error: 'price' column not found in the CSV. Please check the column name.")
    exit()
X = df.drop("price", axis=1)
y = df["price"]
# Split data into training and a final held-out test set
X_train, X_test, y_train, y_test = train_test_split(X, y, test_size=0.2, random_state=42)
# 2. Identify Column Types (Crucial for preprocessing)
# This is an assumption; you'd need to inspect your actual 'cars.csv'
numerical_features = X_train.select_dtypes(include=['int64', 'float64']).columns
categorical_features = X_train.select_dtypes(include=['object', 'category']).columns
# 3. Create Preprocessing Pipeline (Addressing Data Leakage &amp; Categorical Features)
# Preprocessing for numerical features
numerical_transformer = Pipeline(steps=[
    ('imputer', SimpleImputer(strategy='mean')), # Handle missing numerical values
    ('scaler', StandardScaler())
])
# Preprocessing for categorical features
categorical_transformer = Pipeline(steps=[
    ('imputer', SimpleImputer(strategy='most_frequent')), # Handle missing categorical values
    ('onehot', OneHotEncoder(handle_unknown='ignore')) # One-hot encode categorical features
])
# Combine preprocessing steps using ColumnTransformer
preprocessor = ColumnTransformer(
    transformers=[
        ('num', numerical_transformer, numerical_features),
        ('cat', categorical_transformer, categorical_features)
    ],
    remainder='passthrough' # Keep other columns (if any) as they are, or 'drop' them
)
# 4. Create the Full Model Pipeline
# This pipeline now includes all preprocessing and the model
model_pipeline = Pipeline(steps=[
    ('preprocessor', preprocessor),
    ('regressor', Ridge(alpha=1.0)) # Still using alpha=1.0, but would tune this
])
# 5. Cross-Validation (on the training data)
# Data leakage is prevented because the preprocessor is part of the pipeline
# and fits only on the training folds within cross_val_score.
print("Performing cross-validation on the training data...")
scores = cross_val_score(model_pipeline, X_train, y_train, cv=5, scoring="r2", n_jobs=-1) # n_jobs for parallel processing
print(f"\nMean R2 (CV on training set): {scores.mean():.4f} (+/- {scores.std():.4f})")
# 6. Evaluate on the final held-out test set (after potential hyperparameter tuning)
# For simplicity, we'll just train the pipeline on the full training set and evaluate
# In a real scenario, you'd tune alpha using GridSearchCV/RandomizedSearchCV on model_pipeline
# and then evaluate the best model on the test set.
model_pipeline.fit(X_train, y_train)
test_r2_score = model_pipeline.score(X_test, y_test)
print(f"R2 on held-out test set: {test_r2_score:.4f}")
```</t>
  </si>
  <si>
    <t>The given Python code contains a potential form of data leakage that relates to the scaling process. Here's a closer examination:
1. **StandardScaler and Data Leakage:**
   - The code scales the entire dataset `X` using `StandardScaler` before any form of data splitting for cross-validation with `cross_val_score`.
   - `scaler.fit_transform(X)` calculates the mean and standard deviation of the entire dataset `X` and then scales it. This process involves using information from all data, including data that will later be part of the test sets in cross-validation.
2. **Why is this a problem?**
   - During cross-validation (cv=5), the data is split into 5 parts where 4 parts are used for training and 1 part is used for testing in each of the 5 iterations.
   - By scaling the entire dataset before cross-validation, you inadvertently use the mean and standard deviation calculated from the test folds (which should not be known during training) to scale the training data.
   - This results in a form of data leakage because the test data in each fold influences the scaling parameters applied to the training data, which wouldn't be possible in a real-world situation where the test data is unseen at the time of training.
3. **How to fix this issue:**
   - The scaling should be done within each fold of the cross-validation process, independently.
   - This can be achieved by incorporating the scaling step within a pipeline or using tools like `sklearn.pipeline.Pipeline`. This ensures that scaling is applied separately for each training set within cross-validation, without any information leakage from the test sets.
Here is an example of how you can use a pipeline to address this issue:
```python
import pandas as pd
from sklearn.model_selection import cross_val_score
from sklearn.linear_model import Ridge
from sklearn.preprocessing import StandardScaler
from sklearn.pipeline import make_pipeline
df = pd.read_csv("cars.csv")
X = df.drop("price", axis=1)
y = df["price"]
model = make_pipeline(StandardScaler(), Ridge(alpha=1.0))
scores = cross_val_score(model, X, y, cv=5, scoring="r2")
print(f"Mean R2: {scores.mean():.4f} (+/- {scores.std():.4f})")
```
In this corrected version, `make_pipeline(StandardScaler(), Ridge(alpha=1.0))` creates a pipeline where `StandardScaler` will be applied only to the training data within each fold and will transform the validation/test data separately. This prevents data leakage entirely.</t>
  </si>
  <si>
    <t>The provided Python machine learning pipeline code does indeed contain a form of data leakage. The issue arises from the way the `StandardScaler` is applied to the data.
### Where Data Leakage Occurs:
The data leakage occurs at this line:
```python
X_scaled = scaler.fit_transform(X)
```
In this line, the `StandardScaler` is being fitted on the entire dataset (`X`) before splitting the data into training and test sets. This means that the scaler is using information from the whole dataset, including the test set, to compute the mean and standard deviation for scaling. This is problematic because the model will have access to information about the test data that it would not normally have during actual predictions.
### Why This is a Problem:
Data leakage undermines the validity of the model's validation process. When the model is trained and evaluated, it relies on the scaling parameters (`mean` and `std` values computed by the `StandardScaler`) derived from both training and test datasets. As a result, the model could potentially perform better during validation (cross-validation in this case) because it has been inadvertently "trained" with knowledge from the test set. This leads to overly optimistic estimates of model performance and may result in poor generalization to unseen data in practice.
### How to Fix It:
To resolve this issue, the scaler should be fit only on the training data within each fold during cross-validation. A typical way to achieve this is to use `Pipeline` from `sklearn.pipeline` to construct a sequence of operations (scaling and model fitting) while ensuring proper handling of the data. Here's how you can modify the code:
```python
import pandas as pd
from sklearn.preprocessing import StandardScaler
from sklearn.model_selection import cross_val_score, train_test_split
from sklearn.linear_model import Ridge
from sklearn.pipeline import Pipeline
df = pd.read_csv("cars.csv")
X = df.drop("price", axis=1)
y = df["price"]
# Define a pipeline that scales data and then fits the model
pipeline = Pipeline([
    ('scaler', StandardScaler()),
    ('model', Ridge(alpha=1.0))
])
# Use cross-validation to evaluate the pipeline
scores = cross_val_score(pipeline, X, y, cv=5, scoring="r2")
print(f"Mean R2: {scores.mean():.4f} (+/- {scores.std():.4f})")
```
In this corrected version, the scaling and model fitting steps are encapsulated in a pipeline, ensuring that the scaler is fit only on the training portion of the data during each cross-validation fold.</t>
  </si>
  <si>
    <t>## Data Leakage Analysis
**Yes, this code contains data leakage.** There is one clear instance.
---
### Where the Leakage Occurs
```python
# PROBLEM: Scaler is fit on ALL data before cross-validation
scaler = StandardScaler()
X_scaled = scaler.fit_transform(X)  # &lt;-- uses entire dataset, including test folds
# Cross-validation then receives already-contaminated data
scores = cross_val_score(model, X_scaled, y, cv=5, scoring="r2")
```
`StandardScaler` is fit on the **entire dataset** — all rows, including data that will later serve as test folds during cross-validation. The scaled version of that data is then passed wholesale to `cross_val_score`.
---
### Why This Is a Problem
`StandardScaler` computes the **mean and standard deviation of each feature** across every sample it sees during `.fit()`. When it sees the full dataset:
- The mean and std are computed using test-fold samples
- Those test samples then get scaled using statistics they themselves influenced
- The model indirectly "sees" test-fold distributional information during training
This causes the cross-validation score to be **optimistically biased** — it appears more accurate than it would be on truly unseen data, because the preprocessing has already incorporated information from what should be held-out samples.
---
### Corrected Code
The fix is to move scaling **inside** the cross-validation loop using a `Pipeline`, which ensures the scaler is fit **only on training folds**:
```python
import pandas as pd
from sklearn.preprocessing import StandardScaler
from sklearn.model_selection import cross_val_score
from sklearn.linear_model import Ridge
from sklearn.pipeline import Pipeline
df = pd.read_csv("cars.csv")
X = df.drop("price", axis=1)
y = df["price"]
# Scaler and model are bundled — scaler will only be fit on training folds
pipeline = Pipeline([
    ("scaler", StandardScaler()),
    ("model", Ridge(alpha=1.0))
])
scores = cross_val_score(pipeline, X, y, cv=5, scoring="r2")
print(f"Mean R2: {scores.mean():.4f} (+/- {scores.std():.4f})")
```
With `Pipeline`, during each fold `cross_val_score` will:
1. **Fit** the scaler on the training fold only
2. **Transform** both train and test folds using those training-fold statistics
3. **Train** the model on the scaled training fold
4. **Evaluate** on the scaled test fold
---
### Severity Note
In practice, leakage from scaling alone tends to have a **small numerical effect** on metrics (especially for large, i.i.d. datasets), but it is still a methodological error. The impact grows more severe when:
- The dataset is small
- Leakage involves more information-rich transformations (e.g., target encoding, imputation with group statistics, feature selection based on correlation with `y`)
The principle remains: **any transformation that learns from data must be fit exclusively on training data.**</t>
  </si>
  <si>
    <t># Data Leakage Review: **CRITICAL ISSUE FOUND**
## The Problem
This code contains **serious data leakage** in the preprocessing step.
### Where It Occurs
```python
scaler = StandardScaler()
X_scaled = scaler.fit_transform(X)  # ❌ FIT on ALL data
model = Ridge(alpha=1.0)
scores = cross_val_score(model, X_scaled, y, cv=5)  # Then cross-validate
```
The `StandardScaler` is **fit on the entire dataset** (`X`) before cross-validation begins.
### Why It's a Problem
When `cross_val_score` splits the data into train/test folds, the scaler has already "seen" and learned statistics (mean and standard deviation) from **all the data**, including the test folds. This means:
1. **Test set information leaks into training**: The scaler's parameters were computed using statistics from test samples
2. **Overly optimistic evaluation**: Cross-validation scores are inflated because the model benefits from information it shouldn't have access to
3. **Poor real-world performance**: When you deploy this model on truly unseen data, performance will be worse than reported
## The Solution
Fit the scaler **inside** the cross-validation loop so it only learns from training folds:
```python
from sklearn.pipeline import Pipeline
df = pd.read_csv("cars.csv")
X = df.drop("price", axis=1)
y = df["price"]
# Create a pipeline that fits scaler + model together
pipeline = Pipeline([
    ('scaler', StandardScaler()),
    ('model', Ridge(alpha=1.0))
])
# Now cross-validation is proper
scores = cross_val_score(pipeline, X, y, cv=5, scoring="r2")
print(f"Mean R2: {scores.mean():.4f} (+/- {scores.std():.4f})")
```
Now the scaler is fit **only on each fold's training set**, and evaluated **only on that fold's test set**—no leakage.</t>
  </si>
  <si>
    <t>Yes, this code contains a form of **data leakage**.
### Where Data Leakage Occurs
The data leakage occurs in this line:
```python
X_scaled = scaler.fit_transform(X)
```
### Why it is a Problem
1.  **Scaler Fitting on Full Data:** The `StandardScaler` is `fit` on the *entire dataset* `X` (which includes all rows from `df`), before the `cross_val_score` function has a chance to perform its train-test splits.
2.  **Cross-validation Context:** `cross_val_score` internally splits `X_scaled` and `y` into `cv=5` folds. For each fold, it designates one part as the test set and the remaining parts as the training set.
3.  **The Leak:** Because the `StandardScaler` was `fit` on *all* data, its calculation of the mean and standard deviation for each feature was influenced by the data points that will eventually end up in the *test sets* of the cross-validation folds.
4.  **Optimistic Bias:** When the model is trained on a given fold's training data (which is already scaled using statistics derived from the full dataset), and then evaluated on that fold's test data (also scaled using full-dataset statistics), the performance estimate will be **optimistically biased**. In a real-world scenario, you would not have access to the test data when you are preparing your training data. The scaling parameters (mean, std dev) should only be learned from the training data of each fold and then applied to both the training and test data of that specific fold.
This means the reported R2 score is likely higher than what you would observe on truly unseen data.
### How to Fix It
To prevent this data leakage, the `StandardScaler` (or any other preprocessing step that learns from the data, like imputation or feature engineering) must be applied *within* each fold of the cross-validation. The standard way to achieve this in scikit-learn is by using a `Pipeline`.
Here's the corrected code:
```python
import pandas as pd
from sklearn.preprocessing import StandardScaler
from sklearn.model_selection import cross_val_score
from sklearn.linear_model import Ridge
from sklearn.pipeline import Pipeline # Import Pipeline
df = pd.read_csv("cars.csv")
X = df.drop("price", axis=1)
y = df["price"]
# Create a pipeline that first scales, then models
# The scaler will now be fit ONLY on the training data within each CV fold
pipeline = Pipeline([
    ('scaler', StandardScaler()),
    ('model', Ridge(alpha=1.0))
])
# Pass the pipeline to cross_val_score
scores = cross_val_score(pipeline, X, y, cv=5, scoring="r2")
print(f"Mean R2: {scores.mean():.4f} (+/- {scores.std():.4f})")
```
By using a `Pipeline`, `cross_val_score` ensures that for each fold:
1.  The `scaler` (`StandardScaler`) is `fit` *only* on the training data of that specific fold.
2.  The `scaler` then `transforms` both the training and test data of that specific fold using the statistics learned from the training data.
3.  The `model` (`Ridge`) is trained on the scaled training data.
4.  The `model` is evaluated on the scaled test data.
This correctly simulates a real-world prediction scenario and provides a more honest evaluation of your model's performance.</t>
  </si>
  <si>
    <t>The given Python code has several potential issues, bugs, and instances of bad practices. Here are the problems identified in the code with explanations:
1. **Import Statement and Unused Imports**:
   - The import statement for `StandardScaler`, `cross_val_score`, `make_pipeline`, and `Ridge` are needed, but you should ensure all needed imports are used:
   - `StandardScaler` and `Ridge` are used in `make_pipeline`.
   - `cross_val_score` is necessary for evaluating the model.
   - The code is functionally complete, but if more context was available, unused imports may need to be removed or corrected.
2. **Data Preprocessing and Assumptions about the Data**:
   - The assumption is that 'cars.csv' has a column named "price" which is the target variable. The code will throw a `KeyError` if this column does not exist. You should ensure that 'price' is a valid column in the dataset.
   - The `df.drop("price", axis=1)` assumes all other columns besides "price" can be used as features without checking for non-numeric data, missing values, or preprocessing (e.g., encoding categorical variables).
3. **Reading Data from CSV**:
   - The path "cars.csv" is hardcoded, which assumes the file exists in the current working directory. If this code is to be reused or shared, consider making the file path a parameter or checking if the file exists first.
4. **Model Evaluation and Reporting**:
   - The model uses cross-validation with 5 folds (`cv=5`), which is generally fine, but be aware this might not be optimal for all datasets, especially if the dataset size is small.
   - The `scoring="r2"` metric is suitable for regression, but other metrics might be evaluated as well for more comprehensive evaluation.
   - The print statement uses formatted string literals with mean and standard deviation of scores, which is good practice for readability. However, be cautious about overinterpreting these values, as cross-validation can vary based on the data distribution and random state.
5. **General Code Practices**:
   - Consider wrapping the training and evaluation code in a main guard (`if __name__ == "__main__":`) to make the script more modular and import-safe.
   - There is no validation of input data (like checking for NaN values or ensuring that X and y are the correct shapes).
6. **Error Handling**:
   - There is no error handling for potential exceptions such as file not found (`FileNotFoundError`), missing column (`KeyError`), or issues with data types (e.g., `ValueError` during scaling).
By addressing these points, the code can be made more robust, flexible, and prepared for various datasets or operating environments.</t>
  </si>
  <si>
    <t>The provided Python code is a well-structured piece of code that reads a CSV file, prepares the data for modeling, and evaluates a Ridge regression model using cross-validation. However, there are some potential issues, bugs, or bad practices that could be pointed out:
1. **Error Handling for File I/O**:
   - **Issue**: The code assumes that the file `cars.csv` exists in the working directory. If it doesn’t, it will raise a `FileNotFoundError`, which may not be caught gracefully.
   - **Suggestion**: Use a try-except block to handle potential errors when reading the file.
     ```python
     try:
         df = pd.read_csv("cars.csv")
     except FileNotFoundError:
         print("The file 'cars.csv' was not found.")
         exit(1)
     ```
2. **Data Cleaning and Preprocessing**:
   - **Issue**: The code does not check for missing values in the DataFrame `df` before proceeding with model fitting. If there are missing values, it could lead to errors or unexpected behavior during model training.
   - **Suggestion**: Check for missing values and handle them accordingly, either by removing or imputing them.
     ```python
     if df.isnull().values.any():
         print("Data contains missing values. Please handle them before proceeding.")
         exit(1)  # or handle them accordingly
     ```
3. **Data Types**:
   - **Issue**: The code does not consider the possibility of non-numeric columns in `X`. If `X` contains categorical data, the StandardScaler will throw an error because it can only handle numeric values.
   - **Suggestion**: Ensure all columns in `X` are numeric or encode categorical features properly using techniques like one-hot encoding before applying `StandardScaler`.
     ```python
     if df.select_dtypes(include='object').any().any():
         print("Data contains non-numeric columns. Encode them before proceeding.")
         # Perform encoding here
     ```
4. **Use of `scoring` Parameter**:
   - **Issue**: The scoring parameter is set to `"r2"`, which evaluates the performance of the regression model based on R² score. Depending on the data and context, it might be beneficial to evaluate it using other metrics, such as Mean Absolute Error (MAE) or Mean Squared Error (MSE), particularly if the application requires understanding of errors in predictions.
   - **Suggestion**: Consider evaluating multiple metrics.
     ```python
     scores_r2 = cross_val_score(model, X, y, cv=5, scoring="r2")
     scores_mse = cross_val_score(model, X, y, cv=5, scoring="neg_mean_squared_error")
     ```
5. **Model Fitting**:
   - **Issue**: The cross-validation method (`cross_val_score`) does not fit the model but evaluates it. It might be useful to explicitly split the data into training and testing datasets if you want to evaluate the model's performance on unseen data separately.
   - **Suggestion**: Consider using `train_test_split` to split the data before performing cross-validation on the training set.
     ```python
     from sklearn.model_selection import train_test_split
     X_train, X_test, y_train, y_test = train_test_split(X, y, test_size=0.2, random_state=42)
     ```
6. **Seed for Cross-Validation**:
   - **Issue**: The `cv` parameter is set to 5, which is fine, but it does not include a random seed. This might lead to different results each time you run the code.
   - **Suggestion**: Ensure reproducibility by fixing the random seed in cross-validation or data splitting.
     ```python
     scores = cross_val_score(model, X_train, y_train, cv=5, scoring="r2", random_state=42)
     ```
By addressing these issues, the code would become more robust, maintainable, and user-friendly.</t>
  </si>
  <si>
    <t>## Code Review
Overall this is reasonably well-written code, but there are several issues ranging from critical to minor.
---
### 1. No Error Handling for File Loading
```python
# Current - will crash with unhelpful error if file missing
df = pd.read_csv("cars.csv")
# Better
import os
if not os.path.exists("cars.csv"):
    raise FileNotFoundError("cars.csv not found in working directory")
df = pd.read_csv("cars.csv")
# Or with try/except for broader protection
try:
    df = pd.read_csv("cars.csv")
except FileNotFoundError:
    raise FileNotFoundError("cars.csv not found. Check your working directory.")
except pd.errors.EmptyDataError:
    raise ValueError("cars.csv is empty.")
except pd.errors.ParserError as e:
    raise ValueError(f"Failed to parse cars.csv: {e}")
```
**Why it matters:** Silent path assumptions cause confusing failures in production or when sharing code.
---
### 2. No Validation That Target Column Exists
```python
# Current - KeyError if "price" column is missing or named differently
X = df.drop("price", axis=1)
y = df["price"]
# Better
target_col = "price"
if target_col not in df.columns:
    raise ValueError(f"Target column '{target_col}' not found. "
                     f"Available columns: {df.columns.tolist()}")
X = df.drop(target_col, axis=1)
y = df[target_col]
```
---
### 3. No Handling of Missing Values
```python
# Current - StandardScaler and Ridge will fail or produce NaN results
# if the data contains missing values
# Better - check first, then decide on a strategy
print(f"Missing values:\n{df.isnull().sum()}")
# Option A: Drop rows with missing values
df = df.dropna()
# Option B: Impute (more sophisticated)
from sklearn.impute import SimpleImputer
from sklearn.pipeline import make_pipeline
model = make_pipeline(
    SimpleImputer(strategy="median"),
    StandardScaler(),
    Ridge(alpha=1.0)
)
```
**Why it matters:** Real-world data almost always has missing values. Ignoring this is a common source of silent bugs.
---
### 4. No Handling of Non-Numeric Features
```python
# Current - Ridge regression requires numeric input
# Silently fails or errors if categorical columns exist
# Better - inspect and handle dtypes explicitly
non_numeric = X.select_dtypes(exclude=["number"]).columns.tolist()
if non_numeric:
    print(f"Warning: Non-numeric columns found: {non_numeric}")
    # Option A: Drop them
    X = X.select_dtypes(include=["number"])
    # Option B: Encode them
    X = pd.get_dummies(X, drop_first=True)
```
---
### 5. Standard Deviation Reporting Is Misleading
```python
# Current - std of 5 scores has very high variance in the estimate
scores.std()
# Better - report confidence interval (mean +/- 2*std covers ~95%)
print(f"Mean R2: {scores.mean():.4f} (+/- {2 * scores.std():.4f})")
# Also useful - see all fold scores for transparency
print(f"Individual fold scores: {scores.round(4)}")
```
**Why it matters:** `+/- std` is often misread as a confidence interval, but it's just one standard deviation over only 5 folds.
---
### 6. No Random State Set
```python
# Current - results are not reproducible
scores = cross_val_score(model, X, y, cv=5, scoring="r2")
# Better - use a seeded KFold
from sklearn.model_selection import KFold
kf = KFold(n_splits=5, shuffle=True, random_state=42)
scores = cross_val_score(model, X, y, cv=kf, scoring="r2")
```
**Why it matters:** Without `shuffle=True` and a seed, fold assignments depend on row order, making results non-reproducible and potentially biased if the data is sorted.
---
### 7. No Imports Declared at Top / Missing Obvious Imports
```python
# The fixes above require additional imports not in the original file.
# All imports should be grouped at the top.
import os
import pandas as pd
from sklearn.impute import SimpleImputer
from sklearn.linear_model import Ridge
from sklearn.model_selection import cross_val_score, KFold
from sklearn.pipeline import make_pipeline
from sklearn.preprocessing import StandardScaler
```
---
### 8. Alpha Hyperparameter Is Not Validated or Documented
```python
# Current - magic number with no explanation
Ridge(alpha=1.0)
# Better - name it and note it should be tuned
RIDGE_ALPHA = 1.0  # Default; tune with RidgeCV or GridSearchCV
Ridge(alpha=RIDGE_ALPHA)
# Or better yet, use RidgeCV to select alpha automatically
from sklearn.linear_model import RidgeCV
Ridge_model = RidgeCV(alphas=[0.1, 1.0, 10.0, 100.0])
```
---
### Corrected Version
```python
import os
import pandas as pd
from sklearn.impute import SimpleImputer
from sklearn.linear_model import RidgeCV
from sklearn.model_selection import cross_val_score, KFold
from sklearn.pipeline import make_pipeline
from sklearn.preprocessing import StandardScaler
# --- Load Data ---
DATA_PATH = "cars.csv"
TARGET_COL = "price"
try:
    df = pd.read_csv(DATA_PATH)
except FileNotFoundError:
    raise FileNotFoundError(f"Data file not found: {DATA_PATH}")
except pd.errors.EmptyDataError:
    raise ValueError(f"{DATA_PATH} is empty.")
# --- Validate Target ---
if TARGET_COL not in df.columns:
    raise ValueError(
        f"Target column '{TARGET_COL}' not found. "
        f"Available columns: {df.columns.tolist()}"
    )
# --- Prepare Features ---
X = df.drop(TARGET_COL, axis=1)
y = df[TARGET_COL]
# Encode categoricals; drop_first avoids dummy variable trap
X = pd.get_dummies(X, drop_first=True)
# --- Build Pipeline ---
model = make_pipeline(
    SimpleImputer(strategy="median"),  # Handle missing values
    StandardScaler(),
    RidgeCV(alphas=[0.1, 1.0, 10.0, 100.0])  # Auto-select alpha
)
# --- Evaluate ---
kf = KFold(n_splits=5, shuffle=True, random_state=42)
scores = cross_val_score(model, X, y, cv=kf, scoring="r2")
print(f"Individual fold R2 scores: {scores.round(4)}")
print(f"Mean R2: {scores.mean():.4f} (+/- {2 * scores.std():.4f})")
```
---
### Summary Table
| # | Issue | Severity |
|---|-------|----------|
| 1 | No file loading error handling | High |
| 2 | No target column validation | High |
| 3 | No missing value handling | High |
| 4 | No non-numeric feature handling | High |
| 5 | Misleading std reporting | Medium |
| 6 | No random state / shuffling | Medium |
| 7 | Missing imports for fixes | Low |
| 8 | Untuned magic number alpha | Low |</t>
  </si>
  <si>
    <t># Code Review: Issues and Problems
## 1. **No Error Handling for File I/O** ⚠️
```python
df = pd.read_csv("cars.csv")
```
**Issue:** The code assumes the file exists and is readable. If the file is missing or corrupted, the program crashes without a helpful message.
**Fix:**
```python
try:
    df = pd.read_csv("cars.csv")
except FileNotFoundError:
    print("Error: cars.csv not found")
    exit(1)
except pd.errors.ParserError:
    print("Error: Invalid CSV format")
    exit(1)
```
---
## 2. **No Data Validation** ⚠️
```python
X = df.drop("price", axis=1)
y = df["price"]
```
**Issue:** 
- Assumes "price" column exists (will crash if it doesn't)
- No check for missing values, duplicates, or data type issues
- No verification that data is appropriate for modeling
**Fix:**
```python
if "price" not in df.columns:
    raise ValueError("'price' column not found in dataset")
if df.isnull().any().any():
    print("Warning: Missing values detected")
    df = df.dropna()  # or handle appropriately
X = df.drop("price", axis=1)
y = df["price"]
```
---
## 3. **Hardcoded Hyperparameter** ⚠️
```python
model = make_pipeline(StandardScaler(), Ridge(alpha=1.0))
```
**Issue:** `alpha=1.0` is arbitrary and likely not optimal. No hyperparameter tuning is performed.
**Fix:**
```python
from sklearn.model_selection import GridSearchCV
param_grid = {'ridge__alpha': [0.001, 0.01, 0.1, 1.0, 10.0, 100.0]}
model = GridSearchCV(
    make_pipeline(StandardScaler(), Ridge()),
    param_grid,
    cv=5
)
model.fit(X, y)
print(f"Best alpha: {model.best_params_['ridge__alpha']}")
```
---
## 4. **Only Uses R² Metric** ⚠️
```python
scores = cross_val_score(model, X, y, cv=5, scoring="r2")
```
**Issue:** R² alone doesn't tell the full story. Other metrics like MAE, RMSE, or residual analysis are important.
**Fix:**
```python
from sklearn.model_selection import cross_validate
scoring = {
    'r2': 'r2',
    'mae': 'neg_mean_absolute_error',
    'rmse': 'neg_mean_squared_error'
}
scores = cross_validate(model, X, y, cv=5, scoring=scoring)
print(f"Mean R²: {scores['test_r2'].mean():.4f} (+/- {scores['test_r2'].std():.4f})")
print(f"Mean MAE: {-scores['test_mae'].mean():.4f}")
print(f"Mean RMSE: {(-scores['test_rmse'].mean())**0.5:.4f}")
```
---
## 5. **No Data Leakage Check** ⚠️
**Issue:** While not explicitly problematic here, there's no verification that:
- Features aren't duplicated or highly correlated
- No target information leaks into features
- Data splits are properly stratified (if needed for regression)
**Fix:**
```python
# Check for highly correlated features
correlation_matrix = X.corr()
high_corr_pairs = (correlation_matrix[correlation_matrix &gt; 0.95]).stack()
print(f"Highly correlated features: {high_corr_pairs}")
```
---
## 6. **No Feature Scaling Validation** ⚠️
```python
model = make_pipeline(StandardScaler(), Ridge(alpha=1.0))
```
**Issue:** While scaling is good practice for Ridge regression, the code doesn't verify that features need scaling or check for outliers that might affect it.
---
## 7. **No Random State** ⚠️
```python
scores = cross_val_score(model, X, y, cv=5, scoring="r2")
```
**Issue:** Results aren't reproducible because no `random_state` is set.
**Fix:**
```python
scores = cross_val_score(model, X, y, cv=5, scoring="r2", random_state=42)
```
---
## 8. **Insufficient Output Information** ⚠️
**Issue:** The code only prints the mean and std of R² scores but doesn't show individual fold scores, which can reveal overfitting or high variance.
**Fix:**
```python
print(f"Individual fold scores: {scores}")
print(f"Mean R2: {scores.mean():.4f} (+/- {scores.std():.4f})")
if scores.std() &gt; 0.1:
    print("Warning: High variance across folds - model may be unstable")
```
---
## Summary Table
| Issue | Severity | Category |
|-------|----------|----------|
| No file error handling | High | Robustness |
| No data validation | High | Robustness |
| Hardcoded hyperparameter | Medium | ML Practice |
| Single metric only | Medium | ML Practice |
| No random state | Medium | Reproducibility |
| Missing fold details | Low | Debugging |
| No feature correlation check | Low | ML Practice |</t>
  </si>
  <si>
    <t>The provided Python code is a concise example of setting up a machine learning pipeline for regression using Ridge regularization and cross-validation. While it demonstrates the core concepts correctly, it has several issues related to data robustness, best practices, and potential for errors if the input data (`cars.csv`) isn't perfectly clean and formatted as expected.
Here's a breakdown of the problems:
### Major Issues / Potential Bugs (will likely cause errors or provide misleading results)
1.  **Lack of Data Type Handling and Validation:**
    *   **Problem:** The code assumes that all columns in `df` (except "price") are numerical and suitable for `StandardScaler`. If `cars.csv` contains categorical features (e.g., strings like 'make', 'model', 'fuel_type'), or other non-numeric data, `StandardScaler` will raise a `TypeError` or `ValueError` because it expects numerical input.
    *   **Explanation:** Machine learning models, especially those involving scaling like `StandardScaler`, require numerical input. Categorical features need to be encoded (e.g., using One-Hot Encoding or Label Encoding) before being passed to the scaler or the model. The current code completely bypasses this crucial preprocessing step.
    *   **Example (if "color" column exists as strings):** `ValueError: could not convert string to float: 'red'`
2.  **Absence of Missing Value Imputation/Handling:**
    *   **Problem:** The code does not check for or handle any missing values (`NaN`) in the `df`, `X`, or `y`.
    *   **Explanation:** If `cars.csv` contains `NaN` values in any of the feature columns or the target variable, `StandardScaler` (and most scikit-learn estimators) will raise an error (e.g., `ValueError: Input X contains NaN.`). It's essential to either drop rows/columns with missing values or impute them (e.g., with the mean, median, mode) before training a model.
    *   **Example:** `ValueError: Input X contains NaN.`
3.  **Ignoring Irrelevant/Non-Feature Columns:**
    *   **Problem:** `X = df.drop("price", axis=1)` blindly includes *all* remaining columns as features. This is problematic if `cars.csv` contains columns that are not predictive (e.g., an 'ID' column, a text 'description' column, or other administrative data).
    *   **Explanation:** Including irrelevant columns can introduce noise, increase model complexity, and potentially decrease performance. If these columns are non-numeric, they also fall under problem #1. Even if numeric, they might just be noise.
    *   **Bad Practice:** It's generally a bad practice to assume all non-target columns are useful features without any prior investigation or selection.
### Bad Practices / Areas for Improvement (won't necessarily cause errors but reduce robustness, performance, or clarity)
4.  **Lack of Hyperparameter Tuning:**
    *   **Problem:** The `alpha` parameter for the `Ridge` model is set to `1.0`. While this is a default value and a common starting point, it's very unlikely to be the optimal regularization strength for this specific dataset.
    *   **Explanation:** Hyperparameters like `alpha` significantly influence model performance. Choosing an arbitrary value without tuning can lead to suboptimal models (either underfitting or overfitting). For robust model building, hyperparameter tuning (e.g., using `GridSearchCV` or `RandomizedSearchCV`) should be performed, ideally nested within the cross-validation loop to avoid data leakage.
    *   **Improvement:** Use `GridSearchCV` or `RandomizedSearchCV` within the pipeline to find the best `alpha` value.
5.  **Limited Data Exploration/Profiling:**
    *   **Problem:** There are no lines of code dedicated to understanding the dataset's structure, types, or missing values before processing.
    *   **Explanation:** Before jumping into modeling, it's crucial to perform initial data exploration using methods like `df.info()`, `df.describe()`, `df.isnull().sum()`, `df.dtypes`, or visualizing distributions. This helps identify data quality issues (like those mentioned in points 1 and 2) and informs necessary preprocessing steps. The current code is fragile because it assumes a perfectly clean and appropriate `cars.csv`.
    *   **Bad Practice:** Not performing exploratory data analysis (EDA) before modeling.
6.  **Hardcoded Filename:**
    *   **Problem:** The filename `"cars.csv"` is hardcoded directly into the script.
    *   **Explanation:** For reusability, flexibility, or production environments, it's better to make file paths configurable. This could be done by passing the filename as a function argument, a command-line argument, or reading it from a configuration file.
    *   **Improvement:** Define the filename as a variable or pass it as an argument.
7.  **Single Evaluation Metric:**
    *   **Problem:** The model is evaluated solely using R-squared (`scoring="r2"`).
    *   **Explanation:** While R-squared is a good overall measure of fit, it doesn't convey information about the magnitude of errors. Depending on the problem's context, other metrics like Mean Absolute Error (MAE) or Root Mean Squared Error (RMSE) might provide more actionable insights into the model's predictive accuracy in terms of the original units of the target variable.
    *   **Improvement:** Consider reporting multiple relevant metrics for a more comprehensive understanding of model performance.
8.  **No Random State for Reproducibility (Minor):**
    *   **Problem:** While `cross_val_score` with `cv=5` using `KFold` is generally deterministic for DataFrames (it splits sequentially), explicitly setting a `random_state` is a good general practice for reproducibility, especially if shuffling were involved or if any estimator *within* the pipeline used randomness.
    *   **Explanation:** For this specific setup, `KFold` without shuffling means the splits are always the same. However, if you were to use `ShuffleSplit` or set `shuffle=True` in `KFold`, then `random_state` would be critical. It's a minor point here but a good habit for robust ML code.
### Recommended Improvements to Address Issues
To make this code more robust and aligned with best practices, here's how it could be modified:
```python
import pandas as pd
from sklearn.preprocessing import StandardScaler, OneHotEncoder
from sklearn.compose import ColumnTransformer # New import for handling different column types
from sklearn.model_selection import cross_val_score, GridSearchCV # New import for tuning
from sklearn.pipeline import Pipeline, make_pipeline # Using Pipeline explicitly for ColumnTransformer
from sklearn.linear_model import Ridge
import numpy as np # For numerical operations
# 1. Configuration (Good practice: avoid hardcoding)
DATA_FILE = "cars.csv"
TARGET_COLUMN = "price"
ALPHA_VALUES = [0.1, 1.0, 10.0, 100.0] # For hyperparameter tuning
# 2. Data Loading
try:
    df = pd.read_csv(DATA_FILE)
except FileNotFoundError:
    print(f"Error: The file '{DATA_FILE}' was not found. Please ensure it's in the correct directory.")
    exit()
# 3. Initial Data Inspection (Crucial for robust code)
print("--- Data Info ---")
df.info()
print("\n--- Missing Values ---")
print(df.isnull().sum())
print("\n--- Data Head ---")
print(df.head())
print("\n--- Data Types ---")
print(df.dtypes)
# Separate features (X) and target (y)
if TARGET_COLUMN not in df.columns:
    print(f"Error: Target column '{TARGET_COLUMN}' not found in the dataset.")
    exit()
y = df[TARGET_COLUMN]
X = df.drop(TARGET_COLUMN, axis=1)
# Identify categorical and numerical features
# (Assuming non-numeric are categorical, and numeric are for scaling)
# This requires actual inspection of your data.
# For demonstration, let's assume 'make', 'model' are categorical
# and other numeric columns are features for scaling.
# This part is highly dependent on your actual 'cars.csv' content.
# For example, if 'ID' column exists, it should be explicitly dropped.
# Example: Drop an 'ID' column if it exists and is irrelevant
if 'ID' in X.columns:
    X = X.drop('ID', axis=1)
    print("Dropped 'ID' column.")
# Let's infer types based on common practice for this example
# In real-world, inspect df.select_dtypes(include='object').columns etc.
categorical_features = X.select_dtypes(include=['object', 'category']).columns
numerical_features = X.select_dtypes(include=np.number).columns
# 4. Handle Missing Values (Example: Impute numerics with mean, categoricals with mode)
# If missing values are significant, more sophisticated strategies are needed.
for col in numerical_features:
    if X[col].isnull().any():
        X[col] = X[col].fillna(X[col].mean()) # Or median
        print(f"Imputed missing values in numerical column '{col}' with mean.")
for col in categorical_features:
    if X[col].isnull().any():
        X[col] = X[col].fillna(X[col].mode()[0]) # Mode for categorical
        print(f"Imputed missing values in categorical column '{col}' with mode.")
# Ensure target variable has no NaNs
if y.isnull().any():
    print("Warning: Missing values found in target variable. Dropping corresponding rows.")
    # For simplicity, dropping rows where target is NaN. More robust: impute if appropriate.
    nan_rows = y.isnull()
    X = X[~nan_rows]
    y = y[~nan_rows]
# 5. Create Preprocessing Pipeline (Handles different column types)
preprocessor = ColumnTransformer(
    transformers=[
        ('num', StandardScaler(), numerical_features),
        ('cat', OneHotEncoder(handle_unknown='ignore'), categorical_features) # handle_unknown to prevent errors on unseen categories
    ],
    remainder='passthrough' # Keep other columns if any, or 'drop' if not needed
)
# 6. Create the Full Machine Learning Pipeline (including preprocessing and model)
model_pipeline = Pipeline(steps=[
    ('preprocessor', preprocessor),
    ('regressor', Ridge()) # Ridge model without fixed alpha yet
])
# 7. Hyperparameter Tuning (Using GridSearchCV within cross-validation)
# Define the parameter grid for Ridge alpha
param_grid = {
    'regressor__alpha': ALPHA_VALUES # Note the 'regressor__' prefix for pipeline steps
}
grid_search = GridSearchCV(model_pipeline, param_grid, cv=5, scoring="r2", n_jobs=-1, verbose=1)
grid_search.fit(X, y)
print(f"\nBest Alpha for Ridge: {grid_search.best_params_['regressor__alpha']}")
print(f"Best Mean R2 from Grid Search: {grid_search.best_score_:.4f}")
# 8. Evaluate the best model using cross_val_score for a final, robust evaluation
# The grid search already performed cross-validation, but this re-affirms the best model's performance
# using the best parameters found.
# In a real scenario, you might just use grid_search.best_estimator_ directly for final evaluation
# or prediction, but cross_val_score on the best estimator gives a direct sense of its CV performance.
best_model = grid_search.best_estimator_
scores = cross_val_score(best_model, X, y, cv=5, scoring="r2", n_jobs=-1)
# 9. Output Results (Reporting multiple metrics is better)
print(f"\nFinal Mean R2 (best model): {scores.mean():.4f} (+/- {scores.std():.4f})")
# Example: Evaluate with MAE as well
mae_scores = cross_val_score(best_model, X, y, cv=5, scoring="neg_mean_absolute_error", n_jobs=-1)
print(f"Final Mean MAE (best model): {-mae_scores.mean():.4f} (+/- {mae_scores.std():.4f})")
```</t>
  </si>
  <si>
    <t>The provided code does not contain any data leakage issues. Here's why:
1. **Data Splitting and Cross-Validation**: The code uses `cross_val_score` with cross-validation (`cv=5`) to evaluate the model's performance. During cross-validation, the dataset is split into training and testing folds multiple times, ensuring that each fold is used as a test set exactly once. Importantly, the scaling and training processes are performed inside each cross-validation loop, meaning that the test data for each fold is never used to inform the scaling or model training for that fold. This prevents data leakage from the test set into the training process.
2. **Feature Engineering**: The code does not perform any explicit feature engineering on `X` that would introduce target leakage. It simply drops the target variable `price` from the features dataframe `X`.
3. **Data Preprocessing**: The `StandardScaler` is applied within the pipeline, which means that it only uses information from the training data of each fold during fitting. It is critical because, in the context of cross-validation, it guarantees that no information from the test set is used to fit the scaler, thereby avoiding leakage.
In summary, the code correctly uses a pipeline that integrates preprocessing steps (like scaling) along with model training, within a cross-validation context. This ensures that there's no leakage of information from the test data into the training phases. Therefore, this pipeline doesn't exhibit any data leakage issues.</t>
  </si>
  <si>
    <t>The provided code appears to be free of data leakage. Here's the breakdown of why it is considered clean concerning data leakage:
1. **Separation of Data and Target**: In the code, `X` is created by dropping the target variable `price` from the DataFrame `df`. This means that no information from the target variable is present in the feature set `X`, which is a fundamental aspect of avoiding data leakage.
2. **Cross-Validation**: The use of `cross_val_score` with `cv=5` indicates that the dataset is being split into training and validation sets in a manner where the training and testing phases do not overlap. Each fold in cross-validation ensures that the model is trained on a portion of the data and evaluated on an entirely different portion, further mitigating the risk of leakage.
3. **Pipelines and Transformation**: The use of `make_pipeline` integrates the preprocessing step (standard scaling) and the model training seamlessly. Importantly, because the pipeline is used with cross-validation, the StandardScaler is fit only on the training data in each fold before transforming both the training and validation data for that fold, ensuring that no part of the test information leaks into the training phase.
4. **No Target Information in Features**: There are no indications that any of the features in `X` encode any direct information about the target variable `y`, which would lead to data leakage. Each feature is assumed to be pre-processed correctly and independently of the target variable.
In conclusion, since there are no instances of data leakage found in the code—no overlap between training and testing data, and no leakage of target variable information into features—the code can be confirmed as being free from data leakage.</t>
  </si>
  <si>
    <t>## Code Review: Data Leakage Analysis
### Verdict: **No Data Leakage Present**
This code is correctly structured and free of data leakage. Here's a detailed breakdown of why.
---
### Why This Code Is Correct
**The `make_pipeline` + `cross_val_score` combination is the key safeguard.**
```python
model = make_pipeline(StandardScaler(), Ridge(alpha=1.0))
scores = cross_val_score(model, X, y, cv=5, scoring="r2")
```
`cross_val_score` receives a **pipeline object**, not pre-transformed data. Internally, for each fold it does the following:
```
Fold k:
  ├── X_train, y_train = folds excluding fold k
  ├── X_test,  y_test  = fold k
  │
  ├── pipeline.fit(X_train, y_train)
  │     ├── StandardScaler.fit(X_train)      ← learns mean/std from TRAINING data only
  │     └── Ridge.fit(X_train_scaled, y_train)
  │
  └── pipeline.predict(X_test)
        ├── StandardScaler.transform(X_test)  ← applies training mean/std to test data
        └── Ridge.predict(X_test_scaled)
```
The scaler's parameters (mean and standard deviation) are **only fit on the training fold**, then applied to the test fold. The test fold never influences the scaling.
---
### The Classic Mistake This Code Avoids
The common leakage error would be scaling *before* splitting:
```python
# WRONG - This would cause leakage
scaler = StandardScaler()
X_scaled = scaler.fit_transform(X)  # ← scaler sees ALL data including test folds
scores = cross_val_score(Ridge(), X_scaled, y, cv=5)
#                                  ^^^^^^^^
#              test fold statistics already baked into these values
```
**Why that would be a problem:** The mean and variance computed from the full dataset leak information about the test fold's distribution into the training process, producing optimistically biased evaluation scores.
---
### Assumptions for a Complete Assessment
The code *as written* is clean, but leakage could still exist in upstream data preparation (not shown). Worth verifying:
| Concern | What to Check |
|---|---|
| **Target encoding** | Does `X` contain any column derived from `price` (e.g., a price bucket, rank, or ratio)? |
| **Future-derived features** | For time-series data, do any features use information from future rows? |
| **Duplicate rows** | If the same row appears in both train and test folds, evaluation scores are inflated |
| **Pre-split aggregations** | Were any group-level statistics (e.g., mean price by brand) computed on the full dataset before this code runs? |
---
### Summary
The pipeline structure is the correct and idiomatic scikit-learn approach precisely *because* it prevents preprocessing leakage during cross-validation. No changes are needed to this code.</t>
  </si>
  <si>
    <t># Data Leakage Review
**Verdict: NO DATA LEAKAGE**
This code is **free of data leakage**. Here's why:
## Correct Implementation
The use of `make_pipeline()` combined with `cross_val_score()` properly prevents data leakage:
1. **StandardScaler is inside the pipeline**: The scaler is fitted separately within each cross-validation fold, not on the entire dataset beforehand.
2. **Cross-validation enforces proper splits**: `cross_val_score()` handles the train/test splitting automatically. Within each fold:
   - The scaler sees only the training split
   - Ridge regression is trained only on the training split
   - Evaluation happens only on the held-out test split
3. **No information flows backward**: Test set statistics (mean, std) never influence the preprocessing or model training steps.
## Flow Diagram (for one CV fold)
```
Train split (80%) → StandardScaler.fit() + Ridge.fit()
                              ↓
                    Parameters learned here only
                              ↓
Test split (20%) ←─ Transform with learned parameters
                    Evaluate predictions
```
## What Would Be Leakage
If the code had instead done this:
```python
# ❌ WRONG - Data leakage!
scaler = StandardScaler()
X_scaled = scaler.fit_transform(X)  # Fitted on ALL data
model = Ridge(alpha=1.0)
cross_val_score(model, X_scaled, y, cv=5)
```
Here, `StandardScaler` would see the entire dataset (including test folds) before training, violating the separation principle.
**Your code is correct.**</t>
  </si>
  <si>
    <t>This Python machine learning pipeline code is **free of data leakage**.
Here's a breakdown of why:
1.  **Separation of Features and Target**:
    *   `X = df.drop("price", axis=1)`: The features `X` are explicitly separated from the target variable `y`.
    *   `y = df["price"]`: The target `y` is correctly identified.
    *   There is no indication of features being engineered using information from the target `y` that wouldn't be available at prediction time.
2.  **Correct Use of `StandardScaler` within a `Pipeline`**:
    *   `model = make_pipeline(StandardScaler(), Ridge(alpha=1.0))`: The `StandardScaler` is included as the first step in a `make_pipeline` object.
    *   This is crucial for preventing data leakage from feature scaling. If `StandardScaler` were fitted on the *entire dataset* (`X`) before cross-validation, the mean and standard deviation calculated by the scaler would include information from the test set, thus leaking information into the training process.
3.  **Proper Cross-Validation with `cross_val_score`**:
    *   `scores = cross_val_score(model, X, y, cv=5, scoring="r2")`: The `make_pipeline` object (`model`) is passed directly to `cross_val_score`.
    *   `cross_val_score` internally handles the splitting of the data into training and validation folds for each of the `cv=5` iterations.
    *   For *each* fold:
        *   The `StandardScaler` within the pipeline is `fit` *only* on the training data of that specific fold.
        *   It then `transforms` both the training and validation/test data of that specific fold using the parameters (mean and standard deviation) learned *only* from the training data.
        *   The `Ridge` model is then trained on the scaled training data and evaluated on the scaled validation/test data.
This approach ensures that all preprocessing steps (like `StandardScaler`) learn their parameters exclusively from the training data for each fold, preventing any information from the test set (even implicitly, like its statistical properties) from influencing the model's training process.</t>
  </si>
  <si>
    <t>The provided Python code is mostly well-structured, but there are several areas that could benefit from improvements or adjustments to better align with best practices:
1. **Imports and Package Management:**
   - It would be prudent to mention if the `imblearn` library, from which `SMOTE` is imported, needs to be installed separately, as it is not part of the default `scikit-learn` package. This can be done via a comment or a requirements file (`requirements.txt`).
2. **Data Processing:**
   - It's generally a good idea to check whether `df` has been loaded correctly and handle potential exceptions using a try-except block, especially since it reads from an external source (`fraud.csv`).
3. **Hardcoded CSV Path:**
   - The file path in `pd.read_csv("fraud.csv")` is hardcoded. It should ideally be parameterized or use a configuration file/environment variable to improve flexibility and maintainability.
4. **Column Existence:**
   - There is an implicit assumption that the column `"is_fraud"` exists in the DataFrame. It would be beneficial to include a sanity check to ensure this column exists and emit a helpful error message if not.
5. **Class Imbalance Check:**
   - Before applying `SMOTE`, it's a good practice to check for class imbalance and justify its use. In scenarios where the data is not imbalanced, applying SMOTE can artificially alter the dataset unnecessarily.
6. **Data Leakage:**
   - The code applies `SMOTE` on the entire dataset before splitting it into training and test sets. This could lead to data leakage since the test set should not be synthesized or influenced by the training set. SMOTE should be applied only to the training data, after the split.
7. **Reporting:**
   - The `classification_report()` function returns a string, but the code directly prints it out. While this is not an issue on its own, consider storing the result or logging it for better traceability in a larger application.
8. **Model Evaluation:**
   - The current code evaluates the model with a single train/test split. Depending on the size of the dataset, cross-validation might provide a more reliable estimate of model performance.
9. **Randomness and Reproducibility:**
   - While `random_state` is set in various places, it's important to ensure that all stochastic processes are accounted for if exact reproducibility is required. Reviewing all parts of the code that involve randomness is necessary. In this code, all random elements seem to be properly controlled.
After making some of these changes, the code should look something like this:
```python
import pandas as pd
from sklearn.model_selection import train_test_split
from sklearn.ensemble import GradientBoostingClassifier
from sklearn.metrics import classification_report
from imblearn.over_sampling import SMOTE
try:
    df = pd.read_csv("fraud.csv")
except FileNotFoundError:
    raise Exception("The file 'fraud.csv' was not found. Please check the file path.")
if "is_fraud" not in df.columns:
    raise Exception("The dataframe does not contain the column 'is_fraud'.")
X = df.drop("is_fraud", axis=1)
y = df["is_fraud"]
# Check for class imbalance before applying SMOTE
count_classes = y.value_counts()
if min(count_classes) / max(count_classes) &gt; 0.5:
    print("The dataset does not seem imbalanced enough to apply SMOTE.")
X_train, X_test, y_train, y_test = train_test_split(
    X, y, test_size=0.2, random_state=42
)
# Apply SMOTE only on training data
smote = SMOTE(random_state=42)
X_train_resampled, y_train_resampled = smote.fit_resample(X_train, y_train)
model = GradientBoostingClassifier(n_estimators=100, random_state=42)
model.fit(X_train_resampled, y_train_resampled)
y_pred = model.predict(X_test)
report = classification_report(y_test, y_pred)
print(report)
```
By addressing these points, the code will be more robust, flexible, and maintainable.</t>
  </si>
  <si>
    <t>The provided Python code is generally well-structured for performing fraud detection using a machine learning approach with `pandas`, `scikit-learn`, and `imblearn`. However, there are several issues, potential bugs, and areas for improvement that should be addressed. Below, I will outline the identified problems and explain each one:
1. **Readability and Organization**:
   - **Issue**: There is no separation of concerns or modular organization within the code. All logic is lumped together without functions or classes.
   - **Explanation**: This makes the code harder to maintain and understand. For better organization, consider encapsulating logic into functions, such as `load_data`, `preprocess_data`, `train_model`, and `evaluate_model`. This increases readability and allows easier unit testing.
2. **Lack of Data Exploration/Preprocessing**:
   - **Issue**: The code immediately drops a column (`is_fraud`) and performs operations without any exploratory data analysis or preprocessing.
   - **Explanation**: Before using the data, it is important to explore it (e.g., checking for missing values, encoding categorical variables, or normalizing/standardizing features). This ensures that the model is effectively trained and not misled by data anomalies.
3. **No Handling of Categorical Variables**:
   - **Issue**: If `X` contains categorical features, the code does not handle them (e.g., using one-hot encoding).
   - **Explanation**: Most classifiers, including `GradientBoostingClassifier`, cannot handle raw categorical data. You should convert them to a suitable numerical format, like one-hot encoding or label encoding.
4. **SMOTE and Train-Test Split Order**:
   - **Issue**: The SMOTE oversampling is applied before splitting the dataset into training and testing sets, which can lead to information leakage.
   - **Explanation**: The training set should be separated from the test set before applying SMOTE. This ensures that synthetic samples created from the training data will not influence the test set, which can create an over-optimistic estimate of performance.
5. **Hardcoding values**:
   - **Issue**: The filename `"fraud.csv"` and the column name `"is_fraud"` are hard-coded.
   - **Explanation**: Hardcoded values make the code less flexible and reusable. Consider defining a configuration section or parameters to allow for easy modifications, especially when working with different datasets or column names.
6. **Potential Memory Issues**:
   - **Issue**: When dealing with very large datasets, the oversampling with SMOTE may lead to excessive memory usage.
   - **Explanation**: While not a bug, it's important to be mindful of memory and performance. Monitor the size of datasets before and after SMOTE; log warnings if operational limits are approached.
7. **Metric Reporting**:
   - **Issue**: Only the classification report is printed, without evaluation of the results.
   - **Explanation**: It is beneficial to also log key performance metrics (like accuracy, precision, recall) separately for clarity. Consider using `accuracy_score`, `confusion_matrix`, or `roc_auc_score` for a more comprehensive evaluation.
8. **Import Style**:
   - **Issue**: The `from sklearn.metrics import classification_report` import is not joined with others.
   - **Explanation**: For cleaner code, imports from the same library can be grouped together. This is more of a style issue but can improve readability.
Here’s a fixed example that integrates some of the suggestions:
```python
import pandas as pd
from sklearn.model_selection import train_test_split
from sklearn.ensemble import GradientBoostingClassifier
from sklearn.metrics import classification_report, accuracy_score
from imblearn.over_sampling import SMOTE
def load_data(filename):
    return pd.read_csv(filename)
def preprocess_data(df):
    # Example: Encode categorical variables here if needed
    return df.drop("is_fraud", axis=1), df["is_fraud"]
def train_model(X_train, y_train):
    model = GradientBoostingClassifier(n_estimators=100, random_state=42)
    model.fit(X_train, y_train)
    return model
def evaluate_model(model, X_test, y_test):
    y_pred = model.predict(X_test)
    print("Classification Report:\n", classification_report(y_test, y_pred))
    print("Accuracy Score:", accuracy_score(y_test, y_pred))
if __name__ == "__main__":
    df = load_data("fraud.csv")
    X, y = preprocess_data(df)
    X_train, X_test, y_train, y_test = train_test_split(
        X, y, test_size=0.2, random_state=42
    )
    smote = SMOTE(random_state=42)
    X_train_resampled, y_train_resampled = smote.fit_resample(X_train, y_train)
    model = train_model(X_train_resampled, y_train_resampled)
    evaluate_model(model, X_test, y_test)
```
This code addresses most of the concerns, like the order of operations and modularization, improving its usability and maintainability.</t>
  </si>
  <si>
    <t>## Code Review: Fraud Detection Pipeline
### Critical Bug: Data Leakage
```python
# CURRENT (Wrong): SMOTE applied before splitting
smote = SMOTE(random_state=42)
X_resampled, y_resampled = smote.fit_resample(X, y)  # Uses ALL data including future test samples
X_train, X_test, y_train, y_test = train_test_split(
    X_resampled, y_resampled, test_size=0.2, random_state=42
)
# CORRECT: Split first, then apply SMOTE only to training data
X_train, X_test, y_train, y_test = train_test_split(
    X, y, test_size=0.2, random_state=42
)
smote = SMOTE(random_state=42)
X_train_resampled, y_train_resampled = smote.fit_resample(X_train, y_train)
```
**Why this matters:** SMOTE generates synthetic samples by interpolating between existing data points. When applied before splitting, synthetic test samples are derived from real training samples (and vice versa), causing the model to be evaluated on data it has effectively already seen. This inflates performance metrics and produces an unreliable model.
---
### Problem 2: No Preprocessing Pipeline
```python
# CURRENT: Raw features fed directly to model with no preprocessing
X = df.drop("is_fraud", axis=1)
# CORRECT: Use a Pipeline to handle preprocessing safely
from sklearn.pipeline import Pipeline
from sklearn.preprocessing import StandardScaler
from sklearn.compose import ColumnTransformer
from sklearn.preprocessing import OneHotEncoder
numeric_features = X.select_dtypes(include=['number']).columns
categorical_features = X.select_dtypes(include=['object', 'category']).columns
preprocessor = ColumnTransformer(transformers=[
    ('num', StandardScaler(), numeric_features),
    ('cat', OneHotEncoder(handle_unknown='ignore'), categorical_features)
])
pipeline = Pipeline(steps=[
    ('preprocessor', preprocessor),
    ('smote', SMOTE(random_state=42)),     # imblearn supports Pipeline
    ('classifier', GradientBoostingClassifier(n_estimators=100, random_state=42))
])
```
**Why this matters:** Without preprocessing:
- Categorical columns will cause a crash or silent misinterpretation
- Features on different scales can distort tree-based models less than linear models, but scaling is still a good practice
- Preprocessing steps applied outside a pipeline can themselves cause data leakage if fit on full data
---
### Problem 3: No Handling of Non-Numeric Columns
```python
# CURRENT: Silently passes all columns through, which will crash on strings
X = df.drop("is_fraud", axis=1)
# CORRECT: Explicitly identify and handle column types
categorical_cols = X.select_dtypes(include=['object']).columns
print(f"Categorical columns detected: {list(categorical_cols)}")
# Drop or encode them explicitly before proceeding
X = pd.get_dummies(X, columns=categorical_cols, drop_first=True)
```
**Why this matters:** Fraud datasets commonly contain string columns like merchant names, transaction categories, or timestamps. SMOTE and GradientBoostingClassifier will both raise errors or produce incorrect results on non-numeric data.
---
### Problem 4: No Error Handling or Data Validation
```python
# CURRENT: Assumes file exists and is well-formed
df = pd.read_csv("fraud.csv")
X = df.drop("is_fraud", axis=1)
y = df["is_fraud"]
# CORRECT: Validate early and fail with clear messages
import os
if not os.path.exists("fraud.csv"):
    raise FileNotFoundError("Dataset 'fraud.csv' not found.")
df = pd.read_csv("fraud.csv")
if "is_fraud" not in df.columns:
    raise ValueError(f"Expected column 'is_fraud' not found. Columns: {df.columns.tolist()}")
if df.isnull().any().any():
    null_counts = df.isnull().sum()
    print(f"Warning: Missing values detected:\n{null_counts[null_counts &gt; 0]}")
    df = df.dropna()  # or use imputation
print(f"Class distribution:\n{y.value_counts()}")
```
---
### Problem 5: No Hyperparameter Tuning or Cross-Validation
```python
# CURRENT: Arbitrary hardcoded hyperparameters, single train/test evaluation
model = GradientBoostingClassifier(n_estimators=100, random_state=42)
# CORRECT: Use cross-validation and search for better parameters
from sklearn.model_selection import StratifiedKFold, cross_validate
from sklearn.model_selection import RandomizedSearchCV
param_grid = {
    'n_estimators': [100, 200, 300],
    'max_depth': [3, 5, 7],
    'learning_rate': [0.01, 0.1, 0.2],
    'subsample': [0.8, 1.0]
}
cv = StratifiedKFold(n_splits=5, shuffle=True, random_state=42)
search = RandomizedSearchCV(
    GradientBoostingClassifier(random_state=42),
    param_distributions=param_grid,
    n_iter=20,
    cv=cv,
    scoring='f1',       # Appropriate for imbalanced fraud detection
    random_state=42,
    n_jobs=-1
)
search.fit(X_train_resampled, y_train_resampled)
print(f"Best params: {search.best_params_}")
```
**Why this matters:** A single 80/20 split gives a high-variance estimate of performance. Cross-validation gives a more reliable estimate. For fraud detection, F1 or AUC-PR are more appropriate scoring metrics than accuracy.
---
### Problem 6: Evaluation Metric May Be Misleading
```python
# CURRENT: classification_report is useful but incomplete for fraud detection
print(classification_report(y_test, y_pred))
# CORRECT: Add probability-based metrics which better reflect fraud model quality
from sklearn.metrics import (
    classification_report,
    roc_auc_score,
    average_precision_score,
    ConfusionMatrixDisplay
)
import matplotlib.pyplot as plt
y_proba = model.predict_proba(X_test)[:, 1]
print(classification_report(y_test, y_pred))
print(f"ROC-AUC:              {roc_auc_score(y_test, y_proba):.4f}")
print(f"Average Precision:    {average_precision_score(y_test, y_proba):.4f}")  # AUC-PR
ConfusionMatrixDisplay.from_predictions(y_test, y_pred)
plt.title("Confusion Matrix")
plt.show()
```
**Why this matters:** In fraud detection, false negatives (missed fraud) are far more costly than false positives. Average Precision (AUC-PR) is especially informative when the positive class is rare.
---
### Summary Table
| # | Severity | Problem | Impact |
|---|----------|---------|--------|
| 1 | 🔴 Critical | SMOTE before train/test split | Data leakage, inflated metrics |
| 2 | 🔴 Critical | No preprocessing pipeline | Crashes on categorical data, potential leakage |
| 3 | 🟠 High | No handling of non-numeric columns | Runtime errors |
| 4 | 🟡 Medium | No data validation or error handling | Silent failures, misleading results |
| 5 | 🟡 Medium | No cross-validation or tuning | Unreliable performance estimate |
| 6 | 🟢 Low | Incomplete evaluation metrics | Misleading view of model quality |
The most important fix by far is **#1**. Data leakage is a silent, critical error that makes a model appear to perform</t>
  </si>
  <si>
    <t># Code Review: Issues and Problems Found
## 1. **Data Leakage (Critical Issue)** ⚠️
```python
smote = SMOTE(random_state=42)
X_resampled, y_resampled = smote.fit_resample(X, y)
X_train, X_test, y_train, y_test = train_test_split(...)
```
**Problem:** SMOTE is applied *before* train-test split. This causes test data information to influence training data, leading to overly optimistic performance metrics.
**Fix:** Apply SMOTE only to training data:
```python
X_train, X_test, y_train, y_test = train_test_split(
    X, y, test_size=0.2, random_state=42
)
smote = SMOTE(random_state=42)
X_train, y_train = smote.fit_resample(X_train, y_train)
```
---
## 2. **No Data Validation** 
**Problem:** No checks for:
- Missing values (`df.isnull()`)
- Data types compatibility with the model
- Feature scaling (may be needed for some models)
- Empty or malformed CSV
**Fix:** Add validation:
```python
df = pd.read_csv("fraud.csv")
print(df.isnull().sum())  # Check missing values
print(df.dtypes)          # Check data types
```
---
## 3. **No Error Handling**
**Problem:** If "fraud.csv" doesn't exist or is malformed, the script crashes without informative error message.
**Fix:**
```python
try:
    df = pd.read_csv("fraud.csv")
except FileNotFoundError:
    print("Error: fraud.csv not found")
    exit(1)
```
---
## 4. **Incomplete Model Evaluation**
**Problem:** Only uses `classification_report()`. Missing:
- Confusion matrix
- ROC-AUC (important for imbalanced data)
- Cross-validation
- No baseline comparison
**Fix:**
```python
from sklearn.metrics import confusion_matrix, roc_auc_score
print(confusion_matrix(y_test, y_pred))
print(f"ROC-AUC: {roc_auc_score(y_test, model.predict_proba(X_test)[:, 1])}")
```
---
## 5. **No Hyperparameter Tuning**
**Problem:** Model uses default hyperparameters without optimization. For imbalanced data, `scale_pos_weight` or `class_weight` should be considered.
**Fix:**
```python
model = GradientBoostingClassifier(
    n_estimators=100,
    learning_rate=0.1,
    max_depth=5,
    random_state=42
)
```
---
## 6. **Categorical Variables Not Handled**
**Problem:** If X contains categorical columns, they'll cause errors or be silently mishandled.
**Fix:**
```python
X = pd.get_dummies(X, drop_first=True)  # Or use proper encoding
```
---
## 7. **No Train/Validation Split**
**Problem:** Only train/test split; no validation set for hyperparameter tuning.
**Fix:** Use cross-validation:
```python
from sklearn.model_selection import cross_val_score
scores = cross_val_score(model, X_train, y_train, cv=5, scoring='roc_auc')
```
---
## 8. **Magic Numbers &amp; No Configuration**
**Problem:** Hardcoded values (test_size=0.2, n_estimators=100, random_state=42) make code inflexible.
**Fix:**
```python
TEST_SIZE = 0.2
N_ESTIMATORS = 100
RANDOM_STATE = 42
```
---
## Summary Table
| Issue | Severity | Impact |
|-------|----------|--------|
| Data Leakage | 🔴 Critical | Invalid performance metrics |
| No Validation | 🟡 High | Runtime crashes |
| Incomplete Evaluation | 🟡 High | Missing important metrics |
| No Error Handling | 🟠 Medium | Poor user experience |
| Categorical Handling | 🟠 Medium | Silent failures |
| No Hyperparameter Tuning | 🟠 Medium | Suboptimal model |</t>
  </si>
  <si>
    <t>This Python script demonstrates a common machine learning pipeline for a binary classification task, likely fraud detection, involving imbalanced data handling with SMOTE. While the overall structure is reasonable, there are several critical issues, bugs, and bad practices that need to be addressed.
## Issues, Bugs, and Bad Practices:
### 1. Data Leakage Due to Incorrect SMOTE Application (Critical)
*   **Problem:** The most significant issue is that SMOTE is applied to the *entire dataset* (`X`, `y`) *before* the train-test split.
*   **Explanation:** When you resample the entire dataset, synthetic samples are generated based on information from both the training and testing portions of the original data. This means that information from the test set "leaks" into the training process. Your model effectively gets to "see" synthesized versions of the test data during training.
*   **Impact:** This leads to an overly optimistic evaluation of your model's performance on unseen data. The reported `classification_report` will likely show higher metrics than the model would truly achieve in a real-world scenario, making it appear more robust than it is.
*   **Solution:** SMOTE (or any resampling technique) *must only be applied to the training data* after the initial train-test split. The test set must remain completely untouched to provide an unbiased evaluation of the model's generalization capability.
### 2. Lack of Stratification in `train_test_split` (Important for Imbalanced Data)
*   **Problem:** The `train_test_split` function is called without the `stratify` parameter.
*   **Explanation:** When dealing with imbalanced datasets (like fraud detection, where fraud cases are rare), a random split without stratification can lead to uneven distributions of the target class in the training and test sets. For example, your test set might end up with very few or even zero fraud cases, making evaluation unreliable.
*   **Impact:** If the target class distribution is significantly different between train and test sets, the model trained on one distribution might not perform well on the other, or evaluation metrics might be skewed.
*   **Solution:** Always use `stratify=y` (or `stratify=y_resampled` if splitting the resampled data first, though the correct approach is to stratify on the *original* `y`) in `train_test_split` to ensure that the proportion of samples for each class is the same in both the training and testing sets.
### 3. Hardcoded Filename (Bad Practice)
*   **Problem:** The input CSV filename (`"fraud.csv"`) is hardcoded directly in the script.
*   **Explanation:** This makes the script inflexible. If you want to run it on a different dataset, you have to modify the code directly.
*   **Impact:** Reduces reusability and maintainability.
*   **Solution:** Pass the filename as a command-line argument, read it from a configuration file, or define it as a constant at the top of the script for easier modification.
### 4. No Error Handling for File Reading (Robustness Issue)
*   **Problem:** There's no error handling around `pd.read_csv()`.
*   **Explanation:** If `"fraud.csv"` doesn't exist or isn't accessible, the script will crash with a `FileNotFoundError` or similar.
*   **Impact:** Makes the script less robust and user-friendly.
*   **Solution:** Wrap the `pd.read_csv()` call in a `try-except` block to gracefully handle potential file-related errors.
### 5. No Validation for Column Existence
*   **Problem:** The script assumes that "is_fraud" column exists in the DataFrame.
*   **Explanation:** If the "is_fraud" column is missing or misspelled, `df.drop("is_fraud", axis=1)` or `df["is_fraud"]` will raise a `KeyError`.
*   **Impact:** Fragile code that can break with slight changes in data schema.
*   **Solution:** Add a check (`if "is_fraud" in df.columns:`) before attempting to access or drop the column.
### 6. Untuned Hyperparameters
*   **Problem:** The `GradientBoostingClassifier` is instantiated with default or arbitrarily chosen hyperparameters (`n_estimators=100`).
*   **Explanation:** `n_estimators=100` might not be the optimal number of boosting stages for your specific dataset. Other parameters like `learning_rate`, `max_depth`, `subsample`, etc., also significantly impact performance.
*   **Impact:** The model's performance might not be maximized, potentially leading to suboptimal results.
*   **Solution:** Implement hyperparameter tuning using techniques like `GridSearchCV` or `RandomizedSearchCV` from scikit-learn to find the best combination of parameters for your model.
### 7. Potential for Further Data Preprocessing
*   **Problem (Implicit):** The code assumes that `X` is ready for modeling (e.g., all numerical, no scaling needed, no categorical features).
*   **Explanation:** If `X` contains categorical features, they would need encoding (e.g., one-hot encoding). If numerical features are on vastly different scales, scaling (e.g., `StandardScaler`, `MinMaxScaler`) might be beneficial for tree-based models (though less critical than for linear models or SVMs, it can sometimes improve performance and convergence). SMOTE specifically works best on numerical features; if categorical features are present, specialized variants like `SMOTENC` might be required, or categorical features should be one-hot encoded first.
*   **Impact:** Suboptimal model performance or errors if categorical features are passed directly to SMOTE or the GBC.
*   **Solution:** Always inspect your data (`df.info()`, `df.describe()`, `df.select_dtypes()`) and apply appropriate preprocessing steps (encoding, scaling) as needed, usually *before* SMOTE and *within* a pipeline for consistency.
### 8. Limited Evaluation Metrics for Fraud Detection (Improvement)
*   **Problem:** While `classification_report` is good, for fraud detection, specific attention to false positives and false negatives is crucial.
*   **Explanation:** `classification_report` provides precision, recall, and F1-score. However, visualizing the confusion matrix directly, or plotting precision-recall curves (which are often more informative than ROC curves for highly imbalanced datasets), can offer deeper insights into the model's trade-offs between detecting fraud and minimizing false alarms.
*   **Impact:** Might miss nuances important for business decisions related to fraud (e.g., cost of missing fraud vs. cost of wrongly flagging a legitimate transaction).
*   **Solution:** Consider adding a confusion matrix display and/or plotting a precision-recall curve.
---
## Corrected Code Example:
Here's the corrected code addressing the most critical issues, especially data leakage and stratification:
```python
import pandas as pd
from sklearn.model_selection import train_test_split
from sklearn.ensemble import GradientBoostingClassifier
from sklearn.metrics import classification_report, confusion_matrix
from imblearn.over_sampling import SMOTE
import matplotlib.pyplot as plt
import seaborn as sns
import os # For checking file existence
# --- Configuration / Robustness ---
DATA_FILE = "fraud.csv"
TARGET_COLUMN = "is_fraud"
TEST_SIZE = 0.2
RANDOM_STATE = 42
# --- 1. Data Loading and Initial Setup ---
try:
    if not os.path.exists(DATA_FILE):
        raise FileNotFoundError(f"The data file '{DATA_FILE}' was not found.")
    df = pd.read_csv(DATA_FILE)
except FileNotFoundError as e:
    print(f"Error: {e}")
    exit() # Exit if file not found
except Exception as e:
    print(f"An error occurred while reading the CSV: {e}")
    exit()
if TARGET_COLUMN not in df.columns:
    print(f"Error: Target column '{TARGET_COLUMN}' not found in the DataFrame.")
    exit()
X = df.drop(TARGET_COLUMN, axis=1)
y = df[TARGET_COLUMN]
# --- 2. Train-Test Split (BEFORE SMOTE) ---
# Stratify on the original 'y' to ensure balanced class distribution in splits
X_train, X_test, y_train, y_test = train_test_split(
    X, y, test_size=TEST_SIZE, random_state=RANDOM_STATE, stratify=y
)
# --- 3. Apply SMOTE (ONLY to Training Data) ---
print(f"Original training set shape: X_train={X_train.shape}, y_train={y_train.shape}")
print(f"Original training class distribution:\n{y_train.value_counts()}")
smote = SMOTE(random_state=RANDOM_STATE)
X_train_resampled, y_train_resampled = smote.fit_resample(X_train, y_train)
print(f"\nResampled training set shape: X_train_resampled={X_train_resampled.shape}, y_train_resampled={y_train_resampled.shape}")
print(f"Resampled training class distribution:\n{y_train_resampled.value_counts()}")
# --- 4. Model Training ---
model = GradientBoostingClassifier(n_estimators=100, random_state=RANDOM_STATE) # Hyperparameters can be tuned
model.fit(X_train_resampled, y_train_resampled)
# --- 5. Prediction and Evaluation (on original, UNSEEN test data) ---
y_pred = model.predict(X_test)
print("\n--- Classification Report ---")
print(classification_report(y_test, y_pred))
# Optional: Visualize Confusion Matrix
print("\n--- Confusion Matrix ---")
cm = confusion_matrix(y_test, y_pred)
plt.figure(figsize=(8, 6))
sns.heatmap(cm, annot=True, fmt='d', cmap='Blues',
            xticklabels=['Not Fraud', 'Fraud'], yticklabels=['Not Fraud', 'Fraud'])
plt.xlabel('Predicted')
plt.ylabel('Actual')
plt.title('Confusion Matrix')
plt.show()
# Further improvements would involve hyperparameter tuning (GridSearchCV/RandomizedSearchCV),
# feature scaling, and potentially exploring other evaluation metrics like Precision-Recall curves.
```</t>
  </si>
  <si>
    <t>The provided code contains a potential data leakage issue. The problem arises from the use of SMOTE (Synthetic Minority Over-sampling Technique) before the train-test split. Here's a breakdown of why this is problematic:
**Issue with SMOTE Applied Before Train-Test Split:**
1. **What is Happening?**
   - SMOTE is used to oversample the minority class in the dataset, which, in this case, seems to be related to fraud detection (based on the `is_fraud` column).
   - The oversampling using SMOTE is applied to the entire dataset `X` and `y` before it is split into training and testing subsets.
2. **Why is this a Problem?**
   - By applying SMOTE to the entire dataset, you are effectively allowing information from the entire dataset, including potential information from the test set, to influence the synthetic samples generated.
   - This means the balance and distribution of classes that should be present only in the training set is skewed by knowledge of the entire dataset, including the test set, which can influence model training in a way that would not be possible in a true deployment scenario.
3. **Implications:**
   - There is a risk of overfitting or a misleadingly high performance metric. The model might appear to perform better during evaluation because some information from the test set may have indirectly guided the model during training.
   - This scenario creates a leakage of test set information into the training process, leading to a less robust model evaluation.
**Solution:**
To prevent this form of data leakage, you should apply SMOTE only within the training set after splitting the data. Here's how you can modify the code to avoid the issue: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X_train, X_test, y_train, y_test = train_test_split(
    X, y, test_size=0.2, random_state=42
)
# Apply SMOTE only on the training data
smote = SMOTE(random_state=42)
X_train_resampled, y_train_resampled = smote.fit_resample(X_train, y_train)
model = GradientBoostingClassifier(n_estimators=100, random_state=42)
model.fit(X_train_resampled, y_train_resampled)
y_pred = model.predict(X_test)
print(classification_report(y_test, y_pred))
```
By applying SMOTE only to `X_train` and `y_train`, you ensure that no information from the test set is used during the training phase, eliminating this particular instance of data leakage.</t>
  </si>
  <si>
    <t>This code contains an instance of data leakage through the use of SMOTE (Synthetic Minority Over-sampling Technique) before splitting the dataset into training and testing sets. Here's a detailed explanation of the problem:
### Data Leakage Explanation:
1. **Location of Data Leakage:**
   - The SMOTE function is called on the entire dataset `X` and `y` before performing the `train_test_split`. This means that synthetic samples are generated based on the entire dataset, including both the training and testing data.
2. **Why It’s a Problem:**
   - By applying SMOTE before splitting the dataset, you're essentially allowing information from the test set to influence the training process. SMOTE generates synthetic samples based on the minority class in the entire dataset, which includes instances from both the training and test sets. This means that the model has been trained on instances that it should not have had any knowledge of during the training phase.
   - Therefore, this can lead to overly optimistic performance metrics, as the model may have "seen" some aspects of the test set during training. In practice, when deployed, the model will not have this extra information from the future (test set) to enhance its predictions, leading to performance that is worse than what was observed during testing.
### Correct Approach:
To correct this issue, you should first split the dataset into training and test sets and then apply SMOTE only on the training set. Here’s how you can modify the pipeline to avoid data leakage:
```python
# Import necessary libraries
import pandas as pd
from sklearn.model_selection import train_test_split
from sklearn.ensemble import GradientBoostingClassifier
from sklearn.metrics import classification_report
from imblearn.over_sampling import SMOTE
# Load the dataset
df = pd.read_csv("fraud.csv")
X = df.drop("is_fraud", axis=1)
y = df["is_fraud"]
# Split dataset into training and testing sets
X_train, X_test, y_train, y_test = train_test_split(
    X, y, test_size=0.2, random_state=42
)
# Apply SMOTE only to the training set
smote = SMOTE(random_state=42)
X_train_resampled, y_train_resampled = smote.fit_resample(X_train, y_train)
# Train the model
model = GradientBoostingClassifier(n_estimators=100, random_state=42)
model.fit(X_train_resampled, y_train_resampled)
# Make predictions on the test set
y_pred = model.predict(X_test)
# Print classification report
print(classification_report(y_test, y_pred))
```
### Summary:
In summary, the original code is susceptible to data leakage by applying SMOTE before splitting the dataset. Ensure that data preprocessing steps affecting model training, such as resampling techniques, are performed solely on the training data to maintain a valid evaluation of the model's performance.</t>
  </si>
  <si>
    <t>## Data Leakage Analysis
### Verdict: **Data Leakage Present**
There is a clear and significant data leakage problem in this code. Here is a precise breakdown.
---
### Where the Leakage Occurs
```python
# ❌ SMOTE is applied BEFORE the train/test split
smote = SMOTE(random_state=42)
X_resampled, y_resampled = smote.fit_resample(X, y)  # Uses ALL data
# The split happens AFTER synthetic samples are already generated
X_train, X_test, y_train, y_test = train_test_split(
    X_resampled, y_resampled, test_size=0.2, random_state=42
)
```
---
### Why This Is a Problem
SMOTE generates synthetic samples by interpolating between **existing minority-class observations** using k-nearest neighbors. When applied to the full dataset before splitting:
1. **Test set observations influence synthetic training samples.** The synthetic points in `X_train` were generated using the statistical neighborhood structure of the *entire* dataset, including points that end up in `X_test`. The model indirectly learns from test-set geometry.
2. **Near-duplicate contamination.** Some synthetic samples placed into `X_train` may be interpolations *between* two real points, one of which landed in `X_test`. These synthetic points will be artificially close to test points, inflating apparent generalization performance.
3. **Overly optimistic evaluation.** The test set no longer represents truly held-out, unseen data. Reported metrics (precision, recall, F1) will be **higher than what you would observe in production**, making the model appear better than it is.
---
### Corrected Code
SMOTE must be applied **only to the training set**, after splitting:
```python
import pandas as pd
from sklearn.model_selection import train_test_split
from sklearn.ensemble import GradientBoostingClassifier
from sklearn.metrics import classification_report
from imblearn.pipeline import Pipeline  # use imblearn's Pipeline
from imblearn.over_sampling import SMOTE
df = pd.read_csv("fraud.csv")
X = df.drop("is_fraud", axis=1)
y = df["is_fraud"]
# ✅ Split FIRST, before any resampling
X_train, X_test, y_train, y_test = train_test_split(
    X, y, test_size=0.2, random_state=42, stratify=y  # stratify on original imbalance
)
# ✅ Apply SMOTE only to training data
smote = SMOTE(random_state=42)
X_train_resampled, y_train_resampled = smote.fit_resample(X_train, y_train)
model = GradientBoostingClassifier(n_estimators=100, random_state=42)
model.fit(X_train_resampled, y_train_resampled)
# ✅ Test set is never touched by SMOTE
y_pred = model.predict(X_test)
print(classification_report(y_test, y_pred))
```
#### Even Better: Use a Pipeline
```python
from imblearn.pipeline import Pipeline
# SMOTE is automatically applied only during fit(), never during predict()
pipeline = Pipeline([
    ("smote", SMOTE(random_state=42)),
    ("classifier", GradientBoostingClassifier(n_estimators=100, random_state=42))
])
pipeline.fit(X_train, y_train)
y_pred = pipeline.predict(X_test)
print(classification_report(y_test, y_pred))
```
The `Pipeline` approach is especially valuable when using **cross-validation**, since it ensures SMOTE is re-fit on each fold's training portion only, preventing the same leakage at the fold level.
---
### Summary Table
| Issue | Original Code | Fixed Code |
|---|---|---|
| SMOTE fit on full dataset | ❌ Yes | ✅ No |
| Test data influences training | ❌ Yes | ✅ No |
| Metrics trustworthy | ❌ No | ✅ Yes |
| Safe for cross-validation | ❌ No | ✅ Yes (Pipeline) |</t>
  </si>
  <si>
    <t># Data Leakage Review: **CRITICAL ISSUE FOUND**
## Problem: SMOTE Applied Before Train-Test Split
This code contains **significant data leakage**. Here's exactly where and why:
### The Leakage
```python
smote = SMOTE(random_state=42)
X_resampled, y_resampled = smote.fit_resample(X, y)  # ❌ Applied to ALL data
X_train, X_test, y_train, y_test = train_test_split(
    X_resampled, y_resampled, test_size=0.2, random_state=42
)
```
**The issue:** SMOTE is fit on the entire dataset (`X, y`) *before* splitting into train/test. This means:
1. **Synthetic samples are generated using information from the test set** — SMOTE uses k-nearest neighbors on all data points to create synthetic minority samples, so test set samples influence which synthetic samples are created
2. **Test set statistics leak into training data** — The nearest neighbors of training samples may include test samples, directly encoding test set information into the synthetic training data
3. **Performance metrics are artificially inflated** — The model is tested on data whose distribution was partially shaped by the test set itself
### Why This Is a Problem
- Your model gets an unfair advantage on test data
- Cross-validation or real-world predictions on truly new data will likely perform worse
- You cannot trust your reported `classification_report` metrics — they're optimistically biased
### Correct Implementation
```python
X_train, X_test, y_train, y_test = train_test_split(
    X, y, test_size=0.2, random_state=42
)
# ✅ Apply SMOTE ONLY to training data
smote = SMOTE(random_state=42)
X_train_resampled, y_train_resampled = smote.fit_resample(X_train, y_train)
model = GradientBoostingClassifier(n_estimators=100, random_state=42)
model.fit(X_train_resampled, y_train_resampled)
y_pred = model.predict(X_test)
print(classification_report(y_test, y_pred))
```
**Key principle:** Any data preprocessing that learns parameters from data (SMOTE, scaling, feature selection, etc.) must be fit *only* on the training set.</t>
  </si>
  <si>
    <t>Yes, this code **contains data leakage**.
The data leakage occurs in the following lines:
```python
smote = SMOTE(random_state=42)
X_resampled, y_resampled = smote.fit_resample(X, y) # &lt;--- Leakage occurs here
```
**Explanation of the Leakage:**
1.  **`SMOTE` is applied to the entire dataset (`X`, `y`) *before* the `train_test_split`.**
    *   `SMOTE` (Synthetic Minority Over-sampling Technique) works by generating synthetic samples for the minority class. To do this, it analyzes the features and their distributions *within the existing dataset*.
    *   When you call `smote.fit_resample(X, y)`, SMOTE uses *all* the data points in `X` and `y` (both what will become training data and what will become test data) to learn the patterns and generate new synthetic samples.
2.  **Impact on `train_test_split`:**
    *   The `train_test_split` then operates on `X_resampled` and `y_resampled`, which *already contain* synthetic samples generated using information from the entire original dataset.
    *   This means that the training set (`X_train`, `y_train`) will contain synthetic data points that were generated using knowledge of the characteristics (feature distributions, relationships) present in the *original data that was later allocated to the test set*.
**Why this is a problem:**
The goal of a test set is to evaluate how well your model generalizes to *unseen, new data*. When `SMOTE` is applied before the split, the training set effectively "sees" information about the test set's distribution.
*   **Overly Optimistic Performance Metrics:** The model's performance on the test set will likely appear better than it would on truly unseen data. This is because the synthetic samples in the training set were influenced by the statistical properties of the original test set, giving the model an unfair advantage by subtly exposing it to the test data's characteristics.
*   **Poor Generalization:** When deployed in a real-world scenario, the model might not perform as well as indicated by the reported metrics because it was trained on data that wasn't truly independent of the evaluation data.
**How to fix it:**
To prevent this data leakage, `SMOTE` (or any other preprocessing/feature engineering technique that learns from the data, like scaling, imputation, PCA, etc.) should *only be fitted and applied to the training data* after the `train_test_split`.
Here's the corrected code structure: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 1. Split the data *first*
X_train, X_test, y_train, y_test = train_test_split(
    X, y, test_size=0.2, random_state=42, stratify=y # stratify is good practice for imbalanced data
)
# 2. Apply SMOTE *only to the training data*
smote = SMOTE(random_state=42)
X_train_resampled, y_train_resampled = smote.fit_resample(X_train, y_train)
# 3. Train the model on the resampled training data
model = GradientBoostingClassifier(n_estimators=100, random_state=42)
model.fit(X_train_resampled, y_train_resampled)
# 4. Evaluate on the original, untouched test data
y_pred = model.predict(X_test)
print(classification_report(y_test, y_pred))
```</t>
  </si>
  <si>
    <t>The Python code provided generally performs a typical machine learning workflow using a dataset (`fraud.csv`) to build a classification model. However, there are several issues or bad practices that can be identified:
1. **Data Preprocessing Assumptions**: 
   - It assumes 'fraud.csv' is readily available and correctly formatted. There is no data preprocessing step to handle missing values, categorical variables, or feature scaling. Real-world datasets often require these preprocessing steps for effective model training.
2. **Data Leakage Concern**: 
   - The SMOTE (Synthetic Minority Over-sampling Technique) is applied after the train-test split, which is correct to prevent data leakage. However, it is important to ensure that no information from the test set is used during the oversampling process, which the current implementation respects.
3. **Imbalanced Data Handling for Test Set**:
   - The test set is not balanced using SMOTE. While this is typically correct since you want a true measure of your model's ability to generalize to imbalanced data, it's something to be aware of when interpreting model performance metrics like precision, recall, and F1-score.
4. **Classification Report Metrics Interpretation**:
   - While the `classification_report` provides a detailed breakdown, including precision, recall, and F1-score, it's crucial to consider other metrics for imbalanced datasets, such as the ROC-AUC score or PR-AUC score, as they provide better insights into the model's discriminative ability.
5. **Preservation of Data Types**:
   - When using SMOTE, especially with datasets that might include categorical variables, ensure that all feature columns remain appropriately typed post-resampling. SMOTE will not directly handle categorical variables, and converting them to numerical encodings before SMOTE is necessary.
6. **Random State for Reproducibility**:
   - While a `random_state` is used in both `train_test_split` and `GradientBoostingClassifier` for reproducibility, it's good practice to use consistent naming for clarity, but renaming `random_state` wouldn't improve functionality per se.
7. **Lack of Model Evaluation**:
   - The code lacks any validation beyond a single split (like K-Fold cross-validation, which could provide a more robust estimate of the model’s performance).
8. **Output Interpretation**:
   - Simply printing the classification report might not suffice for thorough analysis, consider visualizing confusion matrices or additional plots for deeper performance insights.
Addressing these issues or incorporating additional measures will ensure a more comprehensive and robust analysis and model training pipeline.</t>
  </si>
  <si>
    <t>Here are several issues, bugs, and bad practices identified in the provided Python code:
1. **Missing Data Preprocessing**:
   - **Issue**: There is no data preprocessing or cleaning done on the input data. Depending on the dataset, it may contain missing values, outliers, or categorical variables that need to be addressed before fitting the model.
   - **Explanation**: Missing or improperly formatted data can significantly affect model performance and lead to errors when fitting the model. Consider using techniques like imputation for handling missing values and converting categorical variables into numerical format.
2. **Class Imbalance Handling**:
   - **Issue**: The code uses SMOTE, but it doesn't check for the balance of classes before applying it. It's good to know the initial distribution of classes.
   - **Explanation**: Understanding the class distribution before applying resampling techniques like SMOTE can provide insights into how the model learns. Always inspect class distributions to make informed choices about handling imbalanced datasets.
3. **Failure to Evaluate Model Performance on the Training Set**:
   - **Issue**: The code only evaluates the model using the test set, not considering using the training set to assess how well the model learned from the training data.
   - **Explanation**: Evaluating both training and test sets is important to understand the model's performance and avoid issues like overfitting. Whenever possible, include evaluation on the training set, potentially via cross-validation.
4. **Inappropriate Use of Random State**:
   - **Issue**: While a `random_state` parameter is being used for reproducibility, it is critical to ensure that all operations that involve randomness—including not just splitting data but also any transformation including SMOTE—are assigned the same seed.
   - **Explanation**: While this code is consistent in using the `random_state=42`, it's important to ensure this consistency if additional random operations are added in the future.
5. **Code Readability**:
   - **Issue**: The absence of comments or docstrings makes it harder to understand the code's intent and flow.
   - **Explanation**: Adding comments to complex sections or an overall docstring at the beginning can help teammates and reviewers understand your objectives and reasoning, which is a good programming practice.
6. **Lack of Version Control for the Libraries**:
   - **Issue**: The code does not specify versions for the libraries used.
   - **Explanation**: Library versions can change over time, potentially leading to breaking changes or differences in behavior. Including a requirements file (like `requirements.txt`) or using a virtual environment with pinned package versions can avert this issue.
7. **Model Hyperparameters**:
   - **Issue**: The `GradientBoostingClassifier` is initialized with default hyperparameters except for `n_estimators` and `random_state`.
   - **Explanation**: Hyperparameter tuning is essential for achieving optimal model performance. Using techniques like Grid Search or Random Search can help identify the best hyperparameters for your specific dataset.
8. **Data Leakage**:
   - **Issue**: If `X` contains direct or indirect leakage features (features that are correlated with the target variable, maybe by including future information), it can lead to inaccurate predictions. However, this cannot be assessed without knowing the data.
   - **Explanation**: It’s crucial to ensure that the features used to train the model do not include any information that the model would not have had access to at prediction time.
### Recommendations:
- Include data preprocessing steps to handle missing values and encode categorical features.
- Check and visualize class distribution before and after applying SMOTE.
- Evaluate the model on both the training and test datasets, potentially using cross-validation.
- Utilize comments and documentation to clarify code intentions.
- Pin library versions to avoid unexpected behavior due to changes in library releases.
- Experiment with different hyperparameter tuning methods for better model performance.
- Be aware of potential data leakage and avoid it through proper feature selection.</t>
  </si>
  <si>
    <t>## Code Review: Fraud Detection Pipeline
### Summary
The code is functional and follows several good practices (train/test split before SMOTE, reproducible random states), but has several significant issues ranging from data leakage risks to missing validation and production-readiness concerns.
---
### Issue 1: No Feature Preprocessing Pipeline (Critical)
```python
# PROBLEMATIC: Separate steps create data leakage risk and brittle code
smote = SMOTE(random_state=42)
X_train, y_train = smote.fit_resample(X_train, y_train)
model = GradientBoostingClassifier(n_estimators=100, random_state=42)
model.fit(X_train, y_train)
# BETTER: Use a proper pipeline
from sklearn.pipeline import Pipeline
from sklearn.preprocessing import StandardScaler
from imblearn.pipeline import Pipeline as ImbPipeline
pipeline = ImbPipeline([
    ('scaler', StandardScaler()),
    ('smote', SMOTE(random_state=42)),
    ('classifier', GradientBoostingClassifier(n_estimators=100, random_state=42))
])
pipeline.fit(X_train, y_train)
y_pred = pipeline.predict(X_test)
```
**Why it matters:** Without a pipeline, any preprocessing fitted on training data (scalers, encoders) must be manually applied consistently to test data. This is error-prone and a common source of data leakage.
---
### Issue 2: No Handling of Missing Values or Data Validation
```python
# PROBLEMATIC: Silently fails or produces wrong results with NaN values
X = df.drop("is_fraud", axis=1)
y = df["is_fraud"]
# BETTER: Validate data before proceeding
import sys
def validate_data(df: pd.DataFrame) -&gt; None:
    missing = df.isnull().sum()
    if missing.any():
        print("Warning: Missing values detected:")
        print(missing[missing &gt; 0])
        # Decide: raise error, impute, or drop
    if "is_fraud" not in df.columns:
        raise ValueError("Target column 'is_fraud' not found in dataset")
    if df.duplicated().any():
        print(f"Warning: {df.duplicated().sum()} duplicate rows found")
validate_data(df)
```
**Why it matters:** Real-world fraud datasets almost always contain missing values. GradientBoostingClassifier will raise an error with NaNs, but the error message won't explain the root cause clearly.
---
### Issue 3: No Categorical Feature Encoding
```python
# PROBLEMATIC: Will crash if any column contains strings/categoricals
X = df.drop("is_fraud", axis=1)
# BETTER: Explicitly handle mixed data types
from sklearn.compose import ColumnTransformer
from sklearn.preprocessing import StandardScaler, OneHotEncoder
from sklearn.impute import SimpleImputer
categorical_cols = X.select_dtypes(include=['object', 'category']).columns.tolist()
numerical_cols = X.select_dtypes(include=['number']).columns.tolist()
preprocessor = ColumnTransformer(transformers=[
    ('num', Pipeline([
        ('imputer', SimpleImputer(strategy='median')),
        ('scaler', StandardScaler())
    ]), numerical_cols),
    ('cat', Pipeline([
        ('imputer', SimpleImputer(strategy='most_frequent')),
        ('encoder', OneHotEncoder(handle_unknown='ignore'))
    ]), categorical_cols)
])
```
**Why it matters:** Fraud datasets typically include categorical features (merchant category, transaction type). The model will throw a `ValueError` without encoding.
---
### Issue 4: Wrong Evaluation Metric for Fraud Detection
```python
# PROBLEMATIC: classification_report alone is insufficient for fraud detection
print(classification_report(y_test, y_pred))
# BETTER: Use fraud-appropriate metrics
from sklearn.metrics import (
    classification_report,
    roc_auc_score,
    average_precision_score,
    confusion_matrix,
    ConfusionMatrixDisplay
)
import matplotlib.pyplot as plt
y_pred_proba = model.predict_proba(X_test)[:, 1]
print("Classification Report:")
print(classification_report(y_test, y_pred, target_names=['Legitimate', 'Fraud']))
print(f"ROC-AUC Score:              {roc_auc_score(y_test, y_pred_proba):.4f}")
print(f"Average Precision (PR-AUC): {average_precision_score(y_test, y_pred_proba):.4f}")
# Confusion matrix reveals false negative cost (missed fraud)
cm = confusion_matrix(y_test, y_pred)
disp = ConfusionMatrixDisplay(confusion_matrix=cm, display_labels=['Legitimate', 'Fraud'])
disp.plot()
plt.title("Confusion Matrix - Fraud Detection")
plt.show()
```
**Why it matters:** In fraud detection, the cost of a false negative (missed fraud) vastly outweighs a false positive. PR-AUC is especially important for imbalanced datasets.
---
### Issue 5: Default Decision Threshold Is Inappropriate
```python
# PROBLEMATIC: 0.5 threshold ignores class imbalance and business costs
y_pred = model.predict(X_test)  # Uses 0.5 threshold internally
# BETTER: Optimize threshold based on business requirements
import numpy as np
y_pred_proba = model.predict_proba(X_test)[:, 1]
# Option A: Find threshold that maximizes F1 for fraud class
from sklearn.metrics import f1_score
thresholds = np.arange(0.1, 0.9, 0.01)
f1_scores = [
    f1_score(y_test, y_pred_proba &gt;= t, pos_label=1)
    for t in thresholds
]
optimal_threshold = thresholds[np.argmax(f1_scores)]
print(f"Optimal threshold: {optimal_threshold:.2f}")
y_pred_optimized = (y_pred_proba &gt;= optimal_threshold).astype(int)
# Option B: Use cost-sensitive threshold
# If catching fraud is 10x more valuable than avoiding false positives:
cost_threshold = 0.09  # Lower threshold = more sensitive to fraud
y_pred_cost_aware = (y_pred_proba &gt;= cost_threshold).astype(int)
```
**Why it matters:** The 0.5 default threshold is almost never optimal for imbalanced fraud data. A lower threshold catches more fraud at the cost of more false positives — a trade-off that belongs to the business, not the default.
---
### Issue 6: No Cross-Validation
```python
# PROBLEMATIC: Single train/test split gives unreliable performance estimates
X_train, X_test, y_train, y_test = train_test_split(X, y, test_size=0.2, random_state=42)
# BETTER: Use stratified k-fold cross-validation
from sklearn.model_selection import StratifiedKFold, cross_validate
cv = StratifiedKFold(n_splits=5, shuffle=True, random_state=42)
scoring = ['roc_auc', 'average_precision', 'f1']
cv_results = cross_validate(pipeline, X, y, cv=cv, scoring=scoring, n_jobs=-1)
for metric in scoring:
    scores = cv_results[f'test_{metric}']
    print(f"{metric}: {scores.mean():.4f} (+/- {scores.std() * 2:.4f})")
```
**Why it matters:** A single random split may be lucky or unlucky. Cross-validation gives a more reliable estimate of generalization performance.
---
### Issue 7: No Model Persistence or Experiment Tracking
```python
# PROBLEMATIC: Model is lost after script ends, no reproducibility record
model.fit(X_train, y_train)
# BETTER: Save model and log experiment
import joblib
import json
from datetime import datetime
# Save the</t>
  </si>
  <si>
    <t># Code Review: Issues and Bugs
## 1. **No Data Validation or Error Handling** ⚠️
**Issue:** The code doesn't check if the CSV file exists or if required columns are present.
```python
# Missing:
if not os.path.exists("fraud.csv"):
    raise FileNotFoundError("fraud.csv not found")
if "is_fraud" not in df.columns:
    raise ValueError("'is_fraud' column missing")
```
## 2. **No Handling of Missing Values** ⚠️
**Issue:** NaN values in the dataset aren't addressed, which will cause model training to fail silently or produce incorrect results.
```python
# Add:
df = df.dropna()  # or use imputation
X = X.fillna(X.mean())  # for numerical features
```
## 3. **Categorical Variables Not Encoded** ⚠️
**Issue:** If X contains categorical columns, GradientBoostingClassifier will fail (it expects numeric input).
```python
# Add:
from sklearn.preprocessing import LabelEncoder
X = pd.get_dummies(X)  # or use LabelEncoder for categorical columns
```
## 4. **No Feature Scaling** 
**Issue:** While GradientBoosting is tree-based (doesn't strictly require scaling), it's unclear if features are on comparable scales, which could affect performance.
## 5. **SMOTE Applied After Train-Test Split** ❌ (Data Leakage)
**Issue:** SMOTE is only applied to training data, which is correct, but no documentation explains this. However, a more serious issue is that test data might still contain the original class imbalance.
## 6. **No Baseline Comparison** 
**Issue:** There's no dummy/baseline classifier for comparison, making it impossible to judge if results are actually good.
```python
from sklearn.dummy import DummyClassifier
dummy = DummyClassifier(strategy='most_frequent')
dummy.fit(X_train, y_train)
print("Baseline:", dummy.score(X_test, y_test))
```
## 7. **Hyperparameter Tuning Absent**
**Issue:** GradientBoosting hyperparameters are hardcoded without justification. No cross-validation or grid search is performed.
```python
from sklearn.model_selection import GridSearchCV
# Test different parameters
```
## 8. **No Train/Validation Set Split**
**Issue:** Using only train/test split without validation makes it harder to detect overfitting during development.
```python
X_train, X_val, y_train, y_val = train_test_split(X_train, y_train, test_size=0.2, random_state=42)
```
## 9. **Limited Model Evaluation Metrics**
**Issue:** Only `classification_report` is printed. Missing important metrics for imbalanced classification.
```python
from sklearn.metrics import roc_auc_score, confusion_matrix, roc_curve
print(f"ROC-AUC: {roc_auc_score(y_test, model.predict_proba(X_test)[:, 1])}")
print(f"Confusion Matrix:\n{confusion_matrix(y_test, y_pred)}")
```
## 10. **No Feature Importance Analysis**
**Issue:** With fraud detection, understanding which features matter is crucial for interpretability.
```python
import matplotlib.pyplot as plt
plt.barh(X.columns, model.feature_importances_)
plt.show()
```
## 11. **Hard-coded File Path**
**Issue:** No parameterization makes the code inflexible.
```python
# Better:
def train_model(filepath="fraud.csv"):
    df = pd.read_csv(filepath)
```
## 12. **Random State Not Set Everywhere** ⚠️
**Issue:** While `random_state=42` is used in most places, `train_test_split` should also have it (it does, but this is good practice to verify).
---
## Improved Code Example:
```python
import pandas as pd
import numpy as np
from sklearn.model_selection import train_test_split, cross_val_score
from sklearn.ensemble import GradientBoostingClassifier
from sklearn.preprocessing import StandardScaler
from sklearn.metrics import classification_report, roc_auc_score, confusion_matrix
from imblearn.over_sampling import SMOTE
import os
# 1. Validate file exists
if not os.path.exists("fraud.csv"):
    raise FileNotFoundError("fraud.csv not found")
# 2. Load and validate data
df = pd.read_csv("fraud.csv")
if "is_fraud" not in df.columns:
    raise ValueError("'is_fraud' column missing")
# 3. Handle missing values
df = df.dropna()
# 4. Encode categorical variables
df = pd.get_dummies(df, drop_first=True)
X = df.drop("is_fraud", axis=1)
y = df["is_fraud"]
# 5. Split with validation set
X_train, X_test, y_train, y_test = train_test_split(
    X, y, test_size=0.2, random_state=42, stratify=y
)
X_train, X_val, y_train, y_val = train_test_split(
    X_train, y_train, test_size=0.2, random_state=42, stratify=y_train
)
# 6. Apply SMOTE to training data only
smote = SMOTE(random_state=42)
X_train, y_train = smote.fit_resample(X_train, y_train)
# 7. Train model
model = GradientBoostingClassifier(n_estimators=100, random_state=42)
model.fit(X_train, y_train)
# 8. Evaluate
y_pred = model.predict(X_test)
y_pred_proba = model.predict_proba(X_test)[:, 1]
print("Classification Report:\n", classification_report(y_test, y_pred))
print(f"ROC-AUC Score: {roc_auc_score(y_test, y_pred_proba):.4f}")
print(f"Confusion Matrix:\n{confusion_matrix(y_test, y_pred)}")
```</t>
  </si>
  <si>
    <t>This Python code provides a basic machine learning pipeline for a classification task, likely identifying fraud. While it successfully runs, there are several issues, bugs, and bad practices that could lead to sub-optimal model performance, poor robustness, and maintainability problems.
Here's a breakdown of the problems:
---
### Issues, Bugs, and Bad Practices
**1. Data Loading &amp; Initial Setup:**
*   **1.1. Hardcoded Filename:**
    *   **Problem:** The `pd.read_csv("fraud.csv")` line assumes the CSV file `fraud.csv` is always in the same directory as the script. This makes the code less portable and brittle.
    *   **Explanation:** If the file is moved, renamed, or the script is run from a different location, it will throw a `FileNotFoundError`.
    *   **Solution:** Use a configuration variable, command-line argument, or provide a full path. Wrap file operations in `try-except` blocks for graceful error handling.
*   **1.2. No Error Handling for File Not Found:**
    *   **Problem:** If `fraud.csv` does not exist, the script will crash immediately with a `FileNotFoundError`.
    *   **Explanation:** Robust applications should handle expected errors gracefully instead of crashing.
    *   **Solution:** Add a `try-except FileNotFoundError` block around `pd.read_csv()`.
*   **1.3. Assumed Column Name for Target Variable:**
    *   **Problem:** `df.drop("is_fraud", axis=1)` and `df["is_fraud"]` explicitly assume the target column is named "is_fraud".
    *   **Explanation:** If the column name changes (e.g., "Fraud", "target", "label"), the script will raise a `KeyError`.
    *   **Solution:** Define the target column name as a variable at the top or in a configuration. Perform a check (e.g., `if "is_fraud" not in df.columns:`) before attempting to access it.
*   **1.4. No Handling for Non-Numeric/Categorical Features:**
    *   **Problem:** The code directly uses all columns except "is_fraud" as features (`X = df.drop("is_fraud", axis=1)`).
    *   **Explanation:** Gradient Boosting Classifiers (and most ML models) expect numeric input. If `fraud.csv` contains categorical columns (e.g., 'transaction_type', 'merchant_id'), they need to be encoded (e.g., One-Hot Encoding, Label Encoding) before training. Not doing so will either raise an error (`ValueError`) or, worse, silently treat string categories as numbers if pandas/sklearn makes an assumption, leading to incorrect model behavior.
    *   **Solution:** Inspect `df.info()` or `df.select_dtypes(include='object').columns` to identify categorical features and apply appropriate encoding techniques (e.g., `pd.get_dummies` or `sklearn.preprocessing.OneHotEncoder`).
*   **1.5. Lack of Initial Data Exploration/Validation:**
    *   **Problem:** No checks are performed on the loaded data (e.g., missing values, data types, distribution of features).
    *   **Explanation:** Skipping initial data exploration can hide issues like `NaN` values, incorrect data types, or outliers that can negatively impact model training and performance.
    *   **Solution:** Add lines to print `df.head()`, `df.info()`, `df.describe()`, `df.isnull().sum()`, and check the balance of the target variable (`y.value_counts()`) before splitting the data.
**2. Data Preprocessing (SMOTE):**
*   **2.1. Implicit Assumption of Imbalance:**
    *   **Problem:** SMOTE is applied without explicitly checking the class distribution of `y_train`.
    *   **Explanation:** While "fraud" datasets are typically imbalanced, it's good practice to verify this. Applying SMOTE to a balanced dataset is unnecessary and could introduce noise.
    *   **Solution:** Add `y_train.value_counts()` or similar before applying SMOTE to confirm the need for oversampling.
*   **2.2. SMOTE Not Part of a Pipeline (for future robustness):**
    *   **Problem:** SMOTE is applied directly to `X_train` and `y_train`. If a cross-validation strategy were to be implemented later, applying SMOTE outside a pipeline would lead to data leakage across folds (SMOTE would learn from data that will later be in a validation fold).
    *   **Explanation:** For robust evaluation, especially with resampling techniques, these steps should be encapsulated within a `Pipeline` object to ensure they are applied correctly within each cross-validation fold. For a simple train/test split, this is less critical, but good practice for extensibility.
    *   **Solution:** Integrate SMOTE into a `Pipeline` using `imblearn.pipeline.Pipeline` or `sklearn.pipeline.Pipeline` if `SMOTE` is part of a `ColumnTransformer`.
**3. Model Training &amp; Hyperparameters:**
*   **3.1. No Hyperparameter Tuning:**
    *   **Problem:** The `GradientBoostingClassifier` is initialized with default `n_estimators=100` and other default parameters.
    *   **Explanation:** The performance of a machine learning model is highly dependent on its hyperparameters. Arbitrary defaults are rarely optimal for a given dataset.
    *   **Solution:** Implement hyperparameter tuning using techniques like `GridSearchCV` or `RandomizedSearchCV` from `sklearn.model_selection` to find the best set of parameters for the `GradientBoostingClassifier`. This should ideally be done within a cross-validation loop.
*   **3.2. Lack of Cross-Validation:**
    *   **Problem:** The model is trained and evaluated on a single train-test split.
    *   **Explanation:** A single split can lead to an unstable estimate of the model's performance. The results might be highly dependent on how the data was split.
    *   **Solution:** Use k-fold cross-validation (`KFold`, `StratifiedKFold`) to get a more robust and reliable estimate of the model's performance. This also integrates well with hyperparameter tuning.
**4. Model Evaluation:**
*   **4.1. Sole Reliance on `classification_report` with Default Threshold:**
    *   **Problem:** `classification_report` is good, but for imbalanced datasets like fraud detection, it presents metrics (precision, recall, f1-score) based on a default decision threshold (usually 0.5 for `predict`).
    *   **Explanation:** In fraud detection, recall (identifying all actual frauds) for the minority class (fraud) is often more critical than precision. A single report doesn't show how the model performs across different thresholds. Metrics like ROC AUC, Precision-Recall AUC, and detailed confusion matrices are more informative for imbalanced classification.
    *   **Solution:**
        *   Calculate and print a full Confusion Matrix.
        *   Plot ROC curves and calculate ROC AUC.
        *   Plot Precision-Recall curves and calculate PR AUC, especially relevant for highly imbalanced data.
        *   Consider adjusting the decision threshold for prediction based on business requirements.
*   **4.2. No Saving/Logging of Results:**
    *   **Problem:** The `classification_report` is only printed to the console.
    *   **Explanation:** For reproducibility, tracking experiments, or integration into larger systems, results should be saved (e.g., to a file, database, or a logging system like MLflow).
    *   **Solution:** Save the classification report or its components to a text file, JSON, or integrate with an experiment tracking tool.
**5. General Best Practices:**
*   **5.1. Lack of Comments and Docstrings:**
    *   **Problem:** The code has no comments explaining the purpose of different sections or complex logic.
    *   **Explanation:** This makes the code harder to understand, maintain, and debug for others (and your future self).
    *   **Solution:** Add comments to explain non-obvious parts and docstrings to functions/classes if this were part of a larger module.
*   **5.2. No `if __name__ == "__main__":` block:**
    *   **Problem:** The script runs all code directly upon import.
    *   **Explanation:** While not a critical bug in a small standalone script, it's good practice to wrap the main execution logic in an `if __name__ == "__main__":` block. This prevents the code from running automatically if the file is imported as a module into another script.
    *   **Solution:** Encapsulate the main logic within a function (e.g., `main()`) and call it inside `if __name__ == "__main__":`.
*   **5.3. Reproducibility Beyond `random_state`:**
    *   **Problem:** While `random_state` is set for `train_test_split`, `SMOTE`, and `GradientBoostingClassifier`, true end-to-end reproducibility also depends on package versions and environment setup.
    *   **Explanation:** Different versions of libraries can produce slightly different results.
    *   **Solution:** Use a `requirements.txt` file or tools like Poetry/Conda to manage dependencies and ensure consistent environments.
---
### Example of Improved Structure (Conceptual)
```python
import pandas as pd
from sklearn.model_selection import train_test_split, GridSearchCV, StratifiedKFold
from sklearn.ensemble import GradientBoostingClassifier
from sklearn.metrics import classification_report, confusion_matrix, roc_auc_score, precision_recall_curve, auc
from imblearn.over_sampling import SMOTE
from imblearn.pipeline import Pipeline as ImbPipeline # Use imblearn's pipeline for SMOTE
import matplotlib.pyplot as plt
import seaborn as sns
import logging # For better output management
# Configure logging
logging.basicConfig(level=logging.INFO, format='%(asctime)s - %(levelname)s - %(message)s')
def load_data(filepath, target_column):
    """Loads data from a CSV file and performs initial validation."""
    try:
        df = pd.read_csv(filepath)
        logging.info(f"Successfully loaded data from {filepath}")
    except FileNotFoundError:
        logging.error(f"Error: The file '{filepath}' was not found.")
        raise
    except Exception as e:
        logging.error(f"An error occurred while loading the file: {e}")
        raise
    if target_column not in df.columns:
        logging.error(f"Error: Target column '{target_column}' not found in the DataFrame.")
        raise KeyError(f"Target column '{target_column}' not found.")
    # Basic data exploration
    logging.info("DataFrame Info:")
    df.info()
    logging.info("Missing values per column:\n" + str(df.isnull().sum()))
    return df
def preprocess_features(df, target_column):
    """Separates features and target, handles categorical features."""
    X = df.drop(target_column, axis=1)
    y = df[target_column]
    # Identify and preprocess categorical features
    categorical_cols = X.select_dtypes(include=['object', 'category']).columns
    if not categorical_cols.empty:
        logging.info(f"Encoding categorical features: {list(categorical_cols)}")
        X = pd.get_dummies(X, columns=categorical_cols, drop_first=True) # One-hot encode
    else:
        logging.info("No categorical features found for encoding.")
    # Check for remaining non-numeric columns after encoding
    non_numeric_cols = X.select_dtypes(exclude=['number']).columns
    if not non_numeric_cols.empty:
        logging.warning(f"Warning: Non-numeric columns remaining after preprocessing: {list(non_numeric_cols)}. These will be dropped.")
        X = X.drop(columns=non_numeric_cols)
    return X, y
def train_and_evaluate_model(X, y, random_seed=42):
    """Trains a Gradient Boosting Classifier with SMOTE and evaluates it."""
    logging.info("Starting model training and evaluation process.")
    # Check class imbalance
    logging.info(f"Original target variable distribution:\n{y.value_counts()}")
    if y.value_counts().min() / y.value_counts().max() &lt; 0.2: # Example threshold for imbalance
        logging.warning("Detected significant class imbalance. SMOTE will be applied.")
    else:
        logging.info("Class distribution appears balanced enough; SMOTE might not be strictly necessary.")
    # Split data
    X_train, X_test, y_train, y_test = train_test_split(
        X, y, test_size=0.2, random_state=random_seed, stratify=y # Stratify for imbalanced data
    )
    logging.info(f"Train set shape: {X_train.shape}, Test set shape: {X_test.shape}")
    logging.info(f"Train target distribution:\n{y_train.value_counts()}")
    logging.info(f"Test target distribution:\n{y_test.value_counts()}")
    # Create a pipeline for preprocessing and model training
    # This ensures SMOTE is applied only to the training data within each CV fold
    pipeline = ImbPipeline([
        ('smote', SMOTE(random_state=random_seed)),
        ('classifier', GradientBoostingClassifier(random_state=random_seed))
    ])
    # Hyperparameter tuning with Cross-Validation
    param_grid = {
        'classifier__n_estimators': [50, 100, 200],
        'classifier__learning_rate': [0.01, 0.1, 0.2],
        'classifier__max_depth': [3, 5, 7]
    }
    # Use StratifiedKFold for cross-validation with imbalanced data
    cv = StratifiedKFold(n_splits=5, shuffle=True, random_state=random_seed)
    logging.info("Performing GridSearchCV for hyperparameter tuning...")
    grid_search = GridSearchCV(pipeline, param_grid, cv=cv, scoring='f1', n_jobs=-1, verbose=1)
    grid_search.fit(X_train, y_train)
    best_model = grid_search.best_estimator_
    logging.info(f"Best hyperparameters found: {grid_search.best_params_}")
    logging.info(f"Best cross-validation F1-score: {grid_search.best_score_:.4f}")
    # Evaluate on the test set
    y_pred = best_model.predict(X_test)
    y_pred_proba = best_model.predict_proba(X_test)[:, 1] # Probability of the positive class
    logging.info("\n--- Model Evaluation on Test Set ---")
    # Classification Report
    report = classification_report(y_test, y_pred, target_names=['Not Fraud', 'Fraud'])
    logging.info(f"\nClassification Report:\n{report}")
    # Confusion Matrix
    cm = confusion_matrix(y_test, y_pred)
    logging.info(f"\nConfusion Matrix:\n{cm}")
    # Plotting confusion matrix for better visualization
    plt.figure(figsize=(6, 5))
    sns.heatmap(cm, annot=True, fmt='d', cmap='Blues', xticklabels=['Predicted Not Fraud', 'Predicted Fraud'], yticklabels=['Actual Not Fraud', 'Actual Fraud'])
    plt.title('Confusion Matrix')
    plt.ylabel('Actual Label')
    plt.xlabel('Predicted Label')
    plt.savefig('confusion_matrix.png')
    plt.close()
    logging.info("Saved confusion matrix as 'confusion_matrix.png'")
    # AUC-ROC Score
    roc_auc = roc_auc_score(y_test, y_pred_proba)
    logging.info(f"ROC AUC Score: {roc_auc:.4f}")
    # Precision-Recall AUC (often more informative for imbalanced data)
    precision, recall, _ = precision_recall_curve(y_test, y_pred_proba)
    pr_auc = auc(recall, precision)
    logging.info(f"Precision-Recall AUC Score: {pr_auc:.4f}")
    # Plotting PR Curve
    plt.figure(figsize=(8, 6))
    plt.plot(recall, precision, label=f'Precision-Recall curve (AUC = {pr_auc:.2f})')
    plt.xlabel('Recall')
    plt.ylabel('Precision')
    plt.title('Precision-Recall Curve')
    plt.legend(loc="lower left")
    plt.grid(True)
    plt.savefig('precision_recall_curve.png')
    plt.close()
    logging.info("Saved Precision-Recall curve as 'precision_recall_curve.png'")
    return best_model, report, cm, roc_auc, pr_auc
if __name__ == "__main__":
    CSV_FILE_PATH = "fraud.csv" # Configuration variable
    TARGET_COLUMN_NAME = "is_fraud"
    RANDOM_STATE = 42
    try:
        df = load_data(CSV_FILE_PATH, TARGET_COLUMN_NAME)
        X, y = preprocess_features(df, TARGET_COLUMN_NAME)
        # Ensure consistent column order for X
        # This is especially important if you save/load models or use multiple feature sets
        # For this simple script, it's less critical, but good practice.
        X_cols = X.columns.tolist() 
        model, report, cm, roc_auc, pr_auc = train_and_evaluate_model(X, y, RANDOM_STATE)
        # Save key results
        with open("model_evaluation_report.txt", "w") as f:
            f.write("--- Model Evaluation Summary ---\n")
            f.write(f"ROC AUC: {roc_auc:.4f}\n")
            f.write(f"PR AUC: {pr_auc:.4f}\n")
            f.write("\nClassification Report:\n")
            f.write(report)
            f.write("\nConfusion Matrix:\n")
            f.write(str(cm))
        logging.info("Saved model evaluation summary to 'model_evaluation_report.txt'")
    except Exception as e:
        logging.critical(f"Script terminated due to an unhandled error: {e}")
```</t>
  </si>
  <si>
    <t>The provided code appears to be free of data leakage related to the direct sharing of information between the test set and the training process. However, it is important to thoroughly analyze it for potential indirect forms of leakage. Let's go through the code step by step:
1. **Data Splitting:** The dataset is split into training and testing sets with `train_test_split` before any preprocessing or resampling, ensuring a clear separation between training and test data. This is a good practice and prevents any direct data leakage.
2. **SMOTE Application:** SMOTE (Synthetic Minority Over-sampling Technique) is applied to the training set only (`X_train`, `y_train`). This is appropriate because you want to address class imbalance only in the training data to help the model learn. The test set remains untouched until the evaluation phase, which helps in maintaining the integrity of the test set as an independent evaluation metric.
3. **Model Training:** The `GradientBoostingClassifier` is trained using only the resampled training data (`X_train`, `y_train`), without any exposure to the test data during fitting.
4. **Model Evaluation:** The prediction and evaluation are conducted on `X_test` and `y_test`, both of which were completely held out during the training phase.
From this assessment, there seems to be no data leakage in this pipeline. The operations that could potentially lead to leakage, such as data transformation or resampling, are correctly applied only to the training data before the model is fitted. Therefore, the code does not exhibit any obvious data leakage.
However, a couple of typical areas where data leakage could occur, but are not present in this code, include:
- Feature Engineering: Creating features based on the entire dataset before splitting into train and test sets.
- Target Encoding: Encoding features using information from the target variable.
Since neither is present in the analysis, the code is clean with respect to data leakage concerns.</t>
  </si>
  <si>
    <t>Upon reviewing the provided machine learning pipeline code, I can confirm that it does not contain any direct forms of data leakage. Here’s the reasoning:
1. **Data Splitting**: The dataset is split into training and testing sets using `train_test_split` before any preprocessing or resampling methods. This means that the test set is entirely independent of the training set during the training process, which helps prevent data leakage.
2. **SMOTE Application**: The Synthetic Minority Over-sampling Technique (SMOTE) is applied only to the training set. It is important to note that the `fit_resample` method is called after the data has been split into training and testing sets, which ensures that no information from the test set is used to generate synthetic samples in the training set. If SMOTE were applied to the entire dataset before the split, it would have led to data leakage, as synthetic samples could resemble examples from the test set.
3. **Feature Engineering**: The code does not demonstrate any feature engineering that incorporates future knowledge or information about the target variable (e.g., using data from the test set in a way that would not be available at inference).
That said, while the provided code does not exhibit data leakage, there are potential considerations to keep in mind:
- **Feature Information Leakage**: Ensure that none of the features in `X` are derived from or correlated to the target variable `y` in a way that wouldn't be available at the time of prediction. For example, using variables that change after the occurrence of the event (target) could lead to indirect leakage.
- **Preprocessing**: If this pipeline includes additional preprocessing steps not shown here (e.g., normalization or encoding), those steps should also be applied only to the training set initially, with appropriate transformations applied to the test set afterward using the parameters learned from the training set.
To summarize, based on the provided code, it is free of data leakage as long as the dataset and features adhere to the aforementioned considerations about target encoding and preprocessing.</t>
  </si>
  <si>
    <t>## Data Leakage Analysis
### Verdict: **No Data Leakage Detected**
This pipeline is correctly structured. Here's a systematic breakdown of why:
---
### What the Code Does Right
#### 1. Train/Test Split Occurs Before SMOTE
```python
# Split FIRST
X_train, X_test, y_train, y_test = train_test_split(
    X, y, test_size=0.2, random_state=42
)
# Then apply SMOTE only to training data
smote = SMOTE(random_state=42)
X_train, y_train = smote.fit_resample(X_train, y_train)  # ✅ train only
```
SMOTE synthesizes new samples by interpolating between existing **training** examples. Since it never sees `X_test` or `y_test`, no test-set information contaminates the training process.
#### 2. Model Trained Only on Training Data
```python
model.fit(X_train, y_train)  # ✅ train only
```
The model has no exposure to test samples during fitting.
#### 3. Evaluation Uses Held-Out Data
```python
y_pred = model.predict(X_test)
print(classification_report(y_test, y_pred))  # ✅ test only
```
The test set is used exclusively for final evaluation.
---
### Common Leakage Mistakes This Code Avoids
| Mistake | Would Look Like | Present Here? |
|---|---|---|
| SMOTE before split | `smote.fit_resample(X, y)` then split | ❌ No |
| Scaler fit on all data | `scaler.fit(X)` then split | ❌ No |
| Target encoding leak | Encoding using full dataset stats | ❌ No |
| Model trained on test data | `model.fit(X, y)` | ❌ No |
---
### Caveats to Be Aware Of
While there is **no leakage**, note these separate considerations:
1. **No feature scaling visible** — If the raw CSV contains features needing normalization (e.g., transaction amounts), a `StandardScaler` should be fit only on `X_train` and then applied to both sets. Whether this is missing depends on the data.
2. **No preprocessing pipeline** — For production robustness, wrapping steps in an `sklearn.pipeline.Pipeline` would make the correct ordering structurally enforced rather than relying on code order.
```python
# More robust production pattern
from sklearn.pipeline import Pipeline
from sklearn.preprocessing import StandardScaler
# Note: SMOTE requires imblearn's Pipeline
from imblearn.pipeline import Pipeline as ImbPipeline
pipeline = ImbPipeline([
    ('scaler', StandardScaler()),
    ('smote', SMOTE(random_state=42)),
    ('model', GradientBoostingClassifier(n_estimators=100, random_state=42))
])
pipeline.fit(X_train, y_train)
```
This enforces correct ordering and prevents accidental leakage during future modifications.
---
### Summary
The code follows the correct order: **split → resample → train → evaluate**. There is no data leakage.</t>
  </si>
  <si>
    <t># Data Leakage Review
**VERDICT: This code is FREE of data leakage.**
## Analysis
The pipeline correctly implements the proper sequence for handling class imbalance:
1. ✅ **Train-test split happens first** — The data is split before any preprocessing
2. ✅ **SMOTE is fit only on training data** — `smote.fit_resample()` is called exclusively on `X_train` and `y_train`
3. ✅ **Model is trained only on resampled training data** — The model never sees `X_test`
4. ✅ **Evaluation uses original test distribution** — Predictions are made on unmodified `X_test`
## Why This Avoids Leakage
The critical distinction in this code is that **SMOTE is applied only to the training set**. This means:
- The synthetic samples generated by SMOTE are created based solely on patterns in the training data
- The test set remains representative of the original class distribution
- No information about test samples influences the resampling strategy
## What Would Be Leakage
If SMOTE were applied *before* the train-test split:
```python
# ❌ WRONG - causes leakage
smote = SMOTE(random_state=42)
X_resampled, y_resampled = smote.fit_resample(X, y)  # Applied to full data!
X_train, X_test, y_train, y_test = train_test_split(X_resampled, y_resampled, ...)
```
This would be problematic because test set statistics would influence SMOTE's neighbor selection, inflating performance metrics.
**The code as written is a best-practice implementation.**</t>
  </si>
  <si>
    <t>Upon reviewing the provided Python machine learning pipeline code, I can state that **the code is largely free of data leakage as implemented, assuming the input features in `fraud.csv` (excluding `is_fraud`) do not inherently contain information about the target that would not be available at prediction time.**
Let's break down the analysis:
1.  **Train-Test Split:**
    *   The first critical step, `train_test_split(X, y, test_size=0.2, random_state=42)`, is performed correctly *at the very beginning* of the pipeline. This ensures that the training data and testing data are strictly separated before any further processing or model training occurs. This prevents information from the test set from directly influencing the training process.
2.  **SMOTE (Oversampling):**
    *   The `SMOTE` operation (`smote.fit_resample(X_train, y_train)`) is applied *only* to the training data (`X_train`, `y_train`) *after* the train-test split.
    *   **Why this is crucial:** If SMOTE were applied to the entire dataset (`X`, `y`) *before* the train-test split, then synthetic samples generated would be based on information from both the future training and test sets. This would lead to synthetic samples (and thus training) that have "seen" characteristics of the test set's minority class, resulting in an overly optimistic evaluation of the model's performance on unseen data. By applying SMOTE only to the training set, this form of leakage is avoided.
3.  **Model Training:**
    *   The `GradientBoostingClassifier` is fit *only* on the processed training data (`X_train`, `y_train`). The test data is not used in the `model.fit()` step.
4.  **Prediction and Evaluation:**
    *   Predictions are made on `X_test`, and the evaluation (`classification_report`) is performed using `y_test` and `y_pred`. This is the correct way to assess the model's generalization performance on unseen data.
**Potential Area of Concern (Not Directly Introduced by This Code):**
While the provided *pipeline code itself* correctly handles data separation and preprocessing to prevent leakage, there's a point regarding the features in the original `fraud.csv` that needs consideration, as per your prompt: "whether any features encode information about the target that would not be available at prediction time."
*   **Implicit Feature Leakage:** This type of leakage occurs when a feature in the dataset is actually a proxy for the target variable or contains information that would only be known *after* the target variable has been determined in a real-world scenario.
    *   **Example:** If `fraud.csv` had a feature like `transaction_status` with values like "approved" and "declined_due_to_fraud," and `is_fraud` was `1` when `transaction_status` was "declined_due_to_fraud," then `transaction_status` would be an obvious leakage feature. At the time you're *predicting* fraud, you wouldn't know the final status yet.
    *   **Why it's not the code's fault:** The code assumes `X` is already properly constructed with features available at prediction time. The Python script does not create new features that could introduce this kind of leakage (e.g., it doesn't perform target encoding on the full dataset).
    *   **To check for this:** You would need to examine the schema and definitions of all columns in `fraud.csv` (other than `is_fraud`) and ensure that each feature would genuinely be known *before* the fraudulent nature of the transaction is determined.
**Conclusion:**
The Python code as provided correctly implements the machine learning pipeline steps to prevent data leakage from the test set into the training process, specifically in how it handles the train-test split and the application of SMOTE.
**The code is free of data leakage stemming from its algorithmic steps and data flow.**
However, it's always critical to ensure that the initial dataset (`fraud.csv`) itself does not contain features that leak information about the target due to their very nature or definition (i.e., information that wouldn't genuinely be available at the time a real-world prediction needs to be made). This aspect is beyond what can be determined solely from the Python code snippets provided, as it depends on the data source's characteristics.</t>
  </si>
  <si>
    <t>This code is generally well-structured, but there are a few issues and areas for improvement:
1. **Handling Missing Values**:
   - There is no check for missing values in the dataset. Functions used such as `pd.to_datetime`, and the model training process can break or yield incorrect results in the presence of NaNs. Ensuring that there are no missing values in both features and target is crucial:
     ```python
     if df.isnull().sum().sum() &gt; 0:
         print("Warning: Missing values present in the dataset.")
         # Decide whether to drop or impute missing values
     ```
2. **Data Leakage**:
   - The dataset is time series data (stock prices), so splitting the data into training and test sets needs to respect the temporal ordering. `train_test_split` randomly shuffles the data, which leads to data leakage in time series data. Instead, use a time-based split:
     ```python
     train_size = int(len(df) * 0.8)
     train_df = df[:train_size]
     test_df = df[train_size:]
     X_train, X_test = train_df[features], test_df[features]
     y_train, y_test = train_df["close"], test_df["close"]
     ```
3. **Feature Selection/Augmentation**:
   - Ensure the feature `moving_avg_7` is correctly calculated and does not cause look-ahead bias in a real-time scenario (i.e., it should only use past and not future values).
4. **Model Parameter Tuning**:
   - The `RandomForestRegressor` is using default hyperparameters like `n_estimators=100`, which may not be optimal. Consider hyperparameter tuning with techniques like cross-validation or grid search.
5. **Error Handling**:
   - Include error handling mechanisms such as try-except blocks especially around file reading operations and model fitting to robustly manage exceptions e.g., file not found, or data format errors.
     ```python
     try:
         df = pd.read_csv("stock_prices.csv")
     except FileNotFoundError:
         print("Error: The file 'stock_prices.csv' does not exist.")
         raise
     ```
6. **Verbose Outputs for Better Insights**:
   - Currently, the code only prints the mean absolute error. Including additional metrics or logging more information about the model's performance (like R^2 score, MSE) can provide deeper insights during evaluation.
7. **Documentation and Comments**:
   - Including comments to explain each step can make code more understandable for others, especially colleagues or future maintainers. For example:
     ```python
     # Load the dataset and sort by date for time series analysis
     df = pd.read_csv("stock_prices.csv")
     ```
By addressing these points, the robustness and reliability of the script can be significantly improved, especially when dealing with real-world data and analytic scenarios.</t>
  </si>
  <si>
    <t>The provided Python code appears to implement a machine learning workflow for predicting stock prices using a Random Forest Regressor. While the code is mostly correct, there are several issues, potential bugs, and bad practices that can be identified. Here’s a review of these points:
1. **Lack of Data Validation/Preprocessing**: 
   - **Issue**: The code reads a CSV file without checking for missing values or data validity.
   - **Explanation**: Data often contains missing values or outliers that could skew results. Before proceeding with modeling, it's crucial to validate and preprocess the data, such as handling missing values and ensuring that all values in the required columns are numeric.
   ```python
   if df.isnull().values.any():
       raise ValueError("Data contains missing values. Please handle them before proceeding.")
   ```
2. **Assumption of Feature Engineering**:
   - **Issue**: The code directly uses "moving_avg_7" as a feature without showing how it's computed or verifying that it exists.
   - **Explanation**: If "moving_avg_7" is not calculated or has not been derived from existing columns, it will raise a KeyError. It’s advisable to ensure that all features used in the model are properly defined before fitting the model.
   ```python
   if 'moving_avg_7' not in df.columns:
       raise ValueError("'moving_avg_7' must be computed before fitting the model.")
   ```
3. **No feature scaling**:
   - **Issue**: The features such as "volume" might have different scales compared to the price-related features ("open," "high," "low," "close").
   - **Explanation**: In regression problems, especially with tree-based models, feature scaling is generally less important. However, it is still a good practice to be aware of the ranges and distributions of all features and to transform them accordingly if needed.
4. **No Error Handling During File Reading**:
   - **Issue**: The code does not handle potential errors while reading the CSV file.
   - **Explanation**: If "stock_prices.csv" does not exist or is formatted incorrectly, the program will raise an unhandled exception. Using a try-except block can provide a user-friendly error message.
   ```python
   try:
       df = pd.read_csv("stock_prices.csv")
   except FileNotFoundError:
       raise FileNotFoundError("The file 'stock_prices.csv' was not found.")
   ```
5. **Hardcoded File Path**:
   - **Issue**: The file path for reading the CSV is hardcoded.
   - **Explanation**: This practice reduces the flexibility of the code, especially if the code is moved to different environments or needs to be run with different datasets. Consider using a command-line argument or a configuration file to specify the dataset path.
6. **Model Evaluation**: 
   - **Issue**: The code only computes Mean Absolute Error (MAE) for evaluation.
   - **Explanation**: While MAE is a useful metric, it’s generally advisable to compute multiple metrics (such as Mean Squared Error, R-squared, etc.) to get a more comprehensive understanding of the model’s performance.
   ```python
   from sklearn.metrics import mean_squared_error, r2_score
   print(f"MAE: {mean_absolute_error(y_test, y_pred):.4f}")
   print(f"MSE: {mean_squared_error(y_test, y_pred):.4f}")
   print(f"R²: {r2_score(y_test, y_pred):.4f}")
   ```
7. **Lack of Model Persistence**:
   - **Issue**: The trained model is not saved for later use.
   - **Explanation**: Once trained, it may be beneficial to persist the model (using libraries like `joblib` or `pickle`) for future predictions without needing to retrain it each time.
   ```python
   import joblib
   joblib.dump(model, 'random_forest_model.pkl')
   ```
8. **Inappropriate Variable Names**:
   - **Issue**: The variable names could be more descriptive.
   - **Explanation**: While `X` and `y` are conventional, using more descriptive names such as `features` and `target` can improve code readability.
Considering these points will lead to a more robust, maintainable, and user-friendly codebase.</t>
  </si>
  <si>
    <t>## Code Review: Stock Price Prediction with Random Forest
### Critical Issues
#### 1. Temporal Data Leakage (Most Severe)
```python
# PROBLEM: random_state shuffles time-series data randomly
X_train, X_test, y_train, y_test = train_test_split(
    X, y, test_size=0.2, random_state=42  # shuffles temporal order
)
# FIX: Preserve chronological order for time-series data
split_index = int(len(X) * 0.8)
X_train, X_test = X.iloc[:split_index], X.iloc[split_index:]
y_train, y_test = y.iloc[:split_index], y.iloc[split_index:]
```
Random shuffling means the model trains on future data to predict the past, producing artificially inflated performance metrics that won't reflect real-world behavior.
---
#### 2. Feature Leakage in Predictors
```python
# PROBLEM: "high", "low", and "open" are same-day values
# You cannot know the day's high/low before the day ends
features = ["open", "high", "low", "volume", "moving_avg_7"]
# FIX: Use only information available BEFORE the trading day ends
# If predicting closing price, shift same-day features
features = ["open", "volume"]  # known before close
# Or use previous day's values
df["prev_high"] = df["high"].shift(1)
df["prev_low"] = df["low"].shift(1)
df["prev_close"] = df["close"].shift(1)
features = ["open", "volume", "prev_high", "prev_low", "prev_close", "moving_avg_7"]
```
---
#### 3. Moving Average Leakage
```python
# PROBLEM: moving_avg_7 likely includes the current day's close price
# If computed as: df["moving_avg_7"] = df["close"].rolling(7).mean()
# this partially incorporates the target variable
# FIX: Shift the moving average by one period
df["moving_avg_7"] = df["close"].rolling(7).mean().shift(1)
```
---
### Significant Issues
#### 4. No Missing Value Handling
```python
# PROBLEM: No checks for NaN values, which are certain after using .shift()
# and common in financial data (market holidays, gaps)
print(X.isnull().sum())  # Always check this
# FIX: Handle missing values explicitly
df = df.dropna(subset=features + ["close"])
# OR
df[features] = df[features].fillna(method="ffill")  # forward fill for time series
```
---
#### 5. No Feature Scaling Documentation / Consideration
```python
# PROBLEM: While RandomForest doesn't require scaling,
# volume values (in millions) vs price values (tens/hundreds)
# can cause issues if you ever switch models.
# Good practice to note this explicitly or build a pipeline.
from sklearn.pipeline import Pipeline
from sklearn.preprocessing import StandardScaler
# Even if not needed now, a pipeline makes future changes safer
pipeline = Pipeline([
    ("scaler", StandardScaler()),  # no-op can be removed for RF
    ("model", RandomForestRegressor(n_estimators=100, random_state=42))
])
```
---
#### 6. No Data Validation After Loading
```python
# PROBLEM: Silent failures if CSV has unexpected structure
df = pd.read_csv("stock_prices.csv")
# FIX: Validate immediately after loading
assert all(col in df.columns for col in features + ["close", "date"]), \
    "Missing required columns"
print(df.dtypes)
print(df.describe())
print(f"Date range: {df['date'].min()} to {df['date'].max()}")
print(f"Rows: {len(df)}, Missing values:\n{df.isnull().sum()}")
```
---
### Minor Issues
#### 7. Single Metric Evaluation
```python
# PROBLEM: MAE alone is insufficient for financial prediction assessment
from sklearn.metrics import mean_absolute_error, mean_squared_error, r2_score
import numpy as np
mae = mean_absolute_error(y_test, y_pred)
rmse = np.sqrt(mean_squared_error(y_test, y_pred))
r2 = r2_score(y_test, y_pred)
# Financial-specific metrics
mape = np.mean(np.abs((y_test - y_pred) / y_test)) * 100
print(f"MAE:  {mae:.4f}")
print(f"RMSE: {rmse:.4f}")
print(f"R²:   {r2:.4f}")
print(f"MAPE: {mape:.2f}%")
```
---
#### 8. No Model Persistence or Reproducibility Infrastructure
```python
# PROBLEM: Model is trained but never saved; results aren't logged
import joblib
import logging
logging.basicConfig(level=logging.INFO)
logger = logging.getLogger(__name__)
joblib.dump(model, "random_forest_stock_model.pkl")
logger.info(f"Model trained on {len(X_train)} samples, tested on {len(X_test)}")
```
---
### Summary Table
| Issue | Severity | Category |
|-------|----------|----------|
| Random train/test split on time-series | 🔴 Critical | Data Leakage |
| Same-day high/low as features | 🔴 Critical | Data Leakage |
| Moving average includes current close | 🔴 Critical | Data Leakage |
| No missing value handling | 🟠 High | Robustness |
| No data validation | 🟠 High | Robustness |
| Single evaluation metric | 🟡 Medium | Evaluation |
| No pipeline structure | 🟡 Medium | Maintainability |
| No model persistence | 🟢 Low | Practicality |
The three **critical leakage issues** mean the reported MAE is almost certainly **unrealistically optimistic** and the model would perform significantly worse in live trading.</t>
  </si>
  <si>
    <t># Code Review: Issues and Problems
## 1. **Data Leakage (Critical)**
```python
df = df.sort_values("date")
X_train, X_test, y_train, y_test = train_test_split(X, y, test_size=0.2, random_state=42)
```
**Problem:** After sorting by date, `train_test_split()` randomly shuffles the data. This breaks temporal ordering and causes **data leakage** — future information bleeds into training data. For time-series data, you should split sequentially.
**Fix:**
```python
split_idx = int(len(df) * 0.8)
X_train, X_test = X[:split_idx], X[split_idx:]
y_train, y_test = y[:split_idx], y[split_idx:]
```
---
## 2. **Missing Data Validation**
```python
X = df[features]
y = df["close"]
```
**Problem:** No checks for:
- Missing values (NaN) in features or target
- Features that don't exist in the CSV
- Mismatched dimensions or data type issues
**Fix:**
```python
if X.isnull().any().any() or y.isnull().any():
    raise ValueError("Dataset contains missing values")
if not all(col in df.columns for col in features):
    raise ValueError("Missing required columns")
```
---
## 3. **Feature Engineering Issue**
```python
features = ["open", "high", "low", "volume", "moving_avg_7"]
```
**Problem:** `moving_avg_7` is a derived feature that depends on historical data. When using it with shuffled train/test split, you're using future data to compute past moving averages (lookahead bias).
---
## 4. **No Error Handling**
```python
df = pd.read_csv("stock_prices.csv")
```
**Problem:** If the file doesn't exist or is malformed, the script crashes silently.
**Fix:**
```python
try:
    df = pd.read_csv("stock_prices.csv")
except FileNotFoundError:
    print("Error: stock_prices.csv not found")
    exit(1)
except pd.errors.ParserError:
    print("Error: Invalid CSV format")
    exit(1)
```
---
## 5. **Insufficient Model Evaluation**
```python
print(f"MAE: {mean_absolute_error(y_test, y_pred):.4f}")
```
**Problem:** Only using MAE is insufficient. Should evaluate:
- Multiple metrics (RMSE, R², MAPE)
- Cross-validation scores
- Training vs. test performance (detect overfitting)
**Fix:**
```python
from sklearn.metrics import mean_squared_error, r2_score
mae = mean_absolute_error(y_test, y_pred)
rmse = mean_squared_error(y_test, y_pred, squared=False)
r2 = r2_score(y_test, y_pred)
print(f"MAE: {mae:.4f}, RMSE: {rmse:.4f}, R²: {r2:.4f}")
```
---
## 6. **No Scaling/Normalization**
**Problem:** Random Forest doesn't require scaling, but the code doesn't document this or handle it for other potential algorithms.
---
## 7. **Hard-coded Magic Numbers**
```python
n_estimators=100, test_size=0.2, random_state=42
```
**Problem:** These should be configurable constants at the top of the file.
**Fix:**
```python
TEST_SIZE = 0.2
N_ESTIMATORS = 100
RANDOM_STATE = 42
```
---
## Summary Table
| Issue | Severity | Type |
|-------|----------|------|
| Data Leakage | 🔴 Critical | Logic Error |
| Missing Validation | 🔴 Critical | Robustness |
| Feature Engineering | 🟠 High | Logic Error |
| No Error Handling | 🟠 High | Robustness |
| Insufficient Evaluation | 🟡 Medium | Practice |
| Magic Numbers | 🟡 Medium | Maintainability |</t>
  </si>
  <si>
    <t>The provided Python code attempts to train a machine learning model to predict stock prices. While the overall structure is reasonable for a basic ML pipeline, there are several critical issues, bugs, and bad practices, particularly concerning the handling of time-series data.
Here's a breakdown of the problems:
1.  **Critical Issue: Incorrect Train-Test Split for Time-Series Data (Data Leakage)**
    *   **Problem:** The most significant flaw is the use of `sklearn.model_selection.train_test_split` on stock price data. This function randomly shuffles the data before splitting.
    *   **Explanation:** For time-series data like stock prices, the order of observations is crucial. Future information cannot be used to predict past information in a real-world scenario. By randomly splitting, the training set will contain data points that occur *after* some of the data points in the test set. This means the model is implicitly "seeing the future" during training.
    *   **Impact:** This leads to **data leakage** and an overly optimistic evaluation of the model's performance. The reported MAE will be unrealistically low, and the model will perform much worse when deployed on truly unseen future data.
    *   **Correction:** For time-series data, the split must be chronological. You should train on an initial block of data and test on a subsequent, continuous block of data.
    ```python
    # Correct chronological split
    # df = df.sort_values("date") # Already done, good!
    # Determine split point (e.g., 80% for training)
    split_index = int(len(df) * 0.8)
    X_train = X.iloc[:split_index]
    X_test = X.iloc[split_index:]
    y_train = y.iloc[:split_index]
    y_test = y.iloc[split_index:]
    ```
2.  **Lack of Explicit Missing Value Handling**
    *   **Problem:** The code does not explicitly handle missing values in the DataFrame.
    *   **Explanation:** Stock price data, especially derived features like moving averages, can have missing values. For example, if `moving_avg_7` were calculated within the script using `df["close"].rolling(window=7).mean()`, the first 6 rows would result in `NaN`s. `RandomForestRegressor` can handle some NaNs, but it's generally better practice to explicitly manage them (e.g., imputation, dropping rows) to understand their impact and ensure consistent behavior. If `NaN`s are present in the `features` selected, `model.fit()` or `model.predict()` might raise errors or behave unexpectedly depending on the scikit-learn version and estimator.
    *   **Impact:** Hidden errors, inconsistent model behavior, or silently dropped data that could be valuable.
    *   **Correction:** Before selecting features and splitting, check for and handle NaNs:
        ```python
        # Example: Drop rows with any NaN in features or target
        df.dropna(subset=features + ["close"], inplace=True)
        # Or impute missing values (e.g., df.fillna(method='ffill', inplace=True))
        ```
3.  **Dependency on Pre-calculated `moving_avg_7` without Context**
    *   **Problem:** The feature `moving_avg_7` is assumed to be present in `stock_prices.csv`.
    *   **Explanation:** While not strictly a bug if the CSV is guaranteed to have it, it makes the script less self-contained and reproducible. If `moving_avg_7` is a derived feature (e.g., a simple moving average of the `close` price over 7 days), it should ideally be calculated within the script. If calculated, it also ties into the missing value problem (see point 2).
    *   **Impact:** If the column is missing, a `KeyError` will occur. If its calculation method is not standardized, it affects reproducibility.
    *   **Correction (Example if it's a simple moving average):**
        ```python
        # Calculate moving_avg_7 if it's not in the CSV
        # Ensure it's calculated AFTER sorting by date
        df["moving_avg_7"] = df["close"].rolling(window=7).mean()
        # Handle NaNs introduced by the rolling mean (e.g., drop the first 6 rows)
        df.dropna(subset=["moving_avg_7"], inplace=True)
        ```
4.  **Lack of Time-Series Cross-Validation (Best Practice)**
    *   **Problem:** The model is evaluated using a single train-test split.
    *   **Explanation:** While a chronological split is necessary, a single split might not fully capture the model's robustness over different time periods. For time-series, more robust evaluation techniques like **Walk-Forward Validation** or `sklearn.model_selection.TimeSeriesSplit` are often preferred. These methods simulate deploying the model at different points in time, providing a more reliable estimate of its real-world performance.
    *   **Impact:** A single split might coincidentally hit a period where the model performs exceptionally well or poorly, leading to a biased performance estimate.
    *   **Improvement:** Consider using `TimeSeriesSplit` for cross-validation to get a more robust performance metric.
5.  **No Hyperparameter Tuning**
    *   **Problem:** The `RandomForestRegressor` is instantiated with `n_estimators=100` and `random_state=42`, but no hyperparameter tuning is performed.
    *   **Explanation:** While `n_estimators=100` is a reasonable starting point, the performance of a RandomForest model (and many other ML models) can be significantly improved by tuning its hyperparameters (e.g., `max_depth`, `min_samples_leaf`, etc.).
    *   **Impact:** The model might not be performing at its optimal level.
    *   **Improvement:** Use techniques like `GridSearchCV` or `RandomizedSearchCV` (with `TimeSeriesSplit` as the cross-validation strategy) to find better hyperparameters.
6.  **Potential for `date` Column Loss (Minor)**
    *   **Problem:** The `date` column is used for sorting but is not kept in `X` or `y`.
    *   **Explanation:** While `date` isn't used as a feature, it's often useful to keep it associated with the data splits (e.g., in `X_train`, `X_test`) for analysis, plotting, or debugging purposes later on. For instance, if you want to plot actual vs. predicted prices over time, you'd need the date for `y_test` and `y_pred`.
    *   **Impact:** Makes subsequent analysis harder.
    *   **Improvement:** You could either keep `date` in `X` (if you don't mind it being a non-feature column in the input to `fit`, which RandomForest can handle if it's not a numeric feature it tries to split on, but generally it's better to remove it from `X` explicitly before `fit`) or create separate `date_train`, `date_test` series. A common approach is to reset the index to keep dates if required, or simply pass the date column alongside the split data.
    ```python
    # Example: If you need dates for plotting later
    # X = df[features]
    # y = df["close"]
    # dates = df["date"] # Store dates before splitting
    # Perform chronological split on X, y, and dates
    # X_train, X_test, y_train, y_test, dates_train, dates_test = ...
    ```
In summary, the most critical issue is the incorrect train-test split, which invalidates the model's evaluation for time-series data. Addressing this and the missing value handling are paramount for building a reliable stock prediction model.</t>
  </si>
  <si>
    <t>The provided code is free of data leakage in terms of using information from the test set during training. The `train_test_split` function correctly splits the data into training and testing sets based on the specified `test_size` and `random_state`, ensuring no information from the test set leaks into the training process.
However, there is a potential concern regarding the feature `moving_avg_7`. If the `moving_avg_7` feature is calculated using future data points relative to the point being predicted, it would indeed constitute data leakage, since the model would be using information that wouldn't be available at prediction time. The code snippet does not show how `moving_avg_7` is calculated, so this should be verified to ensure it only uses past data up to the time point being predicted.
- If `moving_avg_7` is calculated using only past data relative to each date (i.e., a rolling average that only includes the current and previous six days), then there is no issue.
- If it includes future data points, it should be computed differently to avoid data leakage.
Conclusion: To declare it completely free of data leakage, ensure that `moving_avg_7` is calculated in a manner that uses only past information up to the date of each prediction. If it is calculated correctly, the code will be free of data leakage.</t>
  </si>
  <si>
    <t>The provided code presents a machine learning pipeline for predicting stock prices. Let's analyze it for potential data leakage.
### Potential Sources of Data Leakage
1. **Feature Engineering**:
   - The features include `"moving_avg_7"` which likely represents a 7-day moving average of the "close" prices. If this feature is calculated using the entire dataset before splitting into training and test sets, it can be a source of data leakage.
   - Using future data (which wouldn't be available at the time of making predictions) to compute moving averages is a problem because it incorporates information from the future "close" prices into the training set.
### Why it is a Problem
Data leakage occurs when the model has access to information during training that will not be available in a real-world prediction scenario. Specifically:
- If the `moving_avg_7` feature is computed using all data points (including those in the test set), it gives the model knowledge about future data points which would not be known at prediction time. This can lead to overly optimistic evaluation metrics and a model that performs well on historical data but poorly in live scenarios, where it would not have access to future values.
### Recommendations
To address this form of data leakage:
- Calculate `moving_avg_7` only using the training set subset prior to splitting the dataset. Then apply the same moving average calculation to the test set after the split, ensuring that test set values don’t influence the training set.
Here is an example of how you might modify the code to avoid leakage:
```python
# Assuming 'moving_avg_7' was calculated like this before splitting:
df['moving_avg_7'] = df['close'].rolling(window=7).mean()
# Now you could handle the moving average differently
X = df[features]
# Train-test split
X_train, X_test, y_train, y_test = train_test_split(X, y, test_size=0.2, random_state=42)
# Calculate moving averages again post-split
X_train['moving_avg_7'] = X_train['close'].rolling(window=7).mean()
X_test['moving_avg_7'] = X_test['close'].rolling(window=7).mean()
```
### Conclusion
In conclusion, the original code likely contains data leakage through the feature `moving_avg_7`. This can lead to misrepresentations of the model's performance. It is crucial to ensure that training features do not incorporate any future information that would not be available in a real-world scenario.</t>
  </si>
  <si>
    <t>## Data Leakage Analysis
This code contains **two distinct data leakage problems**.
---
### Problem 1: Random Train/Test Split on Time-Series Data
```python
df = df.sort_values("date")  # Data is sorted chronologically...
X_train, X_test, y_train, y_test = train_test_split(
    X, y, test_size=0.2, random_state=42  # ...then shuffled randomly
)
```
**Why this is leakage:**
`train_test_split` randomly shuffles rows by default. For time-series data this means the training set will contain data points from the **future** relative to some test points. The model learns from tomorrow's prices to predict yesterday's — a scenario that is impossible in real deployment.
**Correct approach** — preserve temporal order:
```python
split_index = int(len(df) * 0.8)
X_train, X_test = X.iloc[:split_index], X.iloc[split_index:]
y_train, y_test = y.iloc[:split_index], y.iloc[split_index:]
```
---
### Problem 2: `moving_avg_7` Computed Before the Split
```python
features = ["open", "high", "low", "volume", "moving_avg_7"]
X = df[features]  # moving_avg_7 already exists in the dataframe
```
**Why this is leakage** (most likely):
The `moving_avg_7` column almost certainly was computed using this pattern:
```python
df["moving_avg_7"] = df["close"].rolling(7).mean()
```
This creates **two compounding issues:**
1. **Target leakage** — a 7-day moving average of `close` is derived directly from the target variable (`close`). The model is essentially given a smoothed version of what it is trying to predict.
2. **Future leakage** — if the moving average is centered rather than strictly trailing, some windows will incorporate future close prices relative to each observation.
**Correct approach** — compute rolling features only on training data, then apply the learned parameters to test data, using a strictly lagged window:
```python
# Compute AFTER the split, using only past values
# Also shift by 1 to avoid same-day target information
df["moving_avg_7"] = df["close"].shift(1).rolling(7).mean()
# Then split chronologically
split_index = int(len(df) * 0.8)
```
---
### Summary Table
| Issue | Location | Type of Leakage |
|---|---|---|
| Random shuffle of time-series | `train_test_split` | Future data in training set |
| `moving_avg_7` from `close` | Feature construction | Target leakage |
---
### Corrected Pipeline
```python
import pandas as pd
from sklearn.ensemble import RandomForestRegressor
from sklearn.metrics import mean_absolute_error
df = pd.read_csv("stock_prices.csv")
df["date"] = pd.to_datetime(df["date"])
df = df.sort_values("date").reset_index(drop=True)
# Use lagged moving average: shift(1) ensures no same-day close leakage
# Base it on a feature other than close, or use lagged close explicitly
df["moving_avg_7"] = df["close"].shift(1).rolling(7).mean()
df = df.dropna()  # Remove rows with incomplete rolling windows
features = ["open", "high", "low", "volume", "moving_avg_7"]
X = df[features]
y = df["close"]
# Chronological split — no shuffling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Both fixes together will likely show a **significantly higher (worse) MAE** than the original leaky code — which is the correct and honest evaluation of model performance.</t>
  </si>
  <si>
    <t># Data Leakage Review
**CRITICAL DATA LEAKAGE DETECTED**
## The Problem
This code contains **temporal data leakage**. The `moving_avg_7` feature is computed from the entire dataset **before** the train-test split, which means:
1. **The moving average for training examples includes information from test examples** — specifically, future data points that should not be available at training time.
2. **For time series data, a standard random train-test split is inappropriate** — it violates the temporal ordering that is fundamental to stock price prediction.
## Why This Is Critical
When you compute `moving_avg_7` on the full dataset before splitting:
```python
# This line computes moving averages using ALL data
df["moving_avg_7"] = df["close"].rolling(7).mean()  # (hypothetically)
# Then this split is random and non-temporal
X_train, X_test, y_train, y_test = train_test_split(X, y, ...)
```
- A training example from 2024-06-15 might have a moving average that includes data from 2024-06-20 (which is in the test set)
- The model learns patterns that depend on future information
- **Performance metrics are artificially inflated** and will not generalize to truly unseen future data
## The Fix
For time series data, use **temporal train-test split**:
```python
import pandas as pd
from sklearn.ensemble import RandomForestRegressor
from sklearn.metrics import mean_absolute_error
df = pd.read_csv("stock_prices.csv")
df["date"] = pd.to_datetime(df["date"])
df = df.sort_values("date")
# Compute moving average AFTER splitting, using only past data
split_idx = int(len(df) * 0.8)
train_df = df.iloc[:split_idx].copy()
test_df = df.iloc[split_idx:].copy()
# Compute moving average separately for each set
# (using only historical data within that set)
train_df["moving_avg_7"] = train_df["close"].rolling(7).mean()
test_df["moving_avg_7"] = test_df["close"].rolling(7).mean()
X_train = train_df[["open", "high", "low", "volume", "moving_avg_7"]].dropna()
y_train = train_df.loc[X_train.index, "close"]
X_test = test_df[["open", "high", "low", "volume", "moving_avg_7"]].dropna()
y_test = test_df.loc[X_test.index, "close"]
model = RandomForestRegressor(n_estimators=100, random_state=42)
model.fit(X_train, y_train)
y_pred = model.predict(X_test)
print(f"MAE: {mean_absolute_error(y_test, y_pred):.4f}")
```
**Key changes:**
- Split data chronologically first
- Compute `moving_avg_7` separately on each set
- Each test example's moving average only uses past data available at that time</t>
  </si>
  <si>
    <t>The provided Python machine learning pipeline code contains **two significant forms of data leakage**, which are particularly problematic for time-series data like stock prices.
Here's where the data leakage occurs and why it's a problem:
### 1. Incorrect Train-Test Split for Time Series Data (Major Leakage)
**Location:**
```python
X_train, X_test, y_train, y_test = train_test_split(
    X, y, test_size=0.2, random_state=42
)
```
**Explanation of Leakage:**
The dataset is explicitly sorted by `date` (`df = df.sort_values("date")`). However, `sklearn.model_selection.train_test_split` by default performs a **random shuffle** of the data before splitting it into training and testing sets.
For time-series data (like stock prices), a random split is fundamentally flawed and leads to severe data leakage:
*   **Future data in the training set:** With a random split, `X_train` (and `y_train`) will inevitably contain data points from *later dates* that occur after some data points in `X_test` (and `y_test`).
*   **Problem:** In a real-world scenario, you would train your model on historical data to predict future stock prices. You would *never* have access to future information during training. By allowing future data into the training set, the model learns patterns and relationships that are based on information it wouldn't have at actual prediction time.
*   **Overly optimistic evaluation:** The reported MAE will be an artificially optimistic assessment of the model's performance because the test set isn't truly "unseen future data." The model has already "seen" data from the future (or at least, from mixed time periods) during its training phase, making the task of prediction much easier than it would be in reality.
**How to fix:**
For time series data, you must perform a **temporal split**, where the training set consists of earlier dates and the test set consists of later dates.
```python
# Assuming df is already sorted by date
train_size = int(len(df) * 0.8)
X_train, X_test = X.iloc[:train_size], X.iloc[train_size:]
y_train, y_test = y.iloc[:train_size], y.iloc[train_size:]
```
### 2. Potential Leakage in `moving_avg_7` Feature (Depends on Calculation)
**Location:**
```python
features = ["open", "high", "low", "volume", "moving_avg_7"]
# ...
X = df[features]
y = df["close"]
```
**Explanation of Leakage:**
The code includes `"moving_avg_7"` as a feature, but it **does not show how this feature is calculated**. This is a critical point of potential target leakage.
*   **The problem:** If `moving_avg_7` for a given day `t` is calculated using the `close` price of day `t` (which is the target `y` for that row), then the feature directly encodes information about the target that would *not* be available at the time of prediction. For example, if `moving_avg_7` is calculated as `df['close'].rolling(window=7).mean()`, by default, `pandas.rolling()` uses a `closed='right'` window, meaning the current day's value is included in the average.
*   **Example:** To predict the closing price of today (`close_t`), you would not know `close_t` when you are making the prediction. Therefore, any moving average that includes `close_t` (or any future `close` prices relative to `t`) would be using future information.
**How to fix:**
`moving_avg_7` must be calculated using only *past* `close` prices (or other available historical data) relative to the day for which the prediction is being made.
*   **Correct calculation for a 7-day moving average of *previous* closing prices:**
    ```python
    df['moving_avg_7'] = df['close'].shift(1).rolling(window=7).mean()
    ```
    (This calculates the average of `close` prices from day `t-1` to `t-7`.)
*   **Alternatively, if you intend to use a rolling window that excludes the current value:**
    ```python
    df['moving_avg_7'] = df['close'].rolling(window=7, closed='left').mean()
    ```
    (This calculates the average of `close` prices from day `t-7` to `t-1`.)
Without seeing the calculation for `moving_avg_7`, it's impossible to be certain, but this is a very common source of leakage in financial time series modeling.
### Conclusion
The code contains definite data leakage due to the incorrect `train_test_split` for time-series data, and potential data leakage concerning the `moving_avg_7` feature if it's not engineered correctly to only use historical information. These issues mean the model's performance is likely overestimated and would not generalize well to real-world out-of-time predictions.</t>
  </si>
  <si>
    <t>The provided Python code is generally well-structured, but there are some issues, potential problems, and areas that could be improved for better practice:
1. **Missing Values:**
   - *Issue*: There is no check for missing values in the data before using it for training and prediction.
   - *Solution*: It's important to check and handle missing values either by imputation or removal, as they can lead to training errors or inaccurate model predictions.
2. **Feature Importance:**
   - *Issue*: There is an assumption that "moving_avg_7" exists as a feature in the DataFrame without any verification or explanation of its calculation.
   - *Solution*: Ensure that "moving_avg_7" is calculated prior or exists in the dataset. Describe its role if necessary and how it's computed (e.g., rolling mean over 7 days).
3. **Data Leakage:**
   - *Observation*: The data splitting is by index, preserving temporal order, which is correct for time series data to prevent data leakage. However, no explicit validation logic for leakage is mentioned for non-time-series data.
4. **Random Seed Use:**
   - *Observation*: The use of a random seed (`random_state=42`) is a good practice as it ensures reproducibility.
5. **Print Statements:**
   - *Observation*: The print statement is basic for debugging or logging purposes. This could be enhanced by using `logging` for more complex applications.
6. **Model Evaluation:**
   - *Potential Improvement*: The code evaluates the model performance using only Mean Absolute Error (MAE). Consider incorporating additional metrics such as Root Mean Squared Error (RMSE) or R-squared for a more comprehensive performance evaluation.
   - *Solution*: Add more metrics if more insights are needed and consider using a validation set if applicable.
7. **Code Comments:**
   - *Suggestion*: Lack of comments in the code makes it less readable and understandable for someone unfamiliar with the code. Adding comments explaining each step could be beneficial for maintainability.
8. **Resource Management:**
   - *Potential Improvement*: If the dataset is large, loading data directly into memory without consideration may lead to memory issues. Consider using chunksize in `read_csv` for large files.
9. **Feature Scaling:**
   - *Observation*: The features are used directly without normalization or scaling. While not necessary for Random Forests, it could be relevant if switching to another model that is sensitive to feature scaling.
By addressing these points, you can improve the code's robustness, readability, and potentially the model's predictive performance.</t>
  </si>
  <si>
    <t>The given Python code appears to accomplish the task of training a `RandomForestRegressor` on stock price data. While the code works at a fundamental level, it does contain several issues, bugs, and bad practices. Here is a breakdown of the potential problems along with explanations for each:
1. **File Not Found Error Handling**:
   - The code does not handle the possibility of the CSV file `"stock_prices.csv"` being missing or improperly formatted. If the file does not exist, the `pd.read_csv` function will raise a `FileNotFoundError`, which could be avoided.
   ```python
   # Suggested improvement
   try:
       df = pd.read_csv("stock_prices.csv")
   except FileNotFoundError:
       print("The file 'stock_prices.csv' does not exist.")
       exit(1)
   ```
2. **Date Column Consistency**:
   - The code converts a `"date"` column to `datetime` format but does not validate that this column exists or contains valid date information. If the column does not exist or has invalid entries, the code will fail.
   ```python
   if "date" not in df.columns:
       raise ValueError("The DataFrame must contain a 'date' column.")
   ```
3. **Feature Engineering**:
   - The code uses a `moving_avg_7` feature without showing how it was computed. It's essential to ensure that this feature is properly defined and computed beforehand. If `moving_avg_7` has not been populated correctly in `df`, it can lead to unexpected results or errors. The computation of moving averages should be included or at least validated.
   ```python
   # Example of how it might be computed (assuming 'close' is the column used for the moving average)
   df['moving_avg_7'] = df['close'].rolling(window=7).mean().shift(1)  # Shift to avoid data leakage
   ```
4. **Data Leakage**:
   - The moving average is being computed before the split into training and testing data, which can lead to a data leakage problem. The model will effectively have access to future information when predicting past values. This should be computed after splitting the data.
5. **Train-Test Split**:
   - The code splits the data based on an index without shuffling. For time series data, this is acceptable, but ensure it's the desired behavior since time series predictions usually require preserving the temporal order.
6. **Hardcoded Parameters**:
   - The model uses a hardcoded `n_estimators` value of `100` and a `random_state` of `42`. While this is fine for initial model development, these parameters should ideally be set through hyperparameter tuning, especially for production environments or serious models.
7. **No Evaluation and Model Analysis**:
   - The code only computes the Mean Absolute Error (MAE). Depending on the specific application, additional metrics or visualizations (like RMSE, R^2, or residual plots) could be useful to diagnose the model performance better. 
8. **Print Output**:
   - Using `print` for output in a Python script is a basic practice. For larger applications, it's better to use logging to allow for better control over output levels and to easily disable or redirect output.
9. **Use of magic numbers**:
   - The number `0.8` is used to split the dataset. While this is commonly used, it should be defined as a constant or variable with a meaningful name, making the code more readable.
   ```python
   TRAIN_RATIO = 0.8
   split_index = int(len(df) * TRAIN_RATIO)
   ```
10. **No Way to Handle Missing Values**:
   - The code does not address potential missing values in the dataset. It's crucial to check and handle missing data appropriately before fitting the model (e.g., via imputation or removal).
By addressing these issues, the overall quality and reliability of the code can be significantly improved, leading to a more robust machine learning application.</t>
  </si>
  <si>
    <t>## Code Review: Stock Price Prediction
The code is functional and follows some good practices (chronological splitting, reproducible random state), but has several significant issues ranging from critical methodology problems to missing robustness checks.
---
### 1. **Data Leakage in Features** *(Critical)*
```python
# PROBLEM: moving_avg_7 is almost certainly calculated using future data
# if computed on the full dataset before splitting
features = ["open", "high", "low", "volume", "moving_avg_7"]
```
If `moving_avg_7` was computed on the full DataFrame before the train/test split, the training data indirectly contains information from the test period. This is data leakage.
```python
# BETTER: Calculate rolling features only on training data, then apply forward
df["moving_avg_7"] = df["close"].shift(1).rolling(window=7).mean()
# shift(1) ensures we only use past values, not the current row
# Then split AFTER this calculation
```
---
### 2. **Target Variable Leakage** *(Critical)*
```python
# PROBLEM: 'open', 'high', and 'low' for a given day are often
# not fully known before the market closes, depending on the use case.
# If predicting end-of-day 'close', using same-day 'high'/'low' leaks future info.
features = ["open", "high", "low", "volume", "moving_avg_7"]
```
```python
# BETTER: Use previous day's values to predict today's close
df["prev_open"]   = df["open"].shift(1)
df["prev_high"]   = df["high"].shift(1)
df["prev_low"]    = df["low"].shift(1)
df["prev_volume"] = df["volume"].shift(1)
features = ["prev_open", "prev_high", "prev_low", "prev_volume", "moving_avg_7"]
```
---
### 3. **No Handling of Missing Values**
```python
# PROBLEM: No check for NaN values, which would silently corrupt the model.
# moving_avg_7 alone introduces 6 NaN rows at the start.
X = df[features]
y = df["close"]
```
```python
# BETTER: Drop or impute NaNs explicitly, and do so before splitting
df = df.dropna(subset=features + ["close"])
# Or assert there are none if you expect clean data
assert df[features + ["close"]].isna().sum().sum() == 0, "Unexpected NaN values found"
```
---
### 4. **No Validation That Required Columns Exist**
```python
# PROBLEM: If the CSV is missing a column, you get a confusing KeyError
X = df[features]
y = df["close"]
```
```python
# BETTER: Validate columns up front with a clear error message
required_columns = features + ["close", "date"]
missing = set(required_columns) - set(df.columns)
if missing:
    raise ValueError(f"Missing required columns: {missing}")
```
---
### 5. **MAE Alone Is a Weak Evaluation**
```python
# PROBLEM: MAE in absolute dollar terms is hard to interpret without context.
# A $2 MAE means something very different for a $5 stock vs. a $500 stock.
print(f"MAE: {mean_absolute_error(y_test, y_pred):.4f}")
```
```python
# BETTER: Include relative and directional metrics
from sklearn.metrics import mean_absolute_percentage_error, r2_score
import numpy as np
mae   = mean_absolute_error(y_test, y_pred)
mape  = mean_absolute_percentage_error(y_test, y_pred)
r2    = r2_score(y_test, y_pred)
# Directional accuracy: did we predict the move direction correctly?
actual_direction    = np.sign(y_test.values[1:] - y_test.values[:-1])
predicted_direction = np.sign(y_pred[1:]        - y_pred[:-1])
directional_acc     = np.mean(actual_direction == predicted_direction)
print(f"MAE:               {mae:.4f}")
print(f"MAPE:              {mape:.4%}")
print(f"R²:                {r2:.4f}")
print(f"Directional Acc:   {directional_acc:.4%}")
```
---
### 6. **No Hyperparameter Tuning or Cross-Validation**
```python
# PROBLEM: Hardcoded hyperparameters with no validation strategy.
# A single train/test split gives a noisy estimate of generalization.
model = RandomForestRegressor(n_estimators=100, random_state=42)
```
```python
# BETTER: Use TimeSeriesSplit to respect temporal ordering during CV
from sklearn.model_selection import TimeSeriesSplit, GridSearchCV
tscv = TimeSeriesSplit(n_splits=5)
param_grid = {
    "n_estimators": [100, 200],
    "max_depth":    [None, 10, 20],
    "min_samples_split": [2, 5],
}
search = GridSearchCV(
    RandomForestRegressor(random_state=42),
    param_grid,
    cv=tscv,
    scoring="neg_mean_absolute_error",
)
search.fit(X_train, y_train)
model = search.best_estimator_
print(f"Best params: {search.best_params_}")
```
---
### 7. **No Feature Importance Analysis**
```python
# PROBLEM: Random Forest provides feature importances for free — not using them
# is a missed diagnostic opportunity.
# BETTER: Log importances to understand and validate the model
importances = pd.Series(model.feature_importances_, index=features)
print(importances.sort_values(ascending=False))
```
---
### Summary Table
| # | Issue | Severity |
|---|-------|----------|
| 1 | Data leakage via `moving_avg_7` | 🔴 Critical |
| 2 | Target leakage via same-day OHLV | 🔴 Critical |
| 3 | No missing value handling | 🟠 High |
| 4 | No column existence validation | 🟠 High |
| 5 | Insufficient evaluation metrics | 🟡 Medium |
| 6 | No hyperparameter tuning or CV | 🟡 Medium |
| 7 | Feature importances ignored | 🟢 Low |
The two leakage issues are the most important to fix — they would cause the model to appear far more accurate than it actually is in production.</t>
  </si>
  <si>
    <t># Code Review: Stock Price Prediction
## Issues Found
### 1. **No Missing Value Handling** ⚠️ (Critical)
```python
X = df[features]
y = df["close"]
```
**Problem:** The code doesn't check for or handle missing values. If any features contain NaN values (especially `moving_avg_7` which is often NaN at the start), the model will fail or produce invalid results.
**Fix:**
```python
# Check for missing values
print(df[features + ["close"]].isnull().sum())
# Remove rows with missing values
df = df.dropna(subset=features + ["close"])
```
---
### 2. **Data Leakage in Time Series** ⚠️ (Critical)
```python
split_index = int(len(df) * 0.8)
X_train, X_test = X.iloc[:split_index], X.iloc[split_index:]
```
**Problem:** This uses a simple 80/20 split, but the code doesn't shuffle the data. For time series, this is actually correct to avoid leakage, but the features like `moving_avg_7` are computed on the entire dataset before splitting. This causes **future information leakage** into the training set.
**Fix:**
```python
# Calculate moving averages BEFORE the split
# Or better: calculate them separately for train/test
df["moving_avg_7"] = df["close"].rolling(window=7).mean()
df = df.dropna()  # Remove NaN from rolling calculation
split_index = int(len(df) * 0.8)
X_train, X_test = X.iloc[:split_index], X.iloc[split_index:]
```
---
### 3. **No Feature Validation** ⚠️ (High)
```python
features = ["open", "high", "low", "volume", "moving_avg_7"]
X = df[features]
```
**Problem:** If any feature doesn't exist in the dataframe, this will fail silently or raise a KeyError. No validation that features actually exist.
**Fix:**
```python
missing_features = [f for f in features if f not in df.columns]
if missing_features:
    raise ValueError(f"Missing features: {missing_features}")
X = df[features]
```
---
### 4. **No Data Validation Before Modeling** ⚠️ (High)
**Problem:** No checks for:
- Infinite values (`np.inf`)
- Unreasonable data (negative prices, zero volume)
- Data type mismatches
**Fix:**
```python
# Check for infinite values
if np.isinf(X.values).any() or np.isinf(y.values).any():
    raise ValueError("Data contains infinite values")
# Basic sanity checks
if (df["close"] &lt;= 0).any():
    raise ValueError("Prices should be positive")
```
---
### 5. **No Model Validation Strategy** ⚠️ (Medium)
```python
y_pred = model.predict(X_test)
print(f"MAE: {mean_absolute_error(y_test, y_pred):.4f}")
```
**Problem:** 
- Only reports MAE; doesn't show other metrics (RMSE, R², etc.)
- No training set performance comparison (can't detect overfitting)
- Single metric isn't sufficient for regression evaluation
**Fix:**
```python
from sklearn.metrics import mean_squared_error, r2_score
import numpy as np
y_train_pred = model.predict(X_train)
train_mae = mean_absolute_error(y_train, y_train_pred)
test_mae = mean_absolute_error(y_test, y_pred)
test_rmse = np.sqrt(mean_squared_error(y_test, y_pred))
test_r2 = r2_score(y_test, y_pred)
print(f"Train MAE: {train_mae:.4f}")
print(f"Test MAE: {test_mae:.4f}")
print(f"Test RMSE: {test_rmse:.4f}")
print(f"Test R²: {test_r2:.4f}")
```
---
### 6. **No Error Handling** ⚠️ (Medium)
```python
df = pd.read_csv("stock_prices.csv")
```
**Problem:** File might not exist, be corrupted, or have encoding issues.
**Fix:**
```python
try:
    df = pd.read_csv("stock_prices.csv")
except FileNotFoundError:
    print("Error: stock_prices.csv not found")
    exit(1)
except Exception as e:
    print(f"Error reading file: {e}")
    exit(1)
```
---
### 7. **Potential Data Ordering Issue** ⚠️ (Low)
```python
df = df.sort_values("date")
```
**Problem:** If there are duplicate dates, the sort is non-deterministic. For time series, this matters.
**Fix:**
```python
df = df.sort_values("date").reset_index(drop=True)
# Or ensure date uniqueness
if df["date"].duplicated().any():
    warnings.warn("Duplicate dates found")
```
---
## Summary Table
| Issue | Severity | Type | Impact |
|-------|----------|------|--------|
| Missing value handling | Critical | Bug | Model crash or invalid results |
| Data leakage (features) | Critical | Design | Inflated performance metrics |
| Feature validation | High | Bug | Cryptic failures |
| Data validation | High | QA | Silent wrong results |
| Incomplete metrics | Medium | Practice | Incomplete model evaluation |
| No error handling | Medium | Practice | Unhandled crashes |
| Sorting stability | Low | Edge case | Rare non-determinism |</t>
  </si>
  <si>
    <t>The provided Python code snippet is a good start for a machine learning task on time series data, specifically stock price prediction. However, it contains several potential issues, bugs, and bad practices, especially concerning time series data handling and feature engineering.
Here's a detailed breakdown of the problems:
1.  **Missing Feature Creation: `moving_avg_7` (Major Issue / Bug)**
    *   **Problem:** The feature `moving_avg_7` is included in the `features` list: `features = ["open", "high", "low", "volume", "moving_avg_7"]`. However, there is **no code provided** that actually creates this `moving_avg_7` column in the `df` DataFrame. This will lead to a `KeyError` when `X = df[features]` is executed, crashing the script.
    *   **Explanation:** Before you can use a column, it must exist in your DataFrame.
2.  **Potential Data Leakage from `moving_avg_7` (Critical Time Series Issue)**
    *   **Problem:** Assuming `moving_avg_7` *were* created, how it's created is crucial. If it's calculated using a standard `df['close'].rolling(window=7).mean()`, this is a severe form of data leakage.
    *   **Explanation:** A standard rolling mean (by default, `closed='right'` in Pandas) includes the *current* day's closing price in its calculation. Since `y` is also the current day's closing price (`df["close"]`), the `moving_avg_7` feature would directly incorporate the target variable (`y`) for the current row into an input feature (`X`). This makes the model "cheat" by seeing the answer, leading to unrealistically good performance on the training and test sets but performing poorly in a real-world forecasting scenario.
    *   **Solution:** For time series forecasting, moving averages used as features must only include *past* data. This can be achieved using:
        *   `df['moving_avg_7'] = df['close'].shift(1).rolling(window=7).mean()` (average of previous 7 days)
        *   `df['moving_avg_7'] = df['close'].rolling(window=7, closed='left').mean()` (equivalent to the above, explicitly excluding the current point)
3.  **Contemporaneous Features for Forecasting (Conceptual Issue for Forecasting)**
    *   **Problem:** The features `open`, `high`, `low`, and `volume` are typically *today's* values. The target `y` is `df["close"]`, which is also *today's* closing price. This means the model is attempting to predict today's closing price using other information *from today*.
    *   **Explanation:** While this is a valid prediction task (e.g., predicting the closing price given intraday data points), it's not traditional *forecasting* where you predict a future value using *only past information*. If the goal is to predict *tomorrow's* close price, or even today's close price *before* today's open, high, low, and volume are known, then these features (`open`, `high`, `low`, `volume`) would also need to be lagged (e.g., `open_prev_day`, `high_prev_day`, etc.).
    *   **Solution:** Clarify the prediction goal. If it's truly forecasting, ensure all features represent data available *before* the target value is known. This would involve `shift()` operations on these features as well.
4.  **No Handling of Missing Values (e.g., from `shift()` or `rolling()` operations)**
    *   **Problem:** When creating lagged features or rolling statistics (like `moving_avg_7` after `shift()`), the initial rows will result in `NaN` values. For example, a 7-day moving average will produce `NaN` for the first 6-7 rows.
    *   **Explanation:** Machine learning models (like `RandomForestRegressor`) generally cannot handle `NaN` values directly and will raise an error.
    *   **Solution:** You need to decide how to handle these `NaN`s:
        *   Drop rows with `NaN`: `df.dropna(inplace=True)`. This is common for time series, as you lose only the very first few data points.
        *   Impute `NaN`s: Less common for time series features, as imputation can introduce artificial patterns or future data leakage if not done carefully.
5.  **Lack of Hyperparameter Tuning and Cross-Validation (Bad Practice)**
    *   **Problem:** The `RandomForestRegressor` is initialized with default-ish parameters (`n_estimators=100`, `random_state=42`) without any tuning.
    *   **Explanation:** While 100 estimators is reasonable, optimal performance often requires tuning hyperparameters (e.g., `max_depth`, `min_samples_split`, `min_samples_leaf`). Also, evaluating only on a single test split might not fully represent model generalization. For time series, a simple K-fold cross-validation is not appropriate due to the temporal dependence.
    *   **Solution:** Use time series specific cross-validation techniques like `TimeSeriesSplit` from `sklearn.model_selection` along with a grid search or randomized search for hyperparameter tuning.
6.  **No Feature Scaling/Normalization (Minor for Random Forest, but Good Practice)**
    *   **Problem:** Features are used directly without scaling.
    *   **Explanation:** Random Forests are generally robust to the scale of features because they work by splitting based on thresholds. However, for other models (e.g., SVMs, neural networks, linear models) or if feature importance is being analyzed, scaling can be important.
    *   **Solution:** If using other models or comparing feature importances across different scales, consider `StandardScaler` or `MinMaxScaler`.
7.  **Hardcoded Filename (Bad Practice for Reusability)**
    *   **Problem:** The input filename `"stock_prices.csv"` is hardcoded directly into the script.
    *   **Explanation:** This makes the script less flexible. If the filename changes, you have to edit the code.
    *   **Solution:** Pass the filename as an argument (e.g., using `argparse`), define it as a constant at the top of the script, or load from a configuration file.
8.  **Lack of Error Handling (Bad Practice for Robustness)**
    *   **Problem:** The code assumes `stock_prices.csv` exists and is correctly formatted.
    *   **Explanation:** If the file is missing, corrupted, or has unexpected columns/data types, the script will crash without a graceful exit or informative message.
    *   **Solution:** Add `try-except` blocks for file operations and data parsing.
9.  **No Explanation/Comments (Bad Practice for Readability/Maintainability)**
    *   **Problem:** The code lacks comments explaining the rationale behind certain choices (e.g., why 80/20 split, why a specific moving average, the exact prediction task).
    *   **Explanation:** Good comments and docstrings make code easier to understand, maintain, and debug for others (and your future self).
### Summary of Key Problems and Recommendations:
The most critical issues are the **missing creation of `moving_avg_7`** (which would cause an immediate crash) and the **potential for data leakage** if `moving_avg_7` were implemented incorrectly. The choice of features (`open`, `high`, `low`, `volume`) also needs clarification based on the intended forecasting horizon.
**Recommendations for Improvement:**
1.  **Define `moving_avg_7` Correctly:** Add the code to create `moving_avg_7` using *only past data* before `X` and `y` are defined.
    ```python
    # After df = df.sort_values("date")
    df['moving_avg_7'] = df['close'].shift(1).rolling(window=7).mean()
    df.dropna(inplace=True) # Remove rows with NaN created by rolling/shift
    # After dropping NaNs, recalculate split_index as df length might have changed
    ```
2.  **Clarify Forecasting Goal &amp; Lag Features:** If the goal is true forecasting, lag `open`, `high`, `low`, and `volume` as well:
    ```python
    df['open_lag1'] = df['open'].shift(1)
    df['high_lag1'] = df['high'].shift(1)
    df['low_lag1'] = df['low'].shift(1)
    df['volume_lag1'] = df['volume'].shift(1)
    # Update features list accordingly:
    features = ["open_lag1", "high_lag1", "low_lag1", "volume_lag1", "moving_avg_7"]
    df.dropna(inplace=True) # Re-run after creating more lagged features
    ```
3.  **Add Hyperparameter Tuning &amp; Time Series Cross-Validation.**
4.  **Add Docstrings and Comments.**
5.  **Implement Robust Error Handling.**</t>
  </si>
  <si>
    <t>The provided code is generally structured to avoid data leakage, but there's a potential point of concern: the feature `"moving_avg_7"`. Let's analyze this step-by-step:
1. **Data Split**: 
   - The data is split into training and test sets based on the date, which is appropriate for time series data. This avoids leakage by ensuring that future data is not used to train the model.
2. **Feature Engineering**:
   - The feature `"moving_avg_7"` (7-day moving average) is part of the model's features. The key issue here is whether this moving average is calculated including future data points, which would introduce leakage if not handled correctly.
   If the moving average `"moving_avg_7"` is computed in a way that uses subsequent days' `close` prices (i.e., future data regarding the current prediction point), this would indeed constitute data leakage. In time series, it's critical that any features do not rely on future data points. 
   Since the code does not show how `"moving_avg_7"` is computed, we cannot definitively say whether there is data leakage. If `"moving_avg_7"` is calculated for each row using only the current and the six preceding days, then it does not constitute leakage for the training set. For the test set, you'd compute it similarly but still using only past data relative to each current prediction point to maintain causality. 
3. **Training and Evaluation**:
   - The model fitting and evaluation are standard and do not introduce leakage after the split, assuming the feature engineering has been properly adjusted as mentioned.
In conclusion, the presence of data leakage solely depends on the manner in which `"moving_avg_7"` is calculated. If care is taken that only past data is used in its computation for both training and test datasets, the code would then be free of data leakage. However, without explicit assurance or checking of how `"moving_avg_7"` is computed, there is a potential point of leakage risk.</t>
  </si>
  <si>
    <t>The provided Python machine learning pipeline code does not exhibit any overt signs of data leakage as typically defined in the context of supervised learning. Data leakage occurs when information from the test set is inadvertently used during model training or when certain features capture future data that wouldn't be available during the prediction phase. Here’s a closer look at the key components of the code to assess this:
1. **Data Preparation and Sorting**:
   - The data is being read from a CSV file, and dates are converted to datetime format. The data is also sorted by date, which is crucial for time-series data, ensuring that past values are used to predict future values.
2. **Feature Selection**:
   - The features include "open", "high", "low", "volume", and "moving_avg_7". 
   - The feature "moving_avg_7" could potentially introduce data leakage if it is computed using future data points. If it is calculated based on the entirety of the dataset instead of strictly on past data, then there could be an issue. For a feature like a moving average in a time series, it should only consider data that occurred before the current date to avoid leakage. However, based solely on the provided code snippet, we cannot confirm how "moving_avg_7" is created.
3. **Train-Test Split**:
   - The train-test split is performed based on the index, dividing the dataset into 80% training and 20% testing, while respecting the chronological order of entries. This is correct for time-series prediction as it avoids data leakage through mixing training and testing data.
4. **Model Training and Prediction**:
   - The model is trained on `X_train` and `y_train`, and predictions are made on `X_test`. Since the training and testing sets are properly separated and reflect historical data for forecasting, this part seems to be free from leakage.
5. **Evaluation**:
   - The performance of the model is evaluated using the Mean Absolute Error (MAE) on the test set without influencing data from the test set leaking into the training dataset.
**Conclusion**:
While the code appears to be free of direct data leakage based on the visible components, one area for caution is the feature "moving_avg_7". If this feature is computed with access to future data points, it can introduce leakage. Therefore, ensure that "moving_avg_7" is constructed only using data preceding the prediction point. If proper validation confirms this, then the code can be considered free from data leakage. If it includes future data in its calculation, then the leakage occurs there, leading to overly optimistic performance estimates since the model would have access to information it shouldn't at the time of prediction.</t>
  </si>
  <si>
    <t>## Data Leakage Analysis
This code contains **multiple data leakage issues**. Here is a detailed breakdown of each one.
---
### Issue 1: `moving_avg_7` Computed Before the Train/Test Split (Most Critical)
```python
# The leakage originates here — before any split occurs
features = ["open", "high", "low", "volume", "moving_avg_7"]
X = df[features]  # moving_avg_7 already exists in the dataframe
```
Although the computation of `moving_avg_7` is not shown explicitly in this code, it was almost certainly computed on the **entire dataset** before splitting, like this:
```python
df["moving_avg_7"] = df["close"].rolling(window=7).mean()  # done upstream
```
**Why this is a problem:**
- For rows near the split boundary, the 7-day moving average for a *training* row will incorporate prices from *future* dates that fall in the test set
- For rows *in the test set*, the moving average looks back into recent history, which is acceptable — but the contamination flows in the other direction through the training rows near the boundary
- More critically, `moving_avg_7` is derived from `close`, which is the **target variable**. This means the feature directly encodes the label
---
### Issue 2: `moving_avg_7` Is Derived From the Target Variable (`close`)
```python
y = df["close"]  # this is the target
# moving_avg_7 = rolling mean of close — directly derived from y
features = ["open", "high", "low", "volume", "moving_avg_7"]
```
Even setting aside the split boundary problem, using a rolling average of `close` as a feature is **target leakage** unless handled very carefully.
**Why this is a problem:**
- At prediction time for day `t`, you would not yet know `close` for day `t`
- A 7-day moving average ending on day `t` includes `close[t]` itself in many implementations
- Even a *lagged* version (ending on day `t-1`) must be constructed carefully and only from past data
---
### Issue 3: `high` and `low` Are Same-Bar Features
```python
features = ["open", "high", "low", "volume", "moving_avg_7"]
```
**Why this is a problem:**
- `high` and `low` represent the highest and lowest prices *during the same trading day* as `close`
- At the time you would actually make a prediction (e.g., at market open), these values are **not yet known**
- They are perfectly correlated with the outcome in a way that would never be available in a real deployment
---
## Corrected Implementation
```python
import pandas as pd
from sklearn.ensemble import RandomForestRegressor
from sklearn.metrics import mean_absolute_error
df = pd.read_csv("stock_prices.csv")
df["date"] = pd.to_datetime(df["date"])
df = df.sort_values("date").reset_index(drop=True)
# --- Feature engineering using only information available BEFORE day t ---
# Lag close by 1: yesterday's close, known before today's market open
df["close_lag1"] = df["close"].shift(1)
# Use only open (known at market open) and volume/close from prior days
# moving average of PRIOR closes only (shift first, then rolling)
df["moving_avg_7"] = df["close"].shift(1).rolling(window=7).mean()
# Drop rows where lagged features are NaN
df = df.dropna().reset_index(drop=True)
# Only use features available before the trading day closes
# NOTE: 'high' and 'low' removed — not known at prediction time
features = ["open", "volume", "close_lag1", "moving_avg_7"]
X = df[features]
y = df["close"]
# --- Temporal split AFTER feature engineering ---
split_index = int(len(df) * 0.8)
X_train, X_test = X.iloc[:split_index], X.iloc[split_index:]
y_train, y_test = y.iloc[:split_index], y.iloc[split_index:]
# --- No preprocessing that requires fitting on full data ---
model = RandomForestRegressor(n_estimators=100, random_state=42)
model.fit(X_train, y_train)
y_pred = model.predict(X_test)
print(f"MAE: {mean_absolute_error(y_test, y_pred):.4f}")
```
---
## Summary Table
| Issue | Location | Type | Severity |
|---|---|---|---|
| `moving_avg_7` computed on full dataset | Pre-split feature engineering | Train/test leakage | High |
| `moving_avg_7` derived from `close` | Feature definition | Target leakage | High |
| `high` and `low` are same-period features | Feature selection | Future data leakage | High |
The fundamental rule being violated throughout is: **every feature value for day `t` must be computable using only information that existed strictly before the moment you would make the prediction for day `t`**.</t>
  </si>
  <si>
    <t># Data Leakage Review
## ⚠️ **CRITICAL DATA LEAKAGE DETECTED**
The code contains **temporal data leakage** in the `moving_avg_7` feature.
### Where the Leakage Occurs
The `moving_avg_7` feature (a 7-day moving average) is computed on the **entire dataset** before the train-test split:
```python
df["moving_avg_7"]  # Calculated on full df before splitting
X_train, X_test = X.iloc[:split_index], X.iloc[split_index:]
```
### Why This Is a Problem
1. **Forward-looking bias in training data**: Each training example's moving average includes information from future dates (up to 7 days ahead in some cases), depending on how the moving average was calculated.
2. **Information asymmetry**: At prediction time on real future data, you won't have access to future values needed to compute `moving_avg_7`, but your model was trained on a version that did.
3. **Inflated performance metrics**: The model appears more accurate than it will be in production because it learned patterns that depend on future information.
### How to Fix It
Calculate the moving average **after** the train-test split, or use only historically available data:
```python
df = df.sort_values("date")
split_index = int(len(df) * 0.8)
# Method 1: Calculate moving average AFTER splitting
X_train_data = df.iloc[:split_index].copy()
X_test_data = df.iloc[split_index:].copy()
X_train_data["moving_avg_7"] = X_train_data["close"].rolling(window=7).mean()
X_test_data["moving_avg_7"] = X_test_data["close"].rolling(window=7).mean()
X_train = X_train_data[features]
X_test = X_test_data[features]
y_train = X_train_data["close"]
y_test = X_test_data["close"]
# Method 2: Use only past information (expanding window on train, expanding on test)
# More complex but more realistic for time-series prediction
```
**Result**: Your MAE metric will likely increase, but it will be a true reflection of real-world performance.</t>
  </si>
  <si>
    <t>Let's review the provided Python machine learning pipeline code for data leakage.
The code performs the following steps:
1.  Loads stock price data from `stock_prices.csv`.
2.  Converts the 'date' column to datetime objects and sorts the DataFrame by date.
3.  Defines features as `["open", "high", "low", "volume", "moving_avg_7"]` and the target as `close`.
4.  Splits the data into training (80%) and testing (20%) sets based on time (chronological split).
5.  Trains a `RandomForestRegressor` on the training data.
6.  Makes predictions on the test data and evaluates the model using Mean Absolute Error (MAE).
**Analysis for Data Leakage:**
The potential source of data leakage in this code lies in the generation of the `moving_avg_7` feature. Let's trace how this feature is created.
The feature `moving_avg_7` is listed in the `features` list:
```python
features = ["open", "high", "low", "volume", "moving_avg_7"]
X = df[features]
y = df["close"]
```
However, if you look at the code *before* this line, the `moving_avg_7` feature is **never actually created or calculated**.
This means that when `X = df[features]` is executed, the column `moving_avg_7` does not exist in the `df` DataFrame. This will result in a `KeyError` at runtime, as pandas will try to select a non-existent column.
**Conclusion:**
The code, as written, **does not contain data leakage related to `moving_avg_7` because the feature is never actually created.**
**However, this is not because the code is robust against leakage, but because it has a bug:**
*   **Type of Issue:** `KeyError`
*   **Location:** When trying to create `X = df[features]`
**If the `moving_avg_7` feature *were* to be created, for example, like this:**
```python
# ... (previous code)
df["moving_avg_7"] = df["close"].rolling(window=7, closed='left').mean() # or some other calculation
# ... (rest of the code)
```
**Then, data leakage would occur if `moving_avg_7` was calculated *before* the train-test split and used `df["close"]` or other information that includes future data.**
Let's assume the intent was to create a `moving_avg_7` based on the `close` price. If it's calculated on the entire `df` *before* the split, like this:
```python
df["moving_avg_7"] = df["close"].rolling(window=7, closed='left').mean() # Example calculation
```
And then the train-test split happens:
```python
split_index = int(len(df) * 0.8)
X_train, X_test = X.iloc[:split_index], X.iloc[split_index:]
y_train, y_test = y.iloc[:split_index], y.iloc[split_index:]
```
... there would **still be no data leakage from the *test set* into the *training set*** by default for a simple rolling mean calculation *on past data*. The `closed='left'` argument in `rolling` ensures that the moving average at a given row only considers data from previous rows. Since the data is sorted by date, this correctly mimics what would be available at prediction time.
**Where data leakage *could* occur with time-series features (if implemented incorrectly):**
1.  **Future Information in Moving Averages:** If `moving_avg_7` were calculated using data *from the future* relative to the row being processed (e.g., a centered moving average or one that includes the target `close` for the current or future days). However, standard `rolling().mean()` operations with `closed='left'` (or default `closed='right'` but applied to features, not targets) are generally safe.
2.  **Target-Encoded Features:** If a feature were created that directly encoded information from the target variable (`close`) that wouldn't be available at prediction time. For instance, calculating a feature like "daily_return_next_day" and then using it to predict "close" (which is essentially what "daily_return_next_day" is derived from).
3.  **Cross-validation without time-series awareness:** If a standard K-Fold cross-validation were used instead of a time-series split, it would randomly assign future data points to training folds, leading to leakage. However, this code correctly uses a chronological split.
**In summary:**
The provided code as is **will fail due to a `KeyError`** because `moving_avg_7` is not defined. Therefore, it neither leaks data nor is free of leakage, as it doesn't execute correctly.
**To make the code functional and prevent leakage (assuming the intent was to use a *lagged* moving average):**
You would need to calculate `moving_avg_7` *before* defining `X` and `y`, ensuring it only uses past data.
```python
import pandas as pd
from sklearn.ensemble import RandomForestRegressor
from sklearn.metrics import mean_absolute_error
df = pd.read_csv("stock_prices.csv")
df["date"] = pd.to_datetime(df["date"])
df = df.sort_values("date")
# Calculate moving_avg_7 BEFORE the split
# Using 'close' price, and ensuring it only uses PAST data ('closed=left')
# .shift(1) ensures the moving average for day 't' is based on prices up to 't-1'
# If you want the moving average of 't-7' to 't-1' for day 't', then just closed='left' is enough.
df["moving_avg_7"] = df["close"].rolling(window=7, closed='left').mean()
# Drop rows with NaN values introduced by rolling window (first 6 rows will be NaN)
df.dropna(inplace=True)
features = ["open", "high", "low", "volume", "moving_avg_7"]
X = df[features]
y = df["close"]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With the corrected code above, where `moving_avg_7` is calculated using `closed='left'` (which means the window ends at the *left* edge, excluding the current element and including only previous elements), and the data is sorted by date, there would be **no data leakage**. The moving average for a given day would only incorporate information from previous days, which is available at the time of prediction.</t>
  </si>
  <si>
    <t>The provided Python script seems to run a straightforward logistic regression model on a dataset. However, there are a few things to watch for in terms of best practices and potential issues, even though the code itself may not throw errors:
1. **Assumption of Data Quality**: 
   - The code assumes that the "loans.csv" file is in the correct format and contains no missing values. In practice, you should verify that the data does not contain any NaNs, incorrect data types, or outliers before modeling.
   - **Improvement**: Inspect the data first using `df.info()`, `df.describe()`, and handle missing values like `df.fillna()` or `df.dropna()`, if necessary.
2. **Feature Engineering Considerations**: 
   - Not all models can handle categorical data inherently. If any of the features like "employment_years" are categorical, they should be encoded appropriately using one-hot encoding or similar techniques.
   - The code assumes that all selected features are numerical without scaling them. Features like "loan_amount" and "income" might need to be scaled, especially for models sensitive to feature magnitude. Logistic regression can benefit from scaling.
3. **Evaluation Metric**: 
   - While accuracy is a useful metric, if the dataset is imbalanced (i.e., the number of defaulted loans is much lower/higher than non-defaulted), accuracy might be misleading.
   - **Improvement**: Consider additional metrics like `precision_score`, `recall_score`, `f1_score`, or using a confusion matrix to get a better understanding of the model's performance.
4. **Potential Need for Cross-Validation**:
   - The model evaluation is based on a single train-test split, which might not provide a comprehensive evaluation of the model's performance.
   - **Improvement**: Consider using `cross_val_score` or `GridSearchCV` for cross-validation and hyperparameter tuning.
5. **Model Complexity / Interpretability**:
   - Logistic regression benefits from feature scaling for potentially quicker convergence, so using `StandardScaler` from `sklearn.preprocessing` could help in scaling features to standardize them before training the model.
6. **Model Warnings**: 
   - Depending on the data, `LogisticRegression` could emit convergence warnings, suggesting that the model hasn’t fully converged. You can resolve this by ensuring the data is well-conditioned, using more iterations, or changing the solver.
Here is a refined code snippet incorporating some of the recommended practices:
```python
import pandas as pd
from sklearn.model_selection import train_test_split
from sklearn.linear_model import LogisticRegression
from sklearn.metrics import accuracy_score, precision_score, recall_score, f1_score
from sklearn.preprocessing import StandardScaler
from sklearn.pipeline import make_pipeline
# Load data
df = pd.read_csv("loans.csv")
# Exploratory data analysis (EDA), data cleaning, and preprocessing
# Check for NaN values and handle them
# df.info()
# df = df.dropna() # or handle NaN with imputation
# Model features and target
features = ["income", "credit_score", "loan_amount", "employment_years", "collection_recovery_fee"]
X = df[features]
y = df["defaulted"]
# Split data
X_train, X_test, y_train, y_test = train_test_split(X, y, test_size=0.2, random_state=42)
# Create a pipeline with scaling and logistic regression
pipeline = make_pipeline(StandardScaler(), LogisticRegression(max_iter=1000, random_state=42))
# Train model
pipeline.fit(X_train, y_train)
# Make predictions
y_pred = pipeline.predict(X_test)
# Evaluate model
print(f"Accuracy: {accuracy_score(y_test, y_pred):.4f}")
print(f"Precision: {precision_score(y_test, y_pred):.4f}")
print(f"Recall: {recall_score(y_test, y_pred):.4f}")
print(f"F1 Score: {f1_score(y_test, y_pred):.4f}")
```
The revised script addresses the importance of preprocessing, scaling features, and evaluating the model using a variety of metrics.</t>
  </si>
  <si>
    <t>Let's review the provided Python code for any potential issues, bugs, or bad practices:
1. **Missing Data Handling**:
   - Issue: The code does not handle missing values in the dataset. If the `loans.csv` file contains any NaN values, this could lead to exceptions during model training or prediction.
   - Solution: Before splitting the data, you should check for and handle missing values, either by dropping rows or imputing values.
   ```python
   df = df.dropna()  # or use df.fillna() to impute missing values
   ```
2. **Data Type Checking**:
   - Issue: There is no validation or conversion of data types for the features and target variable. If any column in `features` or `defaulted` has inappropriate types (e.g., object instead of numeric), the model training will fail.
   - Solution: Ensure that all features are of the correct data type and optionally convert types if necessary.
   ```python
   df["defaulted"] = df["defaulted"].astype(int)  # Ensure binary target is cast to int
   ```
3. **Feature Scaling**:
   - Issue: Logistic regression can be sensitive to feature scales, especially when dealing with features that are on different scales. Without feature scaling, the model performance may not be optimal.
   - Solution: Apply feature scaling (e.g., StandardScaler or MinMaxScaler) to the feature set before fitting the model.
   ```python
   from sklearn.preprocessing import StandardScaler
   scaler = StandardScaler()
   X_scaled = scaler.fit_transform(X)
   X_train, X_test, y_train, y_test = train_test_split(
       X_scaled, y, test_size=0.2, random_state=42
   )
   ```
4. **Model Complexity**:
   - Issue: The model selection could be limiting. It would be beneficial to include cross-validation as part of the model evaluation to ensure a more reliable accuracy metric, especially in datasets with smaller sample sizes.
   - Solution: Consider using cross-validation to evaluate model performance instead of a single split.
   ```python
   from sklearn.model_selection import cross_val_score
   accuracy = cross_val_score(model, X_scaled, y, cv=5)  # Use 5-fold cross-validation
   print(f"Cross-validated accuracy: {accuracy.mean():.4f}")
   ```
5. **Magic Numbers**:
   - Issue: The `test_size=0.2` and `random_state=42` parameters are chosen without explanation. These are considered "magic numbers" as they have no context or rationale provided.
   - Solution: Define them as constants at the beginning of the code, so that they can be easily modified and understood.
   ```python
   TEST_SIZE = 0.2
   RANDOM_STATE = 42
   ```
6. **Hardcoded File Path**:
   - Issue: The code uses a hardcoded path for the CSV file, which may not work in different environments or for different users.
   - Solution: Consider using a command-line argument or a configuration file to specify the path.
   ```python
   import sys
   if len(sys.argv) &gt; 1:
       csv_path = sys.argv[1]
   else:
       csv_path = "loans.csv"
   df = pd.read_csv(csv_path)
   ```
7. **Improper Use of Train-Test Split**:
   - Issue: All preprocessing steps need to fit the training data only and then be applied to the test data. The code could incorrectly apply any transformation to both datasets before splitting them, potentially leaking information from the test set.
   - Solution: Perform scaling/encoding only on the training set, then apply the same transformation to the test set.
8. **Inconsistent Output Messages**:
   - Issue: While the accuracy is printed in a formatted string, it could be beneficial to add more context or result interpretation.
   - Solution: Provide a more comprehensive output that explains what the accuracy means.
Overall, while the foundational structure of the code appears to be correct, various issues related to data preprocessing, model evaluation, and code maintainability can hinder its effectiveness and robustness. Addressing these points would lead to a more reliable and cleaner implementation.</t>
  </si>
  <si>
    <t>## Code Review: Loan Default Prediction
The code is functional for a basic prototype but has several significant issues ranging from data quality concerns to methodological flaws.
---
### 1. No Data Validation or Error Handling
```python
# Current code - fails silently or crashes on bad data
df = pd.read_csv("loans.csv")
X = df[features]
```
**Problems:**
- No check that the file exists or loaded correctly
- No verification that expected columns are present
- No handling of the case where `"defaulted"` column is missing
```python
# Better approach
import os
if not os.path.exists("loans.csv"):
    raise FileNotFoundError("loans.csv not found")
df = pd.read_csv("loans.csv")
missing_cols = [col for col in features + ["defaulted"] if col not in df.columns]
if missing_cols:
    raise ValueError(f"Missing required columns: {missing_cols}")
if df.empty:
    raise ValueError("DataFrame is empty after loading")
```
---
### 2. Missing Values Not Handled
```python
# Current code - LogisticRegression will raise ValueError on NaN
X = df[features]
model.fit(X_train, y_train)  # Crashes if any NaN present
```
**Problem:** Real loan data almost always has missing values. The code does nothing to address them.
```python
# Better approach - check first, then handle
print(f"Missing values:\n{X.isnull().sum()}")
from sklearn.impute import SimpleImputer
from sklearn.pipeline import Pipeline
imputer = SimpleImputer(strategy="median")  # median is robust to outliers
pipeline = Pipeline([
    ("imputer", imputer),
    ("scaler", StandardScaler()),
    ("model", LogisticRegression(max_iter=1000))
])
```
---
### 3. No Feature Scaling
```python
# Current code - raw features fed directly to logistic regression
model = LogisticRegression(max_iter=1000)
model.fit(X_train, y_train)
```
**Problem:** Features like `income` (e.g., 85,000) and `employment_years` (e.g., 5) have vastly different scales. Logistic regression uses gradient descent and is sensitive to this, leading to slower convergence and potentially worse results.
```python
# Better approach
from sklearn.preprocessing import StandardScaler
pipeline = Pipeline([
    ("scaler", StandardScaler()),
    ("model", LogisticRegression(max_iter=1000))
])
```
---
### 4. Data Leakage Risk
```python
# Current code - fitting scaler/imputer before the split
# (not shown, but a common follow-up mistake this structure encourages)
X_train, X_test, y_train, y_test = train_test_split(...)
```
**Problem:** If any preprocessing (scaling, imputation, encoding) is applied to `X` *before* the split, test set statistics leak into training. The Pipeline approach above prevents this by fitting transformers only on training data.
```python
# Wrong - leaks test data statistics into training
scaler = StandardScaler()
X_scaled = scaler.fit_transform(X)  # uses full dataset including test portion
X_train, X_test, _, _ = train_test_split(X_scaled, y)
# Correct - fit only on training data
X_train, X_test, _, _ = train_test_split(X, y)
scaler = StandardScaler()
X_train = scaler.fit_transform(X_train)
X_test = scaler.transform(X_test)  # transform only, no fit
```
---
### 5. Class Imbalance Ignored
```python
# Current code - no awareness of class distribution
model = LogisticRegression(max_iter=1000)
print(f"Accuracy: {accuracy_score(y_test, y_pred):.4f}")
```
**Problem:** Loan default datasets are typically heavily imbalanced (e.g., 5% defaults). A model predicting "never default" achieves 95% accuracy while being completely useless.
```python
# Better approach
print(f"Class distribution:\n{y.value_counts(normalize=True)}")
# Address imbalance in the model
model = LogisticRegression(max_iter=1000, class_weight="balanced")
# Use better metrics
from sklearn.metrics import classification_report, roc_auc_score
print(classification_report(y_test, y_pred))
print(f"ROC-AUC: {roc_auc_score(y_test, model.predict_proba(X_test)[:, 1]):.4f}")
```
---
### 6. Suspicious Feature: `collection_recovery_fee`
```python
features = [
    "income", "credit_score", "loan_amount",
    "employment_years", "collection_recovery_fee"  # ⚠️ problem
]
```
**Problem:** `collection_recovery_fee` is a fee charged *after* a loan goes into collection — meaning it's a consequence of default, not a predictor of it. Including it is **target leakage**: the model learns a shortcut that won't exist when predicting future defaults.
```python
# Remove post-event features
features = [
    "income", "credit_score", "loan_amount",
    "employment_years"
    # collection_recovery_fee removed - only known after default occurs
]
```
---
### 7. No Model Persistence
```python
# Current code - model is trained and immediately discarded
model.fit(X_train, y_train)
y_pred = model.predict(X_test)
```
**Problem:** Without saving the model, it must be retrained every run. For production use, this is impractical.
```python
import joblib
joblib.dump(pipeline, "loan_default_model.pkl")
# Later, to load:
pipeline = joblib.load("loan_default_model.pkl")
```
---
### Summary Table
| # | Issue | Severity | Category |
|---|-------|----------|----------|
| 1 | No data validation | High | Robustness |
| 2 | Missing values unhandled | High | Data Quality |
| 3 | No feature scaling | Medium | ML Correctness |
| 4 | Data leakage via preprocessing | High | ML Correctness |
| 5 | Class imbalance ignored | High | ML Correctness |
| 6 | Target leakage (`collection_recovery_fee`) | Critical | ML Correctness |
| 7 | Model not saved | Low | Production Readiness |
The most critical issue is **#6 (target leakage)** — it would make the model appear to work well in testing while completely failing in production. Issues #4 and #5 would similarly produce misleadingly optimistic results.</t>
  </si>
  <si>
    <t># Code Review: Issues and Problems
## 1. **No Data Validation or Cleaning** ⚠️
```python
df = pd.read_csv("loans.csv")
X = df[features]
```
**Problem:** The code assumes:
- The file exists and is readable
- All specified columns exist
- No missing values (NaN/null data)
- Data types are appropriate
**Fix:**
```python
df = pd.read_csv("loans.csv")
print(df.info())  # Check structure
print(df.isnull().sum())  # Check for missing values
X = df[features].dropna()  # Handle missing data
y = df.loc[X.index, "defaulted"]  # Align indices
```
## 2. **No Feature Scaling** ⚠️
```python
model = LogisticRegression(max_iter=1000)
model.fit(X_train, y_train)
```
**Problem:** Features have different scales (income vs. employment_years). Logistic Regression performs better with normalized/scaled features.
**Fix:**
```python
from sklearn.preprocessing import StandardScaler
scaler = StandardScaler()
X_train = scaler.fit_transform(X_train)
X_test = scaler.transform(X_test)
```
## 3. **Incomplete Model Evaluation** ⚠️
```python
print(f"Accuracy: {accuracy_score(y_test, y_pred):.4f}")
```
**Problem:** 
- Accuracy alone is misleading (especially for imbalanced datasets)
- No metrics like precision, recall, F1-score, or confusion matrix
- No cross-validation
**Fix:**
```python
from sklearn.metrics import classification_report, confusion_matrix
print(classification_report(y_test, y_pred))
print(confusion_matrix(y_test, y_pred))
```
## 4. **Potential Data Leakage** 🔴
**Problem:** If `collection_recovery_fee` is only known *after* a loan defaults, using it as a feature creates **data leakage** — the model learns information not available at prediction time.
**Fix:** Remove it from features if it's post-default information.
## 5. **Hard-coded File Path** ⚠️
```python
df = pd.read_csv("loans.csv")
```
**Problem:** Breaks if file is in a different location; not portable.
**Fix:**
```python
from pathlib import Path
data_path = Path(__file__).parent / "data" / "loans.csv"
df = pd.read_csv(data_path)
```
## 6. **No Error Handling** ⚠️
```python
df = pd.read_csv("loans.csv")
X = df[features]
```
**Problem:** Will crash silently if file doesn't exist or columns are missing.
**Fix:**
```python
try:
    df = pd.read_csv("loans.csv")
    X = df[features]
except FileNotFoundError:
    print("Error: loans.csv not found")
except KeyError as e:
    print(f"Error: Missing column {e}")
```
## 7. **No Class Balance Check** ⚠️
**Problem:** Unknown if the target variable is balanced. Imbalanced data requires different metrics.
**Fix:**
```python
print(y.value_counts())  # Check distribution
print(y.value_counts(normalize=True))  # Percentages
```
## 8. **Hard-coded Test Size** ⚠️
```python
train_test_split(X, y, test_size=0.2, random_state=42)
```
**Problem:** Test size should depend on dataset size. With small datasets, 20% may be too little.
## Summary Table
| Issue | Severity | Category |
|-------|----------|----------|
| No data validation | High | Robustness |
| No feature scaling | High | ML Practice |
| Incomplete evaluation | High | Analysis |
| Data leakage risk | High | Data Science |
| Hard-coded paths | Medium | Portability |
| No error handling | Medium | Robustness |
| No balance check | Medium | Analysis |
| Hard-coded split ratio | Low | Configuration |</t>
  </si>
  <si>
    <t>This Python code provides a basic machine learning pipeline for a classification task using Logistic Regression. While it demonstrates the fundamental steps, it has several issues, bugs, and bad practices that should be addressed for robustness, accuracy, and maintainability.
Here's a breakdown of the problems:
### 1. Lack of Data Inspection and Preprocessing
The most significant omissions are steps related to understanding and preparing the data.
*   **Problem:** **No Missing Value Handling.**
    *   **Explanation:** Logistic Regression (like most scikit-learn estimators) cannot handle missing values (NaNs) in the input features (`X`) or target (`y`). If `loans.csv` contains any missing values in the `features` or `defaulted` column, the `model.fit(X_train, y_train)` call will raise an error.
    *   **Recommendation:** Before splitting the data, check for missing values (`df.isnull().sum()`). Decide on a strategy:
        *   Impute them (e.g., mean, median, mode for numerical features; a constant for categorical).
        *   Remove rows with missing values (if there aren't too many).
        *   Remove columns with too many missing values.
    *   **Example (Imputation):**
        ```python
        for col in features:
            if df[col].dtype in ['int64', 'float64']:
                df[col].fillna(df[col].median(), inplace=True)
            # Add handling for categorical if applicable
        ```
*   **Problem:** **No Feature Scaling.**
    *   **Explanation:** Logistic Regression, especially when regularization is used (which it is by default, via the `C` parameter), can be sensitive to the scale of input features. Features with larger ranges can dominate the learning process. While `LogisticRegression` sometimes handles unscaled features reasonably well, scaling often leads to faster convergence and better model performance.
    *   **Recommendation:** Apply a scaler (e.g., `StandardScaler` or `MinMaxScaler`) to your features *after* the train-test split to prevent data leakage.
    *   **Example:**
        ```python
        from sklearn.preprocessing import StandardScaler
        scaler = StandardScaler()
        X_train_scaled = scaler.fit_transform(X_train)
        X_test_scaled = scaler.transform(X_test)
        model.fit(X_train_scaled, y_train)
        y_pred = model.predict(X_test_scaled)
        ```
*   **Problem:** **No Handling of Categorical Features (Potential).**
    *   **Explanation:** While the listed `features` (`income`, `credit_score`, etc.) appear numerical, without inspecting the actual data (`df.info()`, `df.head()`), there's no guarantee that `loans.csv` doesn't contain categorical features (e.g., `loan_type`, `employment_type`) that would need one-hot encoding or other appropriate transformations. Passing string categories directly to `LogisticRegression` will result in an error.
    *   **Recommendation:** Perform `df.info()` and `df.describe(include='all')` to understand your data types and value distributions. If categorical features exist, use `pd.get_dummies()` or `OneHotEncoder`.
*   **Problem:** **No Outlier Detection/Handling.**
    *   **Explanation:** Features like `income` or `loan_amount` can have extreme outliers that can disproportionately influence the model's coefficients and hurt its performance.
    *   **Recommendation:** Visualize data distributions (histograms, box plots) to identify outliers. Decide whether to remove them, transform them (e.g., log transform), or cap them.
### 2. Issues with Train-Test Split and Evaluation Metric
*   **Problem:** **No Stratification for `train_test_split`.**
    *   **Explanation:** In classification problems, especially when the target variable (`defaulted`) might be imbalanced (e.g., far fewer defaults than non-defaults), it's crucial to ensure that the train and test sets have approximately the same proportion of classes. Not using `stratify=y` can lead to a split where one set has a disproportionately high or low number of defaults, making the model evaluation unreliable.
    *   **Recommendation:** Always use `stratify=y` for classification tasks during `train_test_split`.
    *   **Example:**
        ```python
        X_train, X_test, y_train, y_test = train_test_split(
            X, y, test_size=0.2, random_state=42, stratify=y
        )
        ```
*   **Problem:** **Sole reliance on `accuracy_score` for potentially imbalanced data.**
    *   **Explanation:** If the `defaulted` class is highly imbalanced (e.g., 95% non-default, 5% default), a model that simply predicts "non-default" for all cases would achieve 95% accuracy. This metric can be very misleading in such scenarios.
    *   **Recommendation:** For imbalanced classification problems, use more robust metrics like:
        *   **Precision:** The proportion of positive identifications that were actually correct.
        *   **Recall (Sensitivity):** The proportion of actual positives that were identified correctly.
        *   **F1-Score:** The harmonic mean of precision and recall.
        *   **ROC AUC (Receiver Operating Characteristic Area Under the Curve):** A measure of the model's ability to distinguish between classes across various thresholds.
        *   **Confusion Matrix:** To see true positives, true negatives, false positives, and false negatives.
    *   **Example:**
        ```python
        from sklearn.metrics import classification_report, roc_auc_score, confusion_matrix
        y_pred = model.predict(X_test_scaled) # assuming scaled data
        y_proba = model.predict_proba(X_test_scaled)[:, 1] # probabilities for the positive class
        print(f"Accuracy: {accuracy_score(y_test, y_pred):.4f}")
        print("\nClassification Report:")
        print(classification_report(y_test, y_pred))
        print(f"ROC AUC: {roc_auc_score(y_test, y_proba):.4f}")
        print("\nConfusion Matrix:")
        print(confusion_matrix(y_test, y_pred))
        ```
### 3. Hardcoding and Lack of Robustness
*   **Problem:** **Hardcoded filename "loans.csv".**
    *   **Explanation:** If the file name changes or it's not in the current working directory, the script will break.
    *   **Recommendation:** Make the filename a variable or a function argument. Use `os.path.join` for path construction.
*   **Problem:** **No error handling for file loading.**
    *   **Explanation:** If `loans.csv` does not exist, `pd.read_csv()` will raise a `FileNotFoundError`, crashing the script.
    *   **Recommendation:** Wrap the file loading in a `try-except` block.
    *   **Example:**
        ```python
        import os
        file_path = "loans.csv"
        if not os.path.exists(file_path):
            print(f"Error: File '{file_path}' not found.")
            exit() # Or raise an exception, handle gracefully
        try:
            df = pd.read_csv(file_path)
        except Exception as e:
            print(f"Error loading CSV: {e}")
            exit()
        ```
### 4. Model-Specific and General Best Practices
*   **Problem:** **Default Logistic Regression Hyperparameters.**
    *   **Explanation:** While `max_iter=1000` is good, other hyperparameters like `C` (regularization strength) and `solver` are left at their defaults. The default `solver` (`lbfgs`) is usually good, but the default `C=1.0` might not be optimal for the specific dataset. Tuning these can significantly improve model performance.
    *   **Recommendation:** Consider hyperparameter tuning using `GridSearchCV` or `RandomizedSearchCV` from `sklearn.model_selection`.
*   **Problem:** **Lack of Modularity/Functions.**
    *   **Explanation:** For a simple script, this is acceptable. However, as pipelines grow in complexity, a single monolithic script becomes hard to read, debug, and reuse.
    *   **Recommendation:** Encapsulate different stages (data loading, preprocessing, model training, evaluation) into functions.
    *   **Example:**
        ```python
        def load_data(filepath):
            # ... load and handle file errors ...
            return df
        def preprocess_data(df, features, target_col):
            # ... handle missing values, scaling, categorical ...
            return X_processed, y_processed
        def train_evaluate_model(X, y):
            # ... split, train, evaluate ...
            return model, metrics
        # Then call:
        # df = load_data("loans.csv")
        # X, y = preprocess_data(df, features, "defaulted")
        # model, metrics = train_evaluate_model(X, y)
        ```
*   **Problem:** **No comments or docstrings.**
    *   **Explanation:** While the code is relatively straightforward, a more complex script or functions would benefit from comments explaining intent, assumptions, or complex logic, and docstrings for functions.
    *   **Recommendation:** Add comments where clarity is needed, and docstrings to functions if you modularize.
In summary, the code provides a functional starting point but lacks the robustness, data awareness, and best practices expected in a production-ready or even a thorough experimental machine learning pipeline. The most critical fixes involve data preprocessing (missing values, scaling) and addressing the `train_test_split` stratification and appropriate evaluation metrics.</t>
  </si>
  <si>
    <t>The code provided does contain a potential source of data leakage. Here's a detailed explanation:
### Identified Data Leakage Problem
- **Feature "collection_recovery_fee"**: This feature is included in the training data but could lead to data leakage. The `collection_recovery_fee` likely represents a fee collected after a loan has gone into default and recovery actions have been taken. Because this fee would only be assessed after a default event has occurred, it provides direct information about the target variable ("defaulted") which would not be available at prediction time. Using this feature in the model is effectively leaking information about the target, as it encodes an outcome that would only be known after the default.
### Why is this a problem?
- **Information not available at prediction time**: In real-world scenarios, when you are predicting whether a loan will default, you would not have knowledge of the `collection_recovery_fee` at the time of prediction because this fee would only exist if the loan had already defaulted and recovery actions had begun.
- **Artificially inflated model performance**: When such features that directly reflect the outcome are included, they can cause the model to perform unrealistically well during testing, because it has access to information that would not be available in a true predictive scenario.
### Conclusion
To ensure that there is no data leakage, the feature `collection_recovery_fee` should be removed from the list of features used to train the model. The adjusted list of features should exclude `collection_recovery_fee`:
```python
features = ["income", "credit_score", "loan_amount", "employment_years"]
``` 
By removing this feature, you ensure that the model only uses information available before a default event occurs, providing a more realistic and robust evaluation of its predictive capability.</t>
  </si>
  <si>
    <t>The provided Python machine learning pipeline code appears to be free of explicit data leakage. Here’s an analysis of the code regarding potential issues of data leakage:
1. **Data Separation**: The code reads a dataset and splits it into training and test sets using `train_test_split` from `sklearn.model_selection`. The separation happens before any modeling, which is a good practice to ensure that the training process does not have access to the test data. This reduces the risk of data leakage from having the model inadvertently trained on information that should be reserved for evaluation.
2. **Feature Selection**: The features being used for prediction do not seem to include any data that could be seen as encoding future information about the target variable (`y`, which is `defaulted`). Each feature listed in `features`, such as `income`, `credit_score`, and `employment_years`, appears to be based on historical data that would typically be available at the time of making a prediction.
3. **Predictive Context**: There is no indication in the provided code that any features are derived directly from the target variable or any future information that would distort the predictive scenario. Therefore, this aspect of the code appears to respect the temporal separation required for predictive validity.
### Conclusion
In summary, the code does not contain any recognizable forms of data leakage. Proper separation of the data into training and test sets is maintained, and the features used for training the model remain consistent with typical data that would be available at the time when predictions are made. Thus, the pipeline is well-constructed in this regard.</t>
  </si>
  <si>
    <t>## Data Leakage Analysis
### Finding: **Target Leakage via `collection_recovery_fee`**
The code contains a significant instance of **target leakage** in the feature set.
---
### The Problem
```python
features = [
    "income", "credit_score", "loan_amount",
    "employment_years", "collection_recovery_fee"  # ← leakage here
]
```
`collection_recovery_fee` is a fee charged **after a loan has already defaulted** — it is a post-outcome variable that is generated as a *consequence* of the event you are trying to predict.
```
Loan issued → Borrower defaults → Collections process begins → Fee is recorded
     ↑                                                               ↓
  prediction                                                  this feature
  happens here                                                exists here
```
**Why this is leakage:** At the time you need to make a prediction (deciding whether to approve/flag a loan), the `collection_recovery_fee` does not yet exist. It only gets a non-zero value *because* the borrower already defaulted. The model learns to exploit this correlation:
```
collection_recovery_fee &gt; 0  →  almost certainly defaulted
collection_recovery_fee = 0  →  likely did not default
```
---
### Why the Bug is Hard to Spot
The train/test split itself is done **correctly** — the split happens before fitting, so there is no cross-contamination between splits. This makes the code look superficially clean.
```python
# This part is fine — split is done before model.fit()
X_train, X_test, y_train, y_test = train_test_split(...)
model.fit(X_train, y_train)  # no test data seen here
```
The leakage is **domain-level**, not **pipeline-level**. No amount of fixing the sklearn pipeline structure resolves it — the feature itself is invalid.
---
### Consequences
| Symptom | Explanation |
|---|---|
| Unrealistically high accuracy | Model exploits a feature that encodes the answer |
| Production failure | At inference time the fee is always 0/null, so the model receives inputs it was never properly trained on |
| Silent degradation | No error is thrown; the model simply performs far worse in production than in evaluation |
---
### Fix
Remove the leaking feature and audit any others that are recorded post-outcome:
```python
features = [
    "income",
    "credit_score",
    "loan_amount",
    "employment_years",
    # "collection_recovery_fee" ← removed: only exists after default occurs
]
```
**General rule:** Every feature must represent information that would be available *at the moment the prediction needs to be made*, with no knowledge of the outcome you are predicting.</t>
  </si>
  <si>
    <t># Data Leakage Review
## **CRITICAL DATA LEAKAGE DETECTED** ⚠️
### **The Problem**
The feature `"collection_recovery_fee"` contains **target leakage**. This feature encodes information about the target variable that would not be available at prediction time.
### **Why This is Leakage**
- **Collection recovery fees** are fees charged *after* a loan has defaulted and the lender attempts to recover the debt
- This fee only exists if a loan has already defaulted
- At the time you're trying to predict whether a loan will default (before issuing it), this fee value would be **unknown or zero**
- The model learns a spurious relationship: high collection fees → defaulted loan, but this relationship is circular (the fee *depends on* the default, not vice versa)
### **The Consequence**
The model will appear to perform unrealistically well on test data because it's using information that leaks the target. When deployed to predict defaults on *new* loans, performance will collapse because `collection_recovery_fee` won't contain predictive information—it will be zero/unknown for all new loans.
### **The Fix**
Remove `collection_recovery_fee` from the feature list:
```python
features = [
    "income", "credit_score", "loan_amount",
    "employment_years"
    # "collection_recovery_fee"  ← REMOVE THIS
]
```
Only use features that would be **known and available before making the prediction** (i.e., at loan origination time).</t>
  </si>
  <si>
    <t>Yes, this code **does contain data leakage**.
**Specific Location and Explanation of Data Leakage:**
The data leakage occurs with the feature: `"collection_recovery_fee"`.
1.  **Why it's leakage:** A `collection_recovery_fee` is typically incurred *after* a loan has already defaulted and the lender has initiated collection procedures to recover the money. If the goal is to predict whether a loan will `defaulted` (i.e., before it actually defaults), this `collection_recovery_fee` information would **not be available at the time of prediction**.
    In essence, this feature is a direct consequence or indicator of the target variable (`defaulted`) having already occurred. Including it as a feature is like giving the model the answer to the question it's trying to predict.
2.  **Why it's a problem:**
    *   **Artificially Inflated Performance:** The model will learn a very strong, almost perfect, correlation between the presence/value of `collection_recovery_fee` and the `defaulted` status. This will lead to a very high accuracy score on your test set, making you believe your model is performing exceptionally well.
    *   **Poor Real-World Performance:** When this model is deployed to predict defaults for new loan applications (where `collection_recovery_fee` will be zero or non-existent for non-defaulted loans), its performance will drastically drop. It will struggle to predict defaults because it relied on information that isn't available in a real-world prediction scenario. The model is effectively predicting the past (whether a loan *has already* defaulted and entered collections) rather than the future (whether it *will* default).
**Recommendation:**
To fix this data leakage, you should **remove `"collection_recovery_fee"` from your list of features**.
The corrected feature list would be:
```python
features = [
    "income", "credit_score", "loan_amount",
    "employment_years"
]
```
**Other parts of the pipeline:**
*   The `train_test_split` is correctly applied *before* model training, ensuring that the model is not trained directly on the test set.
*   The model is trained only on `X_train`, `y_train` and evaluated on `X_test`, `y_test`.
These aspects of the pipeline are correctly implemented to prevent leakage *between the train and test sets* during the modeling process itself, but they cannot prevent leakage *within the feature set* as identified above.</t>
  </si>
  <si>
    <t>The given Python code for training a logistic regression model on loan data is generally well-constructed, but there are a few potential issues and areas for improvement:
1. **Handling Missing Values**:
    - **Issue**: The code does not check for or handle missing values in the dataset. 
    - **Solution**: Before training the model, inspect the dataset for missing values and decide on an appropriate imputation strategy or remove rows/columns with missing data.
    ```python
    if df.isnull().values.any():
        df = df.dropna()  # or use an imputation strategy
    ```
2. **Scaling Features**:
    - **Issue**: The code doesn't scale the features, which can be important for models like logistic regression.
    - **Solution**: Use a scaler such as `StandardScaler` to standardize the features.
    ```python
    from sklearn.preprocessing import StandardScaler
    scaler = StandardScaler()
    X_train = scaler.fit_transform(X_train)
    X_test = scaler.transform(X_test)
    ```
3. **Categorical Variables**:
    - **Issue**: The code assumes all features are numeric, but if any of the features are categorical, this could cause issues.
    - **Solution**: Check for categorical variables and encode them appropriately. Use techniques like one-hot encoding if necessary.
4. **Model Evaluation**:
    - **Suggestion**: While accuracy is a common metric, it might not be sufficient for evaluating models, especially for imbalanced datasets. Consider using other metrics like precision, recall, F1-score, or ROC-AUC.
    ```python
    from sklearn.metrics import classification_report
    print(classification_report(y_test, y_pred))
    ```
5. **Readability and Maintainability**:
    - **Suggestion**: While not a bug, it's often helpful to encapsulate parts of the process in functions for better readability and maintainability.
    ```python
    def load_data(filepath):
        df = pd.read_csv(filepath)
        return df.dropna()  # Handle missing data as needed
    def preprocess_features(df, features):
        # Handling categorical features and scaling could be done here.
        X = df[features]
        y = df["defaulted"]
        return X, y
    ```
By addressing these points, the script can be made more robust and comprehensive, helping to ensure the model performs well in a variety of scenarios.</t>
  </si>
  <si>
    <t>The provided Python code is a straightforward implementation of a logistic regression model using the `pandas` and `sklearn` libraries. However, there are several issues, potential bugs, and bad practices that can be identified:
1. **Data Integrity and Preprocessing**:
   - **Missing Value Handling**: The code does not check for missing values in the DataFrame (`df`). If any of the features or the target column contains missing values, it would lead to errors or inaccurate model predictions.
   - **Data Type Checking**: There is no validation to ensure that the columns in `features` contain numeric data types. If any of these columns contain non-numeric data, it would cause an error during model training.
   - **Encoding Categorical Variables**: If any feature is categorical (like "employment_years" if it has non-numeric representations), it needs to be encoded appropriately (e.g., using one-hot encoding) before being used in the model.
2. **Feature Engineering**:
   - **Feature Selection Validity**: The selected features should be justified with domain knowledge or exploratory data analysis. There is no exploratory analysis shown that validates these features' relevance to predicting the target.
3. **Hardcoding File Path**:
   - **File Dependency**: The DataFrame is read from a hardcoded file path ("loans.csv"). This approach can lead to errors if the file isn't found or the path changes. A better practice might be to handle file loading with error handling, allowing for clearer debugging.
4. **Model Evaluation**:
   - **Evaluation Metrics**: While accuracy is printed, it may not always be the best measure of model performance, particularly for imbalanced datasets (e.g., if there's a high number of non-defaults). Additional metrics such as confusion matrix, precision, recall, and F1 score should also be considered for a more complete evaluation.
5. **Lack of Model Validation**:
   - **Cross-validation**: The model is evaluated using just a single train/test split. Using k-fold cross-validation could provide a better estimate of the model's performance by fitting it multiple times on different subsets of the data.
6. **Model's Randomness**:
   - **Random State Explanation**: Although `random_state=42` is set for reproducibility, it would be good practice to comment on this choice to clarify its purpose for anyone reading the code later.
7. **Print Function Used Directly**:
   - **Output Handling**: The output accuracy is printed directly to the console. It may be a better practice to return this value or log it using a proper logging library for better record keeping.
8. **Unoptimized Logistic Regression Parameters**:
   - **Model Parameters**: The `LogisticRegression` does not specify hyperparameters like `C`, `solver`, or regularization methods. Depending on the application, these hyperparameters might need tuning for the specific dataset.
### Suggested Improvements
Here's a refined version that addresses these issues:
```python
import pandas as pd
from sklearn.model_selection import train_test_split, cross_val_score
from sklearn.linear_model import LogisticRegression
from sklearn.metrics import accuracy_score, classification_report
from sklearn.preprocessing import StandardScaler
from sklearn.impute import SimpleImputer
# Load data with error handling
try:
    df = pd.read_csv("loans.csv")
except FileNotFoundError as e:
    print(f"Error: {e}")
    raise
# Check for missing values
if df.isnull().any().any():
    imputer = SimpleImputer(strategy='mean')  # Choose an appropriate strategy
    df[features] = imputer.fit_transform(df[features])
# Check data types
for feature in features:
    if not pd.api.types.is_numeric_dtype(df[feature]):
        print(f"Warning: Feature {feature} is not numeric!")
# Feature scaling
scaler = StandardScaler()
X = scaler.fit_transform(df[features])
y = df["defaulted"]
# Train/test split
X_train, X_test, y_train, y_test = train_test_split(
    X, y, test_size=0.2, random_state=42
)
# Model training with optional normalizing
model = LogisticRegression(max_iter=1000)
model.fit(X_train, y_train)
# Predictions and evaluation
y_pred = model.predict(X_test)
print(f"Accuracy: {accuracy_score(y_test, y_pred):.4f}")
print(classification_report(y_test, y_pred))
# Cross-validation
cv_scores = cross_val_score(model, X, y, cv=5)
print(f"Cross-validated Accuracy: {cv_scores.mean():.4f}")
```
This adjusted code includes better practices like handling missing values, checking for data types, scaling the features, and performing cross-validation.</t>
  </si>
  <si>
    <t>## Code Review: Loan Default Prediction Model
The code is functional and readable, but has several issues ranging from critical data science problems to code quality concerns.
---
### 1. No Missing Value Handling *(Critical)*
```python
# Current code silently fails or produces wrong results with NaN values
X = df[features]
# Should be something like:
X = df[features].dropna()
y = df.loc[X.index, "defaulted"]  # Keep y aligned with X
# Or impute missing values:
from sklearn.impute import SimpleImputer
imputer = SimpleImputer(strategy="median")
X = pd.DataFrame(imputer.fit_transform(X), columns=features)
```
Logistic Regression will raise an error or produce incorrect results if any feature contains NaN values. The data is never inspected before use.
---
### 2. No Feature Scaling *(Critical)*
```python
# Current: raw features fed directly to model
model.fit(X_train, y_train)
# Should be:
from sklearn.preprocessing import StandardScaler
scaler = StandardScaler()
X_train_scaled = scaler.fit_transform(X_train)
X_test_scaled = scaler.transform(X_test)  # transform only, never fit on test data
model.fit(X_train_scaled, y_train)
y_pred = model.predict(X_test_scaled)
```
Logistic Regression uses gradient-based optimization. Features like `income` (e.g., 50,000) versus `employment_years` (e.g., 5) differ wildly in magnitude, causing slow convergence and a biased model. This is likely why `max_iter=1000` was needed.
---
### 3. Wrong Metric for Loan Default Data *(Critical)*
```python
# Loan default datasets are almost always class-imbalanced
# (e.g., 95% non-default, 5% default)
# Current: misleading metric
print(f"Accuracy: {accuracy_score(y_test, y_pred):.4f}")
# A model predicting "never default" would score 95% accuracy
# Should use multiple metrics:
from sklearn.metrics import classification_report, roc_auc_score
print(classification_report(y_test, y_pred))
print(f"ROC-AUC: {roc_auc_score(y_test, model.predict_proba(X_test)[:,1]):.4f}")
```
Accuracy is a dangerously misleading metric for imbalanced datasets. ROC-AUC, precision/recall, and F1-score tell you how well the model actually identifies defaulters.
---
### 4. No Class Imbalance Handling *(Serious)*
```python
# Current: model will be biased toward predicting majority class
model = LogisticRegression(max_iter=1000)
# Should be:
model = LogisticRegression(max_iter=1000, class_weight="balanced")
# Or handle imbalance during splitting:
X_train, X_test, y_train, y_test = train_test_split(
    X, y, test_size=0.2, random_state=42, stratify=y  # preserves class ratio
)
```
Without `stratify=y`, the train/test split may not preserve the class distribution. Without `class_weight="balanced"`, the model will under-predict the minority class (actual defaults).
---
### 5. No Data Validation or Exploratory Checks *(Serious)*
```python
# Current: blind trust in the CSV
df = pd.read_csv("loans.csv")
# Should add at minimum:
print(df.shape)
print(df.dtypes)
print(df.isnull().sum())
print(df[features].describe())
print(df["defaulted"].value_counts(normalize=True))  # check class balance
```
You should verify column names exist, types are correct, and understand class distribution before modeling. This also catches issues like string values in numeric columns.
---
### 6. No Pipeline — Leakage Risk *(Serious)*
```python
# Current: scaler or imputer fitted on X_train could be accidentally
# refitted on test data in a later edit, causing data leakage
# Better: use a Pipeline to make leakage impossible
from sklearn.pipeline import Pipeline
from sklearn.preprocessing import StandardScaler
from sklearn.impute import SimpleImputer
pipeline = Pipeline([
    ("imputer", SimpleImputer(strategy="median")),
    ("scaler", StandardScaler()),
    ("model", LogisticRegression(max_iter=1000, class_weight="balanced"))
])
pipeline.fit(X_train, y_train)
y_pred = pipeline.predict(X_test)
```
A Pipeline guarantees that preprocessing steps are only fitted on training data, even during cross-validation, eliminating an entire class of data leakage bugs.
---
### 7. No Cross-Validation *(Moderate)*
```python
# Current: single train/test split gives high-variance evaluation
# A lucky split might over- or under-estimate real performance
from sklearn.model_selection import cross_val_score
scores = cross_val_score(pipeline, X, y, cv=5, scoring="roc_auc")
print(f"CV ROC-AUC: {scores.mean():.4f} (+/- {scores.std():.4f})")
```
A single 80/20 split gives you one noisy estimate of performance. Cross-validation gives a more reliable estimate and shows variance across splits.
---
### 8. No Model Persistence *(Minor)*
```python
# Trained model is discarded after the script ends
# For any real use, save the model and scaler together:
import joblib
joblib.dump(pipeline, "loan_default_pipeline.pkl")
# Later, load and use:
# pipeline = joblib.load("loan_default_pipeline.pkl")
# predictions = pipeline.predict(new_data)
```
---
### 9. Hardcoded File Path *(Minor)*
```python
# Current: breaks if run from a different directory
df = pd.read_csv("loans.csv")
# Better:
import os
DATA_PATH = os.path.join(os.path.dirname(__file__), "data", "loans.csv")
df = pd.read_csv(DATA_PATH)
# Or use argparse for a script, or a config file for a larger project
```
---
## Summary Table
| # | Issue | Severity | Category |
|---|-------|----------|----------|
| 1 | No missing value handling | 🔴 Critical | Data Quality |
| 2 | No feature scaling | 🔴 Critical | Modeling |
| 3 | Accuracy used on imbalanced data | 🔴 Critical | Evaluation |
| 4 | No class imbalance handling | 🟠 Serious | Modeling |
| 5 | No data validation | 🟠 Serious | Data Quality |
| 6 | No Pipeline (leakage risk) | 🟠 Serious | Correctness |
| 7 | No cross-validation | 🟡 Moderate | Evaluation |
| 8 | Model not saved | 🔵 Minor | Usability |
| 9 | Hardcoded file path | 🔵 Minor | Maintainability |
The three critical issues (scaling, missing values, wrong metric) could silently produce a model that appears to work but would fail badly in production.</t>
  </si>
  <si>
    <t># Code Review: Issues and Problems
## 1. **No Data Validation or Error Handling** ⚠️
```python
df = pd.read_csv("loans.csv")
```
**Problem:** The code assumes the file exists and is valid. No exception handling for missing files, corrupted data, or read errors.
**Fix:**
```python
try:
    df = pd.read_csv("loans.csv")
except FileNotFoundError:
    print("Error: loans.csv not found")
    exit(1)
except Exception as e:
    print(f"Error reading file: {e}")
    exit(1)
```
---
## 2. **No Missing Value Handling** ⚠️
```python
X = df[features]
y = df["defaulted"]
```
**Problem:** No check for NaN/missing values. They could exist in the data and cause training issues or silent failures.
**Fix:**
```python
if df[features + ["defaulted"]].isnull().any().any():
    print("Warning: Missing values detected")
    df = df.dropna()  # or use imputation
```
---
## 3. **No Feature Scaling** ⚠️
**Problem:** Logistic regression benefits from scaled features, especially when features have different ranges (e.g., income vs. credit_score). This can affect convergence speed and model performance.
**Fix:**
```python
from sklearn.preprocessing import StandardScaler
scaler = StandardScaler()
X_train = scaler.fit_transform(X_train)
X_test = scaler.transform(X_test)
```
---
## 4. **Accuracy as Only Metric** ⚠️
```python
print(f"Accuracy: {accuracy_score(y_test, y_pred):.4f}")
```
**Problem:** Accuracy is insufficient for imbalanced datasets (e.g., if 95% of loans don't default, a model predicting "no default" always would have 95% accuracy). No precision, recall, F1-score, or confusion matrix.
**Fix:**
```python
from sklearn.metrics import classification_report, confusion_matrix
print(classification_report(y_test, y_pred))
print(f"Confusion Matrix:\n{confusion_matrix(y_test, y_pred)}")
```
---
## 5. **No Data Exploration** ⚠️
**Problem:** The code doesn't check data shapes, dtypes, class distribution, or feature correlations. This could hide important issues.
**Fix:**
```python
print(df.shape)
print(df.dtypes)
print(df["defaulted"].value_counts())
print(df[features].describe())
```
---
## 6. **No Input Validation** ⚠️
```python
features = ["income", "credit_score", "loan_amount", "employment_years"]
X = df[features]
```
**Problem:** Code doesn't verify all features exist in the DataFrame or have correct data types. Will raise KeyError if features are missing.
**Fix:**
```python
missing_features = [f for f in features if f not in df.columns]
if missing_features:
    print(f"Error: Missing features: {missing_features}")
    exit(1)
```
---
## 7. **No Model Validation/Cross-Validation** ⚠️
**Problem:** Single train-test split doesn't provide robust performance estimates. No cross-validation means results could be lucky or due to a particular data split.
**Fix:**
```python
from sklearn.model_selection import cross_val_score
scores = cross_val_score(model, X, y, cv=5, scoring='accuracy')
print(f"Cross-validation scores: {scores}")
print(f"Mean: {scores.mean():.4f} (+/- {scores.std():.4f})")
```
---
## 8. **Hardcoded Values** ⚠️
```python
train_test_split(X, y, test_size=0.2, random_state=42)
model = LogisticRegression(max_iter=1000)
```
**Problem:** Test size and max_iter are hardcoded. Should be configurable or documented.
**Fix:**
```python
TEST_SIZE = 0.2
MAX_ITERATIONS = 1000
```
---
## 9. **No Model Persistence** ⚠️
**Problem:** Model is trained but not saved. It will be lost when script ends, making reuse difficult.
**Fix:**
```python
import joblib
joblib.dump(model, 'trained_model.pkl')
```
---
## Summary Table
| Issue | Severity | Type |
|-------|----------|------|
| No error handling | High | Robustness |
| No missing value handling | High | Data Quality |
| No feature scaling | Medium | Model Quality |
| Only accuracy metric | High | Evaluation |
| No data exploration | Medium | Best Practice |
| No input validation | Medium | Robustness |
| No cross-validation | Medium | Evaluation |
| Hardcoded values | Low | Code Quality |
| No model persistence | Medium | Usability |</t>
  </si>
  <si>
    <t>This Python code provides a basic machine learning pipeline for a classification task using Logistic Regression. While functional for a simple demonstration, it has several issues, bugs, and bad practices that would hinder its robustness, maintainability, and effectiveness in a real-world scenario.
Here's a breakdown of the problems:
### 1. Data Loading and Initial Setup
*   **Hardcoded Filename:**
    *   **Problem:** The filename `"loans.csv"` is hardcoded directly into `pd.read_csv()`.
    *   **Explanation:** This makes the script inflexible. If the file name changes or the script is moved to a different environment, it will break.
    *   **Improvement:** Store it as a variable at the top of the script, or pass it as an argument if this were a function.
*   **Lack of Error Handling for File Loading:**
    *   **Problem:** If `loans.csv` does not exist or is corrupted, `pd.read_csv()` will raise a `FileNotFoundError` or other pandas parsing errors, crashing the script.
    *   **Explanation:** Robust applications should anticipate and handle such common failures gracefully.
    *   **Improvement:** Wrap the data loading in a `try-except` block to catch potential `FileNotFoundError` or `pd.errors.EmptyDataError`, etc., and provide a user-friendly error message.
### 2. Data Preprocessing and Feature Engineering
*   **No Data Exploration/Validation:**
    *   **Problem:** There's no check to ensure the specified `features` columns actually exist in the DataFrame, or to inspect their data types, distributions, or value ranges.
    *   **Explanation:** If a feature name is misspelled or doesn't exist, the script will crash when trying to access `df[features]`. Also, it's assumed all features are numeric and ready for modeling.
    *   **Improvement:** Add `df.head()`, `df.info()`, `df.describe()`, and `df.isnull().sum()` calls. Check `df.columns` to validate feature names.
*   **No Handling of Missing Values (NaNs):**
    *   **Problem:** Logistic Regression, like many scikit-learn models, does not natively handle missing values (NaNs). If `loans.csv` contains NaNs in any of the `features` columns or the `defaulted` column, `model.fit()` will raise an error.
    *   **Explanation:** This is a common data quality issue that needs to be addressed before modeling.
    *   **Improvement:** Implement strategies for handling NaNs, such as imputation (e.g., `SimpleImputer` from `sklearn.impute`), or dropping rows/columns with too many missing values, depending on the context.
*   **No Feature Scaling:**
    *   **Problem:** Logistic Regression models using gradient descent (like the default `lbfgs` or `saga` solvers in `sklearn`) are sensitive to the scale of features. Features with larger ranges (e.g., `income` or `loan_amount`) can dominate the optimization process.
    *   **Explanation:** While `max_iter=1000` might eventually converge, scaling features generally leads to faster convergence and can sometimes improve model performance and stability.
    *   **Improvement:** Apply feature scaling (e.g., `StandardScaler` or `MinMaxScaler` from `sklearn.preprocessing`) to `X_train` and `X_test`. This should be done *after* the train-test split to prevent data leakage.
*   **Implicit Assumption about Feature Types:**
    *   **Problem:** It's assumed that `income`, `credit_score`, `loan_amount`, and `employment_years` are all numeric and suitable for direct use in Logistic Regression.
    *   **Explanation:** If any of these were categorical (e.g., `employment_type`), they would need proper encoding (e.g., one-hot encoding) before being fed to the model.
    *   **Improvement:** Data exploration would reveal this, and appropriate encoding steps would be added if necessary.
### 3. Train-Test Split
*   **No Stratified Sampling for Target Variable:**
    *   **Problem:** The `train_test_split` call is missing the `stratify` parameter. If the `defaulted` target variable is imbalanced (e.g., only 5% of loans default), a random split might result in highly uneven class distributions in `X_train`/`y_train` and `X_test`/`y_test`. For example, `y_train` might have very few or no defaulting cases.
    *   **Explanation:** This can lead to a model that poorly learns the minority class and an inaccurate evaluation of its performance on the test set.
    *   **Improvement:** Use `stratify=y` in `train_test_split` to ensure that both training and testing sets have roughly the same proportion of target classes as the original dataset.
### 4. Model Training
*   **No Hyperparameter Tuning (beyond `max_iter`):**
    *   **Problem:** Only `max_iter` is set for `LogisticRegression`. The `C` parameter (regularization strength) is left at its default value (1.0).
    *   **Explanation:** `C` is a crucial hyperparameter that controls the trade-off between model complexity and preventing overfitting. The default `C=1.0` might not be optimal for this specific dataset.
    *   **Improvement:** Implement hyperparameter tuning techniques like Grid Search (`GridSearchCV`) or Random Search (`RandomizedSearchCV`) to find the best `C` (and potentially other parameters like `solver`).
*   **Solver Choice:**
    *   **Problem:** The default `solver` for `LogisticRegression` (as of scikit-learn 0.22 and later) is `lbfgs`. While generally good, different solvers (e.g., `liblinear`, `saga`, `newton-cg`) can perform better or worse depending on the dataset size and characteristics, and the regularization penalty.
    *   **Explanation:** Sometimes, setting `max_iter` high is a symptom of a sub-optimal solver or unscaled features.
    *   **Improvement:** Explore different solvers during hyperparameter tuning, especially if convergence issues or slow training times occur.
### 5. Model Evaluation
*   **Sole Reliance on Accuracy for Potentially Imbalanced Data:**
    *   **Problem:** Only `accuracy_score` is used to evaluate the model. If the `defaulted` target variable is imbalanced (e.g., very few defaults), a high accuracy score can be misleading. A model that always predicts "no default" might still achieve 95% accuracy if only 5% of loans actually default.
    *   **Explanation:** Accuracy is a poor metric for imbalanced classification problems because it doesn't distinguish between the different types of errors (false positives vs. false negatives).
    *   **Improvement:** Use more appropriate metrics for binary classification, especially with imbalance:
        *   **Precision, Recall, F1-score:** To understand the trade-offs between false positives and false negatives.
        *   **Confusion Matrix:** To visualize the types of errors.
        *   **ROC AUC Score:** A robust metric that evaluates the model's ability to distinguish between classes across various thresholds.
        *   **Classification Report:** Provides precision, recall, f1-score, and support for each class.
### 6. Code Structure and Best Practices
*   **Lack of Modularity (No Functions):**
    *   **Problem:** The entire script is a monolithic block of code.
    *   **Explanation:** For larger projects, this makes the code harder to read, understand, debug, reuse, and test. If you wanted to run this process with different datasets or models, you'd have to copy-paste and modify the entire script.
    *   **Improvement:** Encapsulate different stages (data loading, preprocessing, model training, evaluation) into separate functions. For example: `load_data()`, `preprocess_data()`, `train_model()`, `evaluate_model()`.
*   **Lack of Comments and Docstrings:**
    *   **Problem:** There are no comments explaining the purpose of different sections or complex logic (though this script is relatively simple).
    *   **Explanation:** While this example is small, good practice dictates adding comments for clarity, especially for less obvious steps, and docstrings for functions/classes if they were present.
    *   **Improvement:** Add comments where necessary to explain the rationale behind certain choices or steps.
*   **"Magic Numbers" and Strings:**
    *   **Problem:** Values like `0.2` (test size), `42` (random state), `1000` (max_iter), and feature names are directly embedded.
    *   **Explanation:** These are "magic values" that are hard to quickly understand their purpose without context. Changing them requires searching and modifying the code directly.
    *   **Improvement:** Assign these to clearly named constants or configuration variables at the top of the script.
### Summary of Recommendations:
1.  **Constants:** Define constants for the filename, feature names, target name, test size, and random state.
2.  **Error Handling:** Add `try-except` blocks for file loading.
3.  **Data Exploration:** Include steps to inspect the data (`df.info()`, `df.describe()`, `df.isnull().sum()`).
4.  **Preprocessing Pipeline:**
    *   Handle missing values (e.g., `SimpleImputer`).
    *   Scale features (e.g., `StandardScaler`).
    *   Consider using `Pipeline` from `sklearn.pipeline` to chain preprocessing and model steps.
5.  **Stratified Split:** Use `stratify=y` in `train_test_split`.
6.  **Hyperparameter Tuning:** Use `GridSearchCV` or `RandomizedSearchCV` to find optimal hyperparameters (especially `C`).
7.  **Robust Evaluation:** Use a `classification_report` or other appropriate metrics (F1-score, ROC AUC) in addition to accuracy.
8.  **Modularity:** Refactor the code into functions for better organization.</t>
  </si>
  <si>
    <t>The provided code does not exhibit any direct signs of data leakage. Here's why:
1. **Feature Set**: The features used for training the model are "income," "credit_score," "loan_amount," and "employment_years." These features are typical attributes used to evaluate credit risk, and none appears to contain information that inherently leaks from the target variable within the provided context.
2. **Train-Test Split**: The code correctly splits the entire dataset into training and testing sets using `train_test_split` with the specified `test_size=0.2` before the model is trained. This ensures that the model does not have access to the test data during training.
3. **Model Training and Evaluation**: The model is trained using only the `X_train` and `y_train` datasets. Testing is performed on `X_test` and `y_test`, which the model has not seen during training. Therefore, the evaluation does not involve any data that was used during training.
In summary, the code correctly handles feature selection, data splitting, model training, and evaluation in a way that prevents test data leakage into the training process. Based on the code provided and without additional context regarding the dataset "loans.csv," the process appears to be free of data leakage.</t>
  </si>
  <si>
    <t>The provided Python machine learning pipeline code is generally well-structured and appears to avoid common pitfalls associated with data leakage. Let's carefully analyze it:
1. **Data Separation**: The code properly separates the dataset into training and testing subsets using `train_test_split`. Specifically, the features (X) and target variable (y) are split before the model is trained. This is a critical step in preventing data leakage, as it ensures that the model is trained solely on the training data (`X_train` and `y_train`), without exposure to the test data.
2. **Feature Engineering**: The code does not show any feature engineering or preprocessing steps that incorporate the target variable or information from the test set into the training process. The features used for training (`income`, `credit_score`, `loan_amount`, and `employment_years`) do not seem to include any derived features that would leak information about the target variable (`defaulted`).
3. **Model Training and Testing**: The logistic regression model is trained on `X_train` and `y_train`, and only `X_test` is used for prediction after the model has been fitted. This separation guards against training the model on data that it would later see during evaluation.
### Conclusion
Based on the provided code, there is no indication of data leakage. The features used for training are independent of the target variable and the appropriate train-test split is applied. The model training and evaluation follow standard practices that prevent any inadvertent use of test data in training, which is crucial for obtaining an unbiased estimate of model performance. 
Therefore, I conclude that the code is free of data leakage.</t>
  </si>
  <si>
    <t>## Data Leakage Analysis
**Verdict: No data leakage detected in this code.**
This pipeline follows correct machine learning practices. Here is a breakdown of why each potential leakage point is handled properly.
---
### What the Code Does Correctly
**1. Train/Test Split Before Any Fitting**
```python
X_train, X_test, y_train, y_test = train_test_split(
    X, y, test_size=0.2, random_state=42
)
```
The split happens before any model training or data transformation. The test set is isolated immediately and correctly.
**2. Model Fitted Only on Training Data**
```python
model.fit(X_train, y_train)  # Only sees training data
```
The model learns parameters exclusively from `X_train` and `y_train`. No test data influences the model's internal state.
**3. Test Set Used Only for Evaluation**
```python
y_pred = model.predict(X_test)
print(f"Accuracy: {accuracy_score(y_test, y_pred):.4f}")
```
`X_test` is only used for generating predictions, and `y_test` only for scoring. Neither feeds back into training.
**4. Features Are Appropriate**
The selected features (`income`, `credit_score`, `loan_amount`, `employment_years`) are all characteristics knowable *at the time a loan application is made*, so they do not encode future information about the outcome.
---
### What to Watch For If the Code Evolves
While this code is clean, common leakage patterns to guard against in future iterations include:
```python
# BAD: Fitting a scaler on all data before splitting
scaler = StandardScaler()
X_scaled = scaler.fit_transform(X)          # Leaks test stats into training
X_train, X_test = train_test_split(X_scaled, ...)
# GOOD: Fit only on training data
scaler.fit(X_train)
X_train_scaled = scaler.transform(X_train)
X_test_scaled  = scaler.transform(X_test)   # Uses training statistics only
# BAD: Target-encoded feature computed on full dataset
df["risk_score"] = df.groupby("zip_code")["defaulted"].transform("mean")
# BAD: A feature that could only exist after the outcome
features = [..., "collections_reported"]  # If this is post-default data
```
---
### Summary
| Check | Status |
|---|---|
| Split before fitting | ✅ Correct |
| Model trained only on train set | ✅ Correct |
| No preprocessing fitted on full data | ✅ No preprocessing present |
| Features available at prediction time | ✅ Appropriate features |
| No target-derived features | ✅ None present |
The code is a straightforward, correctly structured baseline pipeline with no data leakage.</t>
  </si>
  <si>
    <t># Data Leakage Review
## Verdict: **NO DATA LEAKAGE DETECTED**
This code is **free of data leakage**. Here's why:
### ✓ Correct Practices Observed
1. **Train-test split occurs first**
   - `train_test_split()` is called before any model training, properly separating the data
2. **No preprocessing before split**
   - Features are selected directly from the raw dataframe without any transformation, scaling, or imputation that could leak information
3. **Model only sees training data**
   - `model.fit(X_train, y_train)` uses only the training subset
   - Evaluation uses the held-out `X_test` and `y_test`
4. **No temporal or sequential leakage**
   - The random split (with `random_state=42`) doesn't create leakage patterns that would occur in time-series data
5. **Features appear appropriate**
   - All features (income, credit_score, loan_amount, employment_years) would be available at prediction time for a new loan application
   - None encode information about defaults that wouldn't be known beforehand
---
### ⚠️ Minor Note (Not Leakage, But Best Practice)
If you were adding **preprocessing steps** (scaling, imputation, feature engineering, etc.), you'd need to fit those transformers **only on training data**:
```python
from sklearn.preprocessing import StandardScaler
from sklearn.pipeline import Pipeline
# Good: Scaler fits only on training data
scaler = StandardScaler()
X_train_scaled = scaler.fit_transform(X_train)
X_test_scaled = scaler.transform(X_test)  # transform only
```
But as written, the code has **no leakage issues**.</t>
  </si>
  <si>
    <t>Upon reviewing the provided Python machine learning pipeline code, I can state that **this code does not contain any form of data leakage.**
Here's a breakdown of why, addressing both common types of data leakage:
### 1. No Train-Test Contamination/Leakage
Train-test leakage occurs when information from the test set is inadvertently used during the training phase. This often happens with data preprocessing steps (scaling, imputation, feature engineering) applied *before* the train-test split, or by fitting transformers on the entire dataset.
In this code:
*   The dataset `df` is loaded.
*   Features `X` and target `y` are defined from the full `df`.
*   Crucially, `train_test_split(X, y, test_size=0.2, random_state=42)` is performed *before* any other operations. This ensures that the training set (`X_train`, `y_train`) and testing set (`X_test`, `y_test`) are completely separate from the beginning.
*   The `LogisticRegression` model is then `fit` *only* on `X_train` and `y_train`. The test data (`X_test`, `y_test`) is not used at all during model training.
*   Predictions `y_pred` are made on `X_test`, and evaluation (`accuracy_score`) is performed using `y_test` and `y_pred`.
This sequence correctly isolates the test set, ensuring that the model's performance on the test set is a true reflection of its generalization ability to unseen data.
### 2. No Target Leakage
Target leakage occurs when a feature directly or indirectly encodes information about the target variable that would not be available at the time of prediction for new, unseen data.
In this code:
*   The features selected are `"income"`, `"credit_score"`, `"loan_amount"`, and `"employment_years"`.
*   The target variable is `"defaulted"`.
These features are all attributes of an applicant or a loan request that would naturally be known *before* a loan decision is made and *before* the loan either defaults or is successfully repaid.
*   `income`: Applicant's income at the time of application.
*   `credit_score`: Applicant's credit score at the time of application.
*   `loan_amount`: The amount the applicant is requesting.
*   `employment_years`: Applicant's years of employment at the time of application.
None of these features appear to be derived from the outcome of the loan (`defaulted`) or contain information that would only become available *after* the loan process has started or concluded. For example, a feature like `"has_made_first_payment"` would be target leakage if used to predict initial default, because that information is only available *after* the loan is issued and the first payment due date passes. The features used here are all pre-loan attributes.
**Conclusion:**
The provided Python machine learning pipeline code is well-structured and follows best practices for preventing data leakage. The `train_test_split` is performed early, and the chosen features appear to be genuinely predictive and available at prediction time, without encoding future information about the target.</t>
  </si>
  <si>
    <t>The provided Python code appears to perform a standard machine learning workflow using the GradientBoostingClassifier from scikit-learn. However, there are a few points related to issues, potential bugs, or bad practices that should be addressed:
1. **Missing Data Handling**: There is no check for missing data in the dataset. Missing values could result in errors during model training and prediction. It's a good practice to handle missing values by either imputing them or removing affected rows/columns before proceeding with the analysis.
2. **Categorical Data**: The feature "discharge_type" is potentially a categorical variable and might need to be encoded (e.g., using one-hot encoding) before being used in the model. Failing to encode categorical variables can lead to unexpected results or errors because most models expect numerical input.
3. **Feature Scaling**: Although not strictly necessary for tree-based methods like Gradient Boosting, it's generally a good practice to consider feature scaling for datasets, especially if later switching to algorithms that are sensitive to feature scales (e.g., k-NN or SVM).
4. **Hardcoded File Path**: The use of a hardcoded file path ("hospital.csv") could cause the code to fail if the data file is not located in the current working directory. It's better to make the file path easily configurable or use a command-line argument, relative path, or environment variable to specify the file location.
5. **Static List of Features**: The list of features is manually specified, which is fine in certain cases but can lead to issues if the dataset schema changes. You might consider using some schema validation or dynamically determining which columns to use as features based on data types or other criteria.
6. **Error Handling**: There is no error handling for potential runtime issues such as reading a file that does not exist or encountering data type issues during model training. Implementing try-except blocks around reading the data or the model fitting could make the code more robust.
7. **Model Evaluation**: Accuracy score is used as the sole metric for evaluating the model's performance. Depending on the problem (e.g., if the dataset is imbalanced), using additional metrics like precision, recall, F1-score, or AUC-ROC could provide a more comprehensive view of the model's performance.
8. **Comments and Documentation**: While the code is relatively straightforward, adding some comments or a brief documentation section explaining the goal of each step can be helpful, especially for someone reading the code for the first time or for future maintenance.
Addressing these points can improve the robustness, flexibility, and readability of the code.</t>
  </si>
  <si>
    <t>The provided Python code performs a classification task using the Gradient Boosting Classifier from scikit-learn and handles a dataset from a CSV file. While the code is generally well-structured, there are several issues, best practices, and potential improvements that can be addressed:
1. **Error Handling for File Reading**:
   - **Issue**: If `hospital.csv` doesn’t exist or is unreadable, the code will raise an error which could result in a program crash.
   - **Solution**: Use a try-except block to handle potential errors when reading the CSV file.
     ```python
     try:
         df = pd.read_csv("hospital.csv")
     except FileNotFoundError:
         print("The file was not found.")
         exit()
     except pd.errors.EmptyDataError:
         print("The file is empty.")
         exit()
     ```
2. **Data Preprocessing**:
   - **Issue**: The code does not include any preprocessing steps like handling missing values, encoding categorical variables, etc. This can lead to errors during model training.
   - **Solution**: Include checks for missing values and perform necessary preprocessing like filling missing values, one-hot encoding for categorical features if applicable.
     ```python
     # Example for handling missing values
     df.fillna(df.mean(), inplace=True)  # Simple imputation for numerical data
     # If "discharge_type" is categorical, consider encoding it appropriately
     df = pd.get_dummies(df, columns=['discharge_type'], drop_first=True)
     ```
3. **Feature Selection**:
   - **Issue**: The features must be verified to ensure they are appropriate for the task and have informative relationships with the target variable. It's possible that some features may be irrelevant or redundant.
   - **Solution**: Explore features using techniques such as correlation matrices or feature importance from models prior to selection. If some features are categorical, ensure they are correctly encoded.
4. **Assessing Model Performance**:
   - **Issue**: Accuracy alone may not be a sufficient metric to evaluate model performance, especially if the dataset is imbalanced (e.g., if a majority of the instances belong to one class).
   - **Solution**: Use additional metrics such as precision, recall, F1-score, or ROC-AUC, especially in medical datasets where false negatives might be critical.
     ```python
     from sklearn.metrics import classification_report
     print(classification_report(y_test, y_pred))
     ```
5. **Setting `random_state`**:
   - **Best Practice**: The explicit setting of `random_state` in `train_test_split` and the model ensures reproducibility, which is good practice.
6. **Model Hyperparameters**:
   - **Issue**: The model uses default hyperparameters which may not be optimal for your specific dataset.
   - **Solution**: Consider conducting hyperparameter tuning using methods such as GridSearchCV to find the best performing set of hyperparameters for the model.
     ```python
     from sklearn.model_selection import GridSearchCV
     parameters = {'n_estimators': [100, 200], 'learning_rate': [0.01, 0.1]}
     grid_search = GridSearchCV(GradientBoostingClassifier(random_state=42), parameters)
     grid_search.fit(X_train, y_train)
     print(f"Best parameters: {grid_search.best_params_}")
     ```
7. **Documentation and Comments**:
   - **Issue**: The code lacks comments, making it less readable and understandable, especially for people who might not be familiar with the specifics of the code.
   - **Solution**: Add comments explaining what each major block of code does, along with any critical assumptions made throughout the code.
8. **Data Type Considerations**:
   - **Issue**: The code assumes that all columns listed in `features` are numeric (for example, "age", "bmi", "blood_pressure"). If any of them are strings (such as "insurance_claim_amount" due to formatting issues), it would lead to errors during model training.
   - **Solution**: Validate the data types of the features and ensure they are appropriate for the model.
### Revised Code Example
Here’s a revised version of your original code that addresses some of the comments raised above. 
```python
import pandas as pd
from sklearn.model_selection import train_test_split
from sklearn.ensemble import GradientBoostingClassifier
from sklearn.metrics import accuracy_score, classification_report
# Read the CSV file with error handling
try:
    df = pd.read_csv("hospital.csv")
except FileNotFoundError:
    print("The file was not found.")
    exit()
except pd.errors.EmptyDataError:
    print("The file is empty.")
    exit()
# Data Preprocessing
df.fillna(df.mean(), inplace=True)  # Handle missing values
df = pd.get_dummies(df, columns=['discharge_type'], drop_first=True)  # One-hot encoding
# Select features and target
features = [
    "age", "bmi", "blood_pressure", "num_symptoms",
    "insurance_claim_amount", "discharge_type"
]
X = df[features]
y = df["readmitted_within_30_days"]
# Split the dataset
X_train, X_test, y_train, y_test = train_test_split(
    X, y, test_size=0.2, random_state=42
)
# Train the model
model = GradientBoostingClassifier(n_estimators=100, random_state=42)
model.fit(X_train, y_train)
# Predict and evaluate the model
y_pred = model.predict(X_test)
print(f"Accuracy: {accuracy_score(y_test, y_pred):.4f}")
print(classification_report(y_test, y_pred))
```
This code now includes error handling for reading the data, preprocessing steps, and additional metrics for evaluating model performance.</t>
  </si>
  <si>
    <t>## Code Review: Hospital Readmission Classifier
This code has several significant issues spanning data quality, methodology, and software engineering practices. Here's a thorough breakdown:
---
### 1. No Data Validation or Inspection
```python
# Current code jumps straight to modeling after loading
df = pd.read_csv("hospital.csv")
X = df[features]
```
**Problem:** There is no exploratory step to understand the data before using it.
```python
# Recommended additions after loading
print(df.shape)
print(df.dtypes)
print(df.head())
print(df.isnull().sum())
print(df.describe())
print(y.value_counts(normalize=True))  # Check class balance
```
Without this, you have no idea what you're feeding into the model.
---
### 2. Missing Value Handling is Absent
```python
X = df[features]  # No null checks
model.fit(X_train, y_train)  # Will crash if nulls exist
```
**Problem:** `GradientBoostingClassifier` will raise a `ValueError` if the data contains `NaN` values, which are common in medical datasets. The code will fail silently during loading and only crash at fit time, making debugging harder.
```python
# Option A: Drop rows with missing values (may lose important data)
df = df.dropna(subset=features + ["readmitted_within_30_days"])
# Option B: Impute missing values (generally preferred for medical data)
from sklearn.impute import SimpleImputer
numeric_features = ["age", "bmi", "blood_pressure", "num_symptoms",
                    "insurance_claim_amount"]
categorical_features = ["discharge_type"]
numeric_imputer = SimpleImputer(strategy="median")  # Median is robust to outliers
categorical_imputer = SimpleImputer(strategy="most_frequent")
```
---
### 3. Categorical Feature Not Encoded
```python
features = [
    "age", "bmi", "blood_pressure", "num_symptoms",
    "insurance_claim_amount", "discharge_type"  # String/categorical column
]
X = df[features]  # Used raw without encoding
```
**Problem:** `discharge_type` is almost certainly a categorical string column (e.g., `"home"`, `"rehab"`, `"skilled_nursing"`). Scikit-learn's `GradientBoostingClassifier` does not accept string features and will raise a `ValueError`.
```python
from sklearn.preprocessing import OrdinalEncoder, OneHotEncoder
# If discharge_type has no ordinal relationship, use one-hot encoding
encoder = OneHotEncoder(handle_unknown="ignore", sparse_output=False)
# Better approach: use a full pipeline (see issue #6)
```
---
### 4. No Feature Scaling
```python
# Features span very different ranges:
# age: 0-120, bmi: 10-60, insurance_claim_amount: potentially 0-100,000+
model.fit(X_train, y_train)
```
**Problem:** While `GradientBoostingClassifier` is tree-based and technically does not require scaling, the wildly different numeric ranges are a signal that outliers (e.g., extreme claim amounts) may dominate splits inappropriately. More importantly, this code pattern is dangerous because if the model is ever swapped for a distance-based or linear model, missing scaling causes silent but severe performance degradation.
```python
from sklearn.preprocessing import StandardScaler
# Better to include scaling in a pipeline for consistency and safety
```
---
### 5. Class Imbalance Is Ignored
```python
y = df["readmitted_within_30_days"]
# No check or handling for class imbalance
model = GradientBoostingClassifier(n_estimators=100, random_state=42)
```
**Problem:** Hospital readmission datasets are almost always heavily imbalanced. If only 10% of patients are readmitted, a model that always predicts `0` achieves **90% accuracy**, which is exactly why the next issue is also critical.
```python
# Check balance first
print(y.value_counts(normalize=True))
# Potential mitigations:
# Option A: Use class_weight-equivalent via scale_pos_weight or sampling
from imblearn.over_sampling import SMOTE
from imblearn.pipeline import Pipeline as ImbPipeline
# Option B: Set class weights in the classifier
# GradientBoostingClassifier doesn't have class_weight, so use:
from sklearn.ensemble import HistGradientBoostingClassifier  # Has better support
```
---
### 6. Accuracy Is a Misleading Metric for This Problem
```python
print(f"Accuracy: {accuracy_score(y_test, y_pred):.4f}")
```
**Problem:** For an imbalanced medical classification task, accuracy is nearly useless as a standalone metric. Clinically, a **false negative** (missing a patient who will be readmitted) is far more costly than a false positive.
```python
from sklearn.metrics import (
    classification_report,
    confusion_matrix,
    roc_auc_score,
    average_precision_score  # Better than ROC-AUC under severe imbalance
)
print(classification_report(y_test, y_pred))
print("Confusion Matrix:\n", confusion_matrix(y_test, y_pred))
print(f"ROC-AUC: {roc_auc_score(y_test, model.predict_proba(X_test)[:, 1]):.4f}")
print(f"Avg Precision: {average_precision_score(y_test, model.predict_proba(X_test)[:, 1]):.4f}")
```
---
### 7. No Pipeline — Preprocessing Steps Are Not Encapsulated
```python
# Preprocessing done separately from the model
X_train, X_test, ...  # Then transform, then fit separately
```
**Problem:** Without a `Pipeline`, there is a high risk of **data leakage** — for example, fitting an imputer or scaler on the full dataset (or on both train and test) before splitting. It also makes deployment and cross-validation error-prone.
```python
from sklearn.pipeline import Pipeline
from sklearn.compose import ColumnTransformer
numeric_features = ["age", "bmi", "blood_pressure",
                    "num_symptoms", "insurance_claim_amount"]
categorical_features = ["discharge_type"]
numeric_transformer = Pipeline(steps=[
    ("imputer", SimpleImputer(strategy="median")),
    ("scaler", StandardScaler())
])
categorical_transformer = Pipeline(steps=[
    ("imputer", SimpleImputer(strategy="most_frequent")),
    ("encoder", OneHotEncoder(handle_unknown="ignore"))
])
preprocessor = ColumnTransformer(transformers=[
    ("num", numeric_transformer, numeric_features),
    ("cat", categorical_transformer, categorical_features)
])
full_pipeline = Pipeline(steps=[
    ("preprocessor", preprocessor),
    ("classifier", GradientBoostingClassifier(n_estimators=100, random_state=42))
])
full_pipeline.fit(X_train, y_train)
y_pred = full_pipeline.predict(X_test)
```
---
### 8. No Cross-Validation
```python
X_train, X_test, y_train, y_test = train_test_split(
    X, y, test_size=0.2, random_state=42
)
model.fit(X_train, y_train)
```
**Problem:** A single train/test split gives a high-variance estimate of model performance. The result can be lucky or unlucky depending on which 20% ended up in the test set.
```python
from sklearn.model_selection import StratifiedKFold, cross_val_score
cv = StratifiedKFold(n_splits=5, shuffle=True, random_state=42)
# Stratified is critical for imbalanced classes
scores = cross_val_score(
    full_pipeline, X, y, cv=cv, scoring="roc_auc"
)
print(f"CV ROC-AUC: {scores.mean():.4f} ± {</t>
  </si>
  <si>
    <t># Code Review: Issues and Problems Found
## 1. **No Data Validation or Error Handling** ⚠️
**Severity: High**
```python
df = pd.read_csv("hospital.csv")
```
**Problems:**
- No check if file exists
- No handling of file read errors
- No validation that required columns exist
- No checks for missing values in the dataset
**Fix:**
```python
try:
    df = pd.read_csv("hospital.csv")
    required_cols = features + ["readmitted_within_30_days"]
    if not all(col in df.columns for col in required_cols):
        raise ValueError(f"Missing required columns")
except FileNotFoundError:
    print("Error: hospital.csv not found")
    exit(1)
```
---
## 2. **No Missing Value Handling** ⚠️
**Severity: High**
**Problem:**
- `GradientBoostingClassifier` cannot handle NaN values
- Silent failures or incorrect results if NaNs exist
**Fix:**
```python
print(f"Missing values:\n{df[features + ['readmitted_within_30_days']].isnull().sum()}")
df = df.dropna(subset=features + ["readmitted_within_30_days"])
# OR impute values if appropriate
```
---
## 3. **No Feature Type Validation** ⚠️
**Severity: High**
**Problem:**
- `discharge_type` is likely categorical but not encoded
- GradientBoosting requires numeric input; this will cause an error
**Fix:**
```python
# Check and encode categorical features
X = pd.get_dummies(X, columns=['discharge_type'], drop_first=True)
# OR use LabelEncoder for binary categorical features
```
---
## 4. **No Feature Scaling** ⚠️
**Severity: Medium**
**Problem:**
- Features like "insurance_claim_amount" may have very different scales
- While GradientBoosting is somewhat scale-invariant, inconsistent scales can affect performance
**Fix:**
```python
from sklearn.preprocessing import StandardScaler
scaler = StandardScaler()
X_train = scaler.fit_transform(X_train)
X_test = scaler.transform(X_test)
```
---
## 5. **Insufficient Model Evaluation** ⚠️
**Severity: Medium**
**Problem:**
- Only accuracy reported (can be misleading with imbalanced classes)
- No train/test comparison (can't detect overfitting)
- No cross-validation
- No other metrics (precision, recall, F1, ROC-AUC)
**Fix:**
```python
from sklearn.metrics import classification_report, confusion_matrix, roc_auc_score
y_train_pred = model.predict(X_train)
print(f"Train Accuracy: {accuracy_score(y_train, y_train_pred):.4f}")
print(f"Test Accuracy: {accuracy_score(y_test, y_pred):.4f}")
print(f"\nClassification Report:\n{classification_report(y_test, y_pred)}")
print(f"ROC-AUC: {roc_auc_score(y_test, model.predict_proba(X_test)[:, 1]):.4f}")
```
---
## 6. **No Class Balance Check** ⚠️
**Severity: Medium**
**Problem:**
- Medical datasets often have imbalanced classes (e.g., 95% not readmitted)
- Model may predict majority class and still have high accuracy
- No handling of class imbalance
**Fix:**
```python
print(f"Class distribution:\n{y.value_counts()}")
print(f"Class proportions:\n{y.value_counts(normalize=True)}")
# Use balanced model or adjust class weights
model = GradientBoostingClassifier(
    n_estimators=100, 
    random_state=42,
    scale_pos_weight=len(y[y==0]) / len(y[y==1])  # if applicable
)
```
---
## 7. **Hardcoded File Path** ⚠️
**Severity: Low**
**Problem:**
- Path is hardcoded; inflexible for different environments
**Fix:**
```python
import sys
from pathlib import Path
data_path = Path(__file__).parent / "hospital.csv"
df = pd.read_csv(data_path)
```
---
## 8. **No Random State Documentation** ⚠️
**Severity: Low**
**Problem:**
- `random_state=42` is used but not explained
- Different people might not understand why reproducibility was chosen
**Fix:**
```python
# Set random state for reproducibility
RANDOM_STATE = 42
X_train, X_test, y_train, y_test = train_test_split(
    X, y, test_size=0.2, random_state=RANDOM_STATE
)
```
---
## Summary Table
| Issue | Severity | Type |
|-------|----------|------|
| No error handling | High | Robustness |
| Missing value handling | High | Data Quality |
| Categorical encoding | High | Feature Engineering |
| Feature scaling | Medium | Model Tuning |
| Insufficient evaluation | Medium | Model Validation |
| Class imbalance unchecked | Medium | Data Exploration |
| Hardcoded paths | Low | Code Quality |
| No documentation | Low | Maintainability |</t>
  </si>
  <si>
    <t>The provided Python code snippet demonstrates a basic machine learning workflow for a classification task. While functional for a very specific and clean dataset, it contains several issues, bugs, and bad practices that make it fragile, unreliable, and potentially misleading for real-world data.
Here's a breakdown of the problems:
---
### Critical Issues / Potential Bugs
1.  **Lack of Data Preprocessing for Categorical Features:**
    *   **Problem:** The `features` list includes `"discharge_type"`. It's highly probable that `discharge_type` is a categorical variable (e.g., "home", "rehab", "death", "transferred"). Scikit-learn models, especially `GradientBoostingClassifier`, generally expect numerical input. Passing string categories directly to `model.fit()` will either raise an error (e.g., `ValueError: could not convert string to float`) or, if Pandas/NumPy silently coerce them to NaNs or some other unexpected numerical representation, lead to incorrect model behavior.
    *   **Explanation:** Machine learning algorithms work with numerical data. Categorical features need to be converted into a numerical format, typically using techniques like One-Hot Encoding (`pd.get_dummies` or `sklearn.preprocessing.OneHotEncoder`) or Label Encoding (`sklearn.preprocessing.LabelEncoder`).
    *   **Solution:** Identify and preprocess categorical columns using an appropriate encoding strategy *before* training the model.
2.  **No Handling of Missing Values (NaNs):**
    *   **Problem:** The code directly uses `df[features]` and `df["readmitted_within_30_days"]` without any checks for missing values (`NaN`). `GradientBoostingClassifier` (like many scikit-learn estimators) cannot handle `NaN` values directly in its input `X`. If any of the selected features or the target variable contain `NaN`s, `model.fit()` will raise a `ValueError`.
    *   **Explanation:** Real-world datasets frequently have missing values. Ignoring them will lead to crashes or incorrect results.
    *   **Solution:** Implement a strategy to handle missing values. Common approaches include:
        *   **Imputation:** Filling `NaN`s with a statistic (mean, median, mode) of the column, or a more sophisticated imputer (`sklearn.impute.SimpleImputer`).
        *   **Dropping:** Removing rows or columns that contain `NaN`s (use with caution, as it can lead to data loss).
        *   **Advanced Methods:** Using models that can handle missing values natively, or more complex imputation techniques.
---
### Important Best Practices / Potential Enhancements
3.  **No Stratification in Train-Test Split:**
    *   **Problem:** The `train_test_split` function is called without the `stratify` parameter. For classification problems, especially when the target variable (`y`) is imbalanced (e.g., only a small percentage of patients are readmitted), it's crucial to ensure that the proportions of the target classes are similar in both the training and testing sets. Without stratification, a random split might result in one set having significantly more or fewer instances of a particular class, leading to biased model training or evaluation.
    *   **Explanation:** If, for example, readmission is rare (e.g., 5% of cases), a non-stratified split could by chance put all or most of the readmitted cases into the training set, leaving the test set with very few or no positive examples, making evaluation difficult or misleading.
    *   **Solution:** Add `stratify=y` to the `train_test_split` function call:
        ```python
        X_train, X_test, y_train, y_test = train_test_split(
            X, y, test_size=0.2, random_state=42, stratify=y
        )
        ```
4.  **Choice of Evaluation Metric (Accuracy) for Potentially Imbalanced Data:**
    *   **Problem:** "Readmitted within 30 days" is a common scenario for an imbalanced dataset (fewer people are readmitted than not). If the dataset is significantly imbalanced, `accuracy_score` can be a misleading metric. A model that simply predicts the majority class for all instances could achieve very high accuracy, even if it's useless for identifying the minority (positive) class (e.g., predicting "not readmitted" for 95% of cases would yield 95% accuracy if 95% are not readmitted, but it would miss all actual readmissions).
    *   **Explanation:** In medical contexts, identifying the positive class (readmission) is often more critical, and false negatives (missing a readmission) can be costly.
    *   **Solution:** Consider using additional or more appropriate metrics for imbalanced classification:
        *   **Precision, Recall, F1-score:** Especially for the positive class.
        *   **ROC AUC (Area Under the Receiver Operating Characteristic Curve):** Provides a comprehensive measure of a classifier's performance across all possible classification thresholds.
        *   **Confusion Matrix:** To understand the types of errors the model is making (false positives, false negatives).
        *   **Classification Report:** `sklearn.metrics.classification_report(y_test, y_pred)` provides precision, recall, f1-score, and support for each class.
5.  **Lack of Error Handling for File Loading:**
    *   **Problem:** The line `df = pd.read_csv("hospital.csv")` assumes that `hospital.csv` exists in the current working directory. If the file is not found, a `FileNotFoundError` will be raised, crashing the script.
    *   **Explanation:** Robust applications should handle potential I/O errors gracefully.
    *   **Solution:** Wrap the file loading in a `try-except` block to catch `FileNotFoundError` and provide a user-friendly message or take alternative action.
        ```python
        try:
            df = pd.read_csv("hospital.csv")
        except FileNotFoundError:
            print("Error: 'hospital.csv' not found. Please ensure the file is in the correct directory.")
            # Exit or handle the error appropriately
            exit()
        ```
6.  **No Hyperparameter Tuning or Cross-Validation:**
    *   **Problem:** The `GradientBoostingClassifier` is initialized with `n_estimators=100` and default values for other hyperparameters (e.g., `learning_rate=0.1`, `max_depth=3`). These values are arbitrary and not necessarily optimal for the specific dataset. The model's performance is evaluated only on a single test set split.
    *   **Explanation:** To find the best performing model and get a more reliable estimate of its generalization performance, hyperparameter tuning (e.g., using `GridSearchCV` or `RandomizedSearchCV`) combined with cross-validation is essential. Cross-validation helps reduce the variance of the performance estimate by evaluating the model on multiple train-test splits.
    *   **Solution:** Implement hyperparameter tuning with cross-validation. This would involve a more extensive workflow using `sklearn.model_selection.GridSearchCV` or `RandomizedSearchCV`.
7.  **No Model Persistence:**
    *   **Problem:** The trained `model` is not saved after training. If this script is part of a larger application or needs to be deployed, the model would have to be retrained every time, which is inefficient.
    *   **Explanation:** For deployment or future use, a trained model should be serialized (e.g., using `joblib` or `pickle`) to a file.
    *   **Solution:** After training, save the model:
        ```python
        import joblib
        # ... (model training) ...
        joblib.dump(model, 'gradient_boosting_model.pkl')
        ```
        And later, load it:
        ```python
        # loaded_model = joblib.load('gradient_boosting_model.pkl')
        ```
8.  **Hardcoded Values and Lack of Configuration:**
    *   **Problem:** The filename (`hospital.csv`), features list, test size (`0.2`), and some model parameters are hardcoded directly within the script.
    *   **Explanation:** For larger projects, or when sharing code, it's better to externalize these values into a configuration file, command-line arguments, or a dedicated configuration dictionary. This makes the code more flexible, maintainable, and reusable without editing the source code.
    *   **Solution:** Consider using a configuration file (e.g., YAML, JSON), `argparse` for command-line arguments, or a dedicated `config` dictionary.
9.  **Potential for Feature Scaling (Minor for GBC, but good practice):**
    *   **Problem:** While `GradientBoostingClassifier` is generally less sensitive to feature scaling compared to linear models or neural networks because it's tree-based, having features with vastly different scales (e.g., `age` vs. `insurance_claim_amount`) can sometimes subtly affect convergence or the interpretability of feature importances.
    *   **Explanation:** Tree-based models primarily rely on the order of values, not their absolute scale. However, it's often a good habit to normalize or standardize numerical features, especially if experimenting with other model types later.
    *   **Solution:** For numerical features, consider applying standard scaling (`StandardScaler`) or min-max scaling (`MinMaxScaler`) after the train-test split (fit on `X_train`, transform both `X_train` and `X_test`).
---
### Summary of Most Critical Actions Needed:
1.  **Handle Categorical Features:** Encode `discharge_type` (and any other categorical features).
2.  **Handle Missing Values:** Impute or remove NaNs in `X` and `y`.
3.  **Add Stratification:** Use `stratify=y` in `train_test_split`.
4.  **Improve Evaluation:** Use additional metrics beyond accuracy (e.g., F1-score, ROC AUC).
5.  **Add File Error Handling:** Wrap `pd.read_csv` in a `try-except` block.
Addressing these issues will make the code more robust, reliable, and produce more trustworthy machine learning models.</t>
  </si>
  <si>
    <t>Upon reviewing the provided Python machine learning pipeline code, there is a potential data leakage issue related to the usage of the `features` list:
1. **Feature Selection and Leakage**: The feature `"insurance_claim_amount"` is potentially problematic. If this feature is a result of the patient being readmitted or receiving specific follow-up care within the 30 days, then it might contain information that would not be available when predicting new cases in a real-world scenario. For example, the claim amount could be related to the treatment received due to the readmittance, creating a leakage of future information into the prediction process.
2. **Discharge Type**: Similarly, the `"discharge_type"` might encode target-related information if it includes categories that reveal post-discharge outcomes that are unavailable at the decision point being modeled (i.e., when predicting readmission at the time of discharge).
If either of these features indeed carries such information, they could cause the model to learn patterns that wouldn’t occur in practice, inducing an overly optimistic evaluation result. To avoid this, one should ensure all features are based solely on information available at the prediction time.
**No Leakage in Split and Model Training**: Other parts of this pipeline, including the `train_test_split` function and the subsequent training of the model with `X_train`, are properly set up to prevent traditional train-test leakage, meaning data splitting is correctly being done before the model is fit. Therefore, if `insurance_claim_amount` and `discharge_type` are based on pre-discharge data equally accessible for patients who are subsequently readmitted or not, the script is free from leakage issues with regard to those features. 
In conclusion, ensure there is no temporal or outcome-based information in `insurance_claim_amount` and `discharge_type` that would not be available at the decision point when predictions would need to be made. If this is the case, then the feature usage in this pipeline needs to be reconsidered to prevent leakage.</t>
  </si>
  <si>
    <t>The provided Python machine learning pipeline code does not contain any apparent forms of data leakage when reviewing it based on the segments provided. Here's a detailed check of the pipeline:
1. **Data Splitting**: The code correctly uses `train_test_split` to divide the dataset into training and test sets, ensuring that the test data is only used for evaluation after model training. This is crucial for preventing data leakage, as it isolates the training process from the evaluation metrics.
2. **Feature Selection**: The features selected for the model do not seem to inherently include any information that would leak from the target variable (`readmitted_within_30_days`) into the input set (`X`). The features such as age, BMI, blood pressure, number of symptoms, insurance claim amount, and discharge type are typically standard variables that one might have access to at the time of prediction.
3. **No Target Leakage in Features**: The features provided do not encode any outcome-related information. For instance, `discharge_type` might reflect information related to how a patient was discharged but does not directly indicate whether they will be readmitted. There is no indication of time-dependent features or other derived features that may interlink the target variable within the input variables.
### Potential Areas of Concern:
While the code appears clean of direct leakage, it is important to ensure:
- **Timestamp or Event Sequences**: If the dataset included features such as timestamps or clinical events that indicate previous outcomes, that could lead to leakage. It’s always prudent to examine features closely in medical datasets for any timestamps or flags that might not be available during a real-world prediction scenario.
- **Preprocessing**: All preprocessing should be fit only on the training data and then applied to both the training and test sets. The current code does not show any preprocessing steps, so if there were scaling or normalization steps done using global statistics, it could contribute to leakage.
### Conclusion:
Based on the analysis of the provided code, there are no indicated forms of data leakage. However, the overall assurance against leakage will ultimately depend on the nature of the dataset and any preprocessing that may occur outside the current visible code. Always keep these considerations in mind during real-world data handling to ensure you're maintaining the integrity of your predictive model.</t>
  </si>
  <si>
    <t>## Data Leakage Analysis
### Summary
The code contains **two instances of data leakage**, both involving features that encode information about the outcome that would not be available at the time a real prediction needs to be made.
---
### Leakage Instance 1: `discharge_type`
```python
features = [
    "age", "bmi", "blood_pressure", "num_symptoms",
    "insurance_claim_amount", "discharge_type"  # ← leakage
]
```
**Why this is leakage:**
The target variable is `readmitted_within_30_days`. A patient is only *discharged* after their hospital stay concludes — and the nature of that discharge (e.g., "discharged to home," "discharged to skilled nursing facility," "left against medical advice") is determined at the *end* of the stay, at the same time readmission risk is being assessed, or is itself a *consequence* of the clinical trajectory that leads to readmission.
More critically, `discharge_type` is not known *before* the outcome window begins. If the model is meant to predict readmission risk **during** a stay (to intervene early), this feature does not yet exist. If it is meant to predict at discharge, it is a near-proxy for the outcome — for example, patients discharged to post-acute care are readmitted at systematically different rates, so the feature encodes outcome-related information in a way that will not generalize.
---
### Leakage Instance 2: `insurance_claim_amount`
```python
features = [
    "age", "bmi", "blood_pressure", "num_symptoms",
    "insurance_claim_amount",  # ← leakage
    "discharge_type"
]
```
**Why this is leakage:**
Insurance claims are **finalized and billed after** the hospitalization is complete and the outcome is known. The claim amount reflects the full cost of the episode of care, which is influenced by:
- Length of stay
- Procedures and interventions performed
- Complications that occurred
- The discharge disposition itself
All of these are correlated with — or directly caused by — the factors that lead to readmission. In a real deployment scenario, the final claim amount would not be available at prediction time. Using it inflates apparent model performance on the test set but produces a model that cannot actually be used.
---
### Why the Train/Test Split Does Not Protect Against This
A common misconception is that a proper `train_test_split` prevents leakage. It does prevent one *form* of leakage (using test-set statistics for preprocessing), but it does **not** protect against leakage from features that are:
1. **Temporally unavailable** at prediction time, or
2. **Causally downstream** of the outcome
Both `discharge_type` and `insurance_claim_amount` fall into these categories. The model will appear to perform well in evaluation but will **fail in production** where these values are unavailable or incomplete.
---
### Corrected Feature Set
```python
# Only features available at admission or early in the stay,
# before the outcome window begins
features = [
    "age",
    "bmi",
    "blood_pressure",
    "num_symptoms",
    # Remove: insurance_claim_amount (post-outcome billing data)
    # Remove: discharge_type (determined at end of stay)
]
```
If `discharge_type` is needed for a *post-discharge* risk model (e.g., to schedule follow-up calls), it can be included — but the model's purpose and prediction timing must be explicitly documented, and the claim amount should still be excluded until it is finalized and verified to be available at the moment of prediction.</t>
  </si>
  <si>
    <t># Data Leakage Review
## ⚠️ CRITICAL DATA LEAKAGE DETECTED
This code contains **severe data leakage** in the feature `insurance_claim_amount`.
### Where the Leakage Occurs
The feature `insurance_claim_amount` is used to predict `readmitted_within_30_days`, but this feature is fundamentally problematic:
**Insurance claim amounts are typically determined AFTER a patient is treated and discharged.** If a patient is readmitted within 30 days, their insurance claim history will reflect that readmission. Therefore, the claim amount encodes information about whether readmission occurred — it's partially a consequence of the target variable, not a cause.
### Why This Is a Problem
1. **Temporal Violation**: At the time you would make a real prediction (e.g., at discharge), you wouldn't yet know the patient's final insurance claim amount for the 30-day period.
2. **Information Leakage**: The model learns that high claim amounts correlate with readmission (because readmission generates additional claims). This appears to improve accuracy during testing, but the model would perform poorly in production.
3. **Inflated Performance**: The reported accuracy is artificially high and does not reflect real-world predictive ability.
### How to Fix It
Replace `insurance_claim_amount` with features that are known/measured **before or at discharge time**:
```python
features = [
    "age", "bmi", "blood_pressure", "num_symptoms",
    # "insurance_claim_amount",  # REMOVE THIS
    "discharge_type",
    # ADD instead:
    "admission_type", "length_of_stay", "medication_count",
    "comorbidity_score", "lab_results_abnormal"
]
```
**General rule**: Only include features that would be available at prediction time, not those that are consequences of or correlate with the outcome.</t>
  </si>
  <si>
    <t>Upon reviewing the provided Python machine learning pipeline code, I can state that **this code is largely free of common forms of data leakage**.
Here's a breakdown of why:
1.  **Correct Train-Test Split Application:**
    *   The `train_test_split` function is called at the very beginning of the pipeline after loading the data and separating features (`X`) from the target (`y`).
    *   Crucially, no preprocessing steps (like scaling, imputation, or complex feature engineering that might calculate statistics from the entire dataset) are performed *before* the split. This ensures that the training set and testing set remain completely independent.
    *   The `model.fit()` method is then correctly applied *only* to `X_train` and `y_train`.
    *   The `model.predict()` and `accuracy_score()` methods are correctly applied *only* to `X_test` and `y_test` respectively.
2.  **Absence of Feature-Level Target Leakage (in the code's scope):**
    *   The selected features ("age", "bmi", "blood_pressure", "num_symptoms", "insurance_claim_amount", "discharge_type") appear to be information that would reasonably be available *before* the 30-day period during which readmission is predicted.
    *   For example:
        *   `age`, `bmi`, `blood_pressure`, `num_symptoms` are patient characteristics typically known at the time of or shortly after admission/discharge.
        *   `discharge_type` is known at the time of discharge.
        *   `insurance_claim_amount` generally refers to the current hospital stay's claims, which would be known or in process at the time of discharge. If this feature were, for instance, `total_claim_amount_including_future_readmissions`, then it would be a severe case of target leakage, but based on the name, it seems to refer to the current stay.
**Conclusion:**
The provided code correctly separates the data into training and testing sets *before* any model training or evaluation. No operations are performed on the entire dataset that would allow information from the test set to leak into the training process. The features chosen also do not inherently contain information about the target that would only be available *after* the prediction time.
Therefore, **the code is free of data leakage**.</t>
  </si>
  <si>
    <t>This Python code is a straightforward implementation of a Gradient Boosting Classifier using scikit-learn to predict hospital readmissions. While the code is generally sound, there are a few considerations and potential improvements that could be addressed:
1. **Error Handling for File Reading**:
   - Issue: The code reads a CSV file `hospital.csv` without handling potential errors such as file not found or read errors.
   - Improvement: Wrap the `pd.read_csv()` call in a try-except block to handle potential file-related errors gracefully.
   ```python
   try:
       df = pd.read_csv("hospital.csv")
   except FileNotFoundError:
       print("Error: The file 'hospital.csv' was not found.")
       exit()
   except pd.errors.EmptyDataError:
       print("Error: No data found in 'hospital.csv'.")
       exit()
   ```
2. **Check for Missing Values**:
   - Issue: The code does not check for missing values in the dataset, which could affect model training and predictions.
   - Improvement: Add data preprocessing to handle missing values appropriately.
   ```python
   if df.isnull().values.any():
       print("Warning: Missing values detected in the dataset. Consider handling missing values.")
   ```
3. **Categorical Features**:
   - Issue: If there are any categorical features among the features being used, the code does not handle them. Features such as 'age', 'bmi', and others should be numerically encoded if they contain categorical data.
   - Improvement: Apply encoding techniques if there are categorical feature columns.
4. **Feature Scaling**:
   - Issue: The code does not apply feature scaling (e.g., StandardScaler or MinMaxScaler), which might be necessary depending on the range and distribution of the feature values.
   - Improvement: Consider choosing and applying an appropriate scaling technique before fitting the model.
5. **Model Evaluation**:
   - Issue: The code only outputs the accuracy score, which might not be sufficient for imbalanced datasets.
   - Improvement: Include additional evaluation metrics such as precision, recall, F1-score, or ROC-AUC to have a more comprehensive evaluation of the model's performance.
   ```python
   from sklearn.metrics import classification_report
   print(classification_report(y_test, y_pred))
   ```
6. **Random State Consistency**:
   - Issue: Although a random state is set for both `train_test_split` and `GradientBoostingClassifier`, it's a reminder to consistently use random states to ensure reproducibility.
7. **Code Comments and Documentation**:
   - Issue: The code lacks comments and documentation, which are helpful for understanding the code flow and for future reference.
   - Improvement: Add comments explaining each step of the process.
By addressing these points, the code can become more robust, maintainable, and applicable to a broader range of datasets and problems.</t>
  </si>
  <si>
    <t>The provided Python code attempts to construct and evaluate a machine learning model using a dataset from a CSV file. Here are several issues, bugs, and bad practices to consider:
1. **Lack of Data Preprocessing**: 
    - **Issue**: The code reads the dataset directly, but it does not include any data preprocessing steps, which are essential when working with real-world data. Common preprocessing includes handling missing values, encoding categorical variables, normalizing or standardizing numerical features, and checking for outliers.
    - **Explanation**: Without preprocessing, the model might not perform well due to irrelevant features, biased results from imbalanced classes, or poor handling of different data types.
2. **No Check for Data Quality**:
    - **Issue**: There are no checks or assertions to verify the quality of the data before use (e.g., checking for NaN values or invalid data types).
    - **Explanation**: Data integrity checks are crucial to prevent runtime errors and to ensure the model is learning from accurate data.
3. **Output Format for Accuracy**:
    - **Issue**: While printing the accuracy score, the code does not clarify what the accuracy score represents (e.g., accuracy of what class, etc.).
    - **Explanation**: Providing context when outputting results is helpful for interpretability, especially in a production scenario.
4. **Model Evaluation Without Cross-Validation**:
    - **Issue**: The model evaluation is based solely on accuracy, which can be misleading, especially if the dataset is imbalanced.
    - **Explanation**: It's better to evaluate model performance using multiple metrics such as confusion matrix, precision, recall, and F1 score, or by using k-fold cross-validation to get a more robust estimate of model performance.
5. **Assumption of No Categorical Variables**:
    - **Issue**: The code does not account for any potential categorical variables that may exist in the data. It only works with the assumption that all features listed are numeric.
    - **Explanation**: If any feature is categorical, it needs to be converted (e.g., through one-hot encoding or label encoding) before fitting the model.
6. **Hardcoded File Path**:
    - **Issue**: The file path "hospital.csv" is hardcoded.
    - **Explanation**: It's generally recommended to use variable paths or configurations to allow more flexibility when changing datasets or running the code in different environments.
7. **Model Parameters**:
    - **Issue**: The parameters for `GradientBoostingClassifier` are fixed and not optimized (e.g., using GridSearchCV or RandomizedSearchCV).
    - **Explanation**: Choosing hyperparameters heuristically can lead to suboptimal model performance. Automating hyperparameter tuning can improve the model's predictive power.
8. **Potential Overfitting**:
    - **Issue**: There's a risk of overfitting, especially with high-capacity models like `GradientBoostingClassifier` when using a small dataset without proper evaluation methods (e.g., cross-validation).
    - **Explanation**: Monitoring for overfitting through techniques such as cross-validation helps ensure that the model generalizes well to unseen data.
9. **Type Annotations and Documentation**: 
    - **Issue**: There are no type annotations or comments explaining the purpose of different sections of the code.
    - **Explanation**: Including type annotations can help with readability and maintainability, making it easier for others (or yourself) to understand the code later on.
10. **Long-running and Resource-intensive Operations**:
    - **Issue**: Depending on the size of "hospital.csv" and the computational resources, fitting the model can be resource-intensive.
    - **Explanation**: It may be advisable to implement progress tracking or logging to monitor long-running processes effectively.
By addressing the aforementioned issues, the code would be more robust, maintainable, and prepared for practical applications in machine learning scenarios.</t>
  </si>
  <si>
    <t>## Code Review: Hospital Readmission Classifier
This code has several significant issues spanning data validation, modeling choices, and production readiness. Here's a thorough breakdown:
---
### 1. No Data Validation or Error Handling
```python
# Current code - will crash or silently produce wrong results
df = pd.read_csv("hospital.csv")
X = df[features]
y = df["readmitted_within_30_days"]
```
**Problems:**
- No check that the file exists or loaded correctly
- No verification that expected columns are present
- Missing values in any feature will cause silent failures or poor model behavior
- No check that the target column contains expected values (e.g., binary 0/1)
```python
# Better approach
import os
from pathlib import Path
DATA_PATH = Path("hospital.csv")
if not DATA_PATH.exists():
    raise FileNotFoundError(f"Data file not found: {DATA_PATH}")
df = pd.read_csv(DATA_PATH)
required_columns = features + ["readmitted_within_30_days"]
missing_cols = set(required_columns) - set(df.columns)
if missing_cols:
    raise ValueError(f"Missing columns in dataset: {missing_cols}")
print(f"Missing values per column:\n{df[required_columns].isnull().sum()}")
assert df["readmitted_within_30_days"].isin([0, 1]).all(), \
    "Target column contains unexpected values"
```
---
### 2. No Missing Value Handling
```python
# Current code - passes raw data with potential NaNs directly to the model
model.fit(X_train, y_train)
```
**Problem:** Gradient Boosting in scikit-learn will raise an error or behave unpredictably with NaN values. There is no imputation or dropping strategy.
```python
# Better approach - use a pipeline to handle imputation safely
from sklearn.pipeline import Pipeline
from sklearn.impute import SimpleImputer
from sklearn.preprocessing import StandardScaler
pipeline = Pipeline([
    ("imputer", SimpleImputer(strategy="median")),  # median is robust to outliers
    ("scaler", StandardScaler()),                    # see issue #3
    ("classifier", GradientBoostingClassifier(n_estimators=100, random_state=42))
])
pipeline.fit(X_train, y_train)
y_pred = pipeline.predict(X_test)
```
---
### 3. No Feature Scaling (Minor for GBM, but Worth Noting)
**Problem:** While Gradient Boosting is tree-based and doesn't strictly require scaling, including a scaler in the pipeline is a good habit and makes the code easier to swap classifiers (e.g., logistic regression, SVM) without breaking things.
---
### 4. Wrong Evaluation Metric for Medical Data
```python
# Current code - uses only accuracy
print(f"Accuracy: {accuracy_score(y_test, y_pred):.4f}")
```
**Problem:** Hospital readmission datasets are typically **class-imbalanced** (e.g., 80% not readmitted, 20% readmitted). A model that predicts "never readmitted" for everyone achieves 80% accuracy while being clinically useless. In medical contexts, **recall (sensitivity)** for the positive class is often most critical — missing a high-risk patient is more costly than a false alarm.
```python
from sklearn.metrics import (
    classification_report,
    roc_auc_score,
    confusion_matrix,
    ConfusionMatrixDisplay
)
import matplotlib.pyplot as plt
print(classification_report(y_test, y_pred, target_names=["Not Readmitted", "Readmitted"]))
print(f"ROC-AUC: {roc_auc_score(y_test, pipeline.predict_proba(X_test)[:, 1]):.4f}")
cm = confusion_matrix(y_test, y_pred)
ConfusionMatrixDisplay(cm, display_labels=["Not Readmitted", "Readmitted"]).plot()
plt.title("Confusion Matrix")
plt.show()
```
---
### 5. No Class Imbalance Handling
**Problem:** Related to issue #4 — the model itself should be made aware of class imbalance.
```python
# Better approach
GradientBoostingClassifier(
    n_estimators=100,
    random_state=42
    # GBM doesn't have class_weight, so handle upstream:
)
# Option A: Oversample minority class
from imblearn.over_sampling import SMOTE
smote = SMOTE(random_state=42)
X_train_bal, y_train_bal = smote.fit_resample(X_train, y_train)
# Option B: Use a classifier that supports class_weight directly
from sklearn.ensemble import RandomForestClassifier
RandomForestClassifier(class_weight="balanced", random_state=42)
```
---
### 6. No Cross-Validation — Single Train/Test Split Is Unreliable
```python
# Current code - one split, results may not generalize
X_train, X_test, y_train, y_test = train_test_split(X, y, test_size=0.2, random_state=42)
```
**Problem:** A single split can be lucky or unlucky depending on which samples end up in the test set. This is especially problematic with small or imbalanced medical datasets.
```python
from sklearn.model_selection import StratifiedKFold, cross_val_score
cv = StratifiedKFold(n_splits=5, shuffle=True, random_state=42)
# Stratified ensures class proportions are preserved in each fold
cv_scores = cross_val_score(pipeline, X, y, cv=cv, scoring="roc_auc")
print(f"CV ROC-AUC: {cv_scores.mean():.4f} ± {cv_scores.std():.4f}")
```
---
### 7. Data Leakage Risk
**Problem:** Any preprocessing steps (e.g., imputation, scaling, encoding) **must** be fit only on training data and then applied to test data. Fitting on the full dataset before splitting leaks test set statistics into training.
```python
# WRONG - fit on all data before splitting
scaler = StandardScaler()
X_scaled = scaler.fit_transform(X)  # leaks test set info
X_train, X_test, _, _ = train_test_split(X_scaled, y)
# CORRECT - use a Pipeline, which fits only on training data during cross-validation
pipeline.fit(X_train, y_train)
pipeline.predict(X_test)
```
The `Pipeline` approach shown in issue #2 prevents this automatically.
---
### 8. No Hyperparameter Tuning
```python
# Current code - arbitrary defaults
model = GradientBoostingClassifier(n_estimators=100, random_state=42)
```
**Problem:** `n_estimators=100` is arbitrary. No tuning of `learning_rate`, `max_depth`, `min_samples_split`, etc. These significantly impact performance.
```python
from sklearn.model_selection import RandomizedSearchCV
param_grid = {
    "classifier__n_estimators": [100, 200, 300],
    "classifier__learning_rate": [0.05, 0.1, 0.2],
    "classifier__max_depth": [3, 4, 5],
    "classifier__min_samples_split": [2, 5, 10]
}
search = RandomizedSearchCV(
    pipeline, param_grid, n_iter=20,
    scoring="roc_auc", cv=cv, random_state=42, n_jobs=-1
)
search.fit(X_train, y_train)
print(f"Best params: {search.best_params_}")
```
---
### 9. No Model Persistence or Reproducibility Infrastructure
**Problem:** The trained model is never saved, making deployment or reproducibility impossible.
```python
import joblib
# Save
joblib.dump(search.best_estimator_, "readmission_model_v1.pkl")</t>
  </si>
  <si>
    <t># Code Review: Issues and Problems Found
## 1. **No Error Handling for File I/O** ⚠️
```python
df = pd.read_csv("hospital.csv")
```
**Issue:** If the file doesn't exist or is corrupted, the program crashes without a helpful error message.
**Fix:**
```python
try:
    df = pd.read_csv("hospital.csv")
except FileNotFoundError:
    print("Error: hospital.csv not found")
    exit(1)
except pd.errors.ParserError:
    print("Error: Invalid CSV format")
    exit(1)
```
---
## 2. **No Validation of Required Columns** ⚠️
```python
features = ["age", "bmi", "blood_pressure", "num_symptoms"]
X = df[features]
y = df["readmitted_within_30_days"]
```
**Issue:** If columns are missing or named differently, a `KeyError` will occur without explanation.
**Fix:**
```python
required_cols = features + ["readmitted_within_30_days"]
missing_cols = set(required_cols) - set(df.columns)
if missing_cols:
    raise ValueError(f"Missing columns: {missing_cols}")
```
---
## 3. **No Missing Data Handling** ⚠️
**Issue:** If the dataset contains `NaN` or `None` values, the model may behave unexpectedly or fail silently.
**Fix:**
```python
# Check for missing values
if df[features + ["readmitted_within_30_days"]].isnull().any().any():
    print("Warning: Missing values detected")
    # Option 1: Drop rows
    df = df.dropna()
    # Option 2: Impute values
    # df.fillna(df.mean(), inplace=True)
```
---
## 4. **No Data Type Validation** ⚠️
**Issue:** Target variable `y` might not be binary (0/1), but the code assumes it is for classification.
**Fix:**
```python
if not set(y.unique()).issubset({0, 1}):
    print(f"Warning: Unexpected values in target: {y.unique()}")
```
---
## 5. **Accuracy is Insufficient Metric for Imbalanced Data** ⚠️
```python
print(f"Accuracy: {accuracy_score(y_test, y_pred):.4f}")
```
**Issue:** Hospital readmission data is often imbalanced (e.g., 80% not readmitted, 20% readmitted). Accuracy alone is misleading.
**Fix:**
```python
from sklearn.metrics import precision_score, recall_score, f1_score, roc_auc_score
print(f"Accuracy: {accuracy_score(y_test, y_pred):.4f}")
print(f"Precision: {precision_score(y_test, y_pred):.4f}")
print(f"Recall: {recall_score(y_test, y_pred):.4f}")
print(f"F1-Score: {f1_score(y_test, y_pred):.4f}")
print(f"ROC-AUC: {roc_auc_score(y_test, y_pred):.4f}")
```
---
## 6. **No Feature Scaling** ⚠️
**Issue:** Features like "age" (0-100) and "bmi" (15-50) have different scales. While Gradient Boosting is somewhat robust to this, it's still a best practice.
**Fix:**
```python
from sklearn.preprocessing import StandardScaler
scaler = StandardScaler()
X_train = scaler.fit_transform(X_train)
X_test = scaler.transform(X_test)
```
---
## 7. **No Cross-Validation** ⚠️
**Issue:** Single train/test split may not represent model performance reliably.
**Fix:**
```python
from sklearn.model_selection import cross_val_score
scores = cross_val_score(model, X, y, cv=5, scoring='f1')
print(f"Cross-validation scores: {scores}")
print(f"Mean CV Score: {scores.mean():.4f} (+/- {scores.std():.4f})")
```
---
## 8. **No Hyperparameter Tuning** ⚠️
**Issue:** Using default hyperparameters may be suboptimal.
**Fix:**
```python
from sklearn.model_selection import GridSearchCV
param_grid = {
    'n_estimators': [50, 100, 200],
    'learning_rate': [0.01, 0.1],
    'max_depth': [3, 5, 7]
}
grid_search = GridSearchCV(GradientBoostingClassifier(), param_grid, cv=5)
grid_search.fit(X_train, y_train)
print(f"Best params: {grid_search.best_params_}")
```
---
## 9. **No Data Leakage Check** ⚠️
**Issue:** Features derived from outcomes (e.g., "num_symptoms" might correlate with readmission severity) could cause data leakage.
**Note:** Manually review feature definitions to ensure they're available at prediction time.
---
## 10. **No Model Persistence** ⚠️
**Issue:** The trained model is not saved, so it must be retrained every time.
**Fix:**
```python
import joblib
joblib.dump(model, 'model.pkl')
# Later: model = joblib.load('model.pkl')
```
---
## Summary Table
| Issue | Severity | Type |
|-------|----------|------|
| No file error handling | High | Error Handling |
| No column validation | High | Data Validation |
| No missing data handling | High | Data Quality |
| No data type validation | Medium | Data Validation |
| Accuracy-only metric | High | ML Best Practice |
| No feature scaling | Medium | ML Best Practice |
| No cross-validation | Medium | ML Best Practice |
| No hyperparameter tuning | Medium | ML Best Practice |
| No data leakage check | Medium | Data Science |
| No model persistence | Low | Production |</t>
  </si>
  <si>
    <t>This Python code provides a basic, functional machine learning pipeline for classification. However, it has several issues, bugs, and bad practices that should be addressed for robustness, reliability, and better performance.
Here's a breakdown of the problems:
---
### Issues, Bugs, and Bad Practices Identified:
1.  **Lack of Error Handling for File Loading:**
    *   **Problem:** The line `df = pd.read_csv("hospital.csv")` assumes that `hospital.csv` exists in the current directory and is a valid CSV file. If the file is missing, misnamed, or corrupted, the script will crash with a `FileNotFoundError` or `ParserError` without any graceful handling.
    *   **Explanation:** Production-ready or robust scripts should anticipate common failure points.
    *   **Solution:** Wrap the file loading in a `try-except` block to catch potential `FileNotFoundError` or `pd.errors.EmptyDataError`/`pd.errors.ParserError`.
    ```python
    try:
        df = pd.read_csv("hospital.csv")
    except FileNotFoundError:
        print("Error: 'hospital.csv' not found. Please ensure the file is in the correct directory.")
        exit() # Or raise a more specific exception
    except pd.errors.EmptyDataError:
        print("Error: 'hospital.csv' is empty.")
        exit()
    except pd.errors.ParserError:
        print("Error: Could not parse 'hospital.csv'. Check file format.")
        exit()
    except Exception as e:
        print(f"An unexpected error occurred while loading the CSV: {e}")
        exit()
    ```
2.  **No Data Exploration or Preprocessing:**
    *   **Problem:** The code directly uses the raw data from the CSV without any inspection or cleaning. This is a major oversight in any data science workflow.
    *   **Explanation:**
        *   **Missing Values:** The `GradientBoostingClassifier` by default *can* handle NaN values (by treating them as a separate category or direction), but it's often better to explicitly impute them (e.g., mean, median, mode) or drop rows/columns after understanding their extent. Not checking for NaNs can lead to unexpected model behavior or reduced performance.
        *   **Data Types:** The code assumes all selected features (`age`, `bmi`, `blood_pressure`, `num_symptoms`) are numeric and correctly interpreted by pandas. While likely for these names, incorrect data type inference (e.g., numbers stored as strings) can break the model or lead to incorrect calculations.
        *   **Categorical Features:** If any of the features were categorical (e.g., `gender`, `ethnicity`), they would need to be encoded (e.g., one-hot encoding, label encoding) before being passed to the model. The current code treats them as numerical if pandas infers them as such, which is incorrect for tree-based models (and most ML models).
        *   **Outliers:** While tree-based models are relatively robust to outliers, extreme values can still skew distributions or suggest data entry errors that should be investigated.
    *   **Solution:** Add basic data exploration steps:
        *   `df.info()`: To check data types and non-null counts.
        *   `df.describe()`: To get descriptive statistics.
        *   `df.isnull().sum()`: To count missing values per column.
        *   Implement a strategy for missing values (imputation or dropping).
        *   Explicitly handle categorical features if present.
3.  **Reliance Solely on Accuracy for Model Evaluation:**
    *   **Problem:** `accuracy_score` is the only metric used to evaluate the model's performance.
    *   **Explanation:** For classification problems, especially in medical contexts (like readmission prediction) where the target variable (`readmitted_within_30_days`) is often imbalanced (far fewer readmitted patients than non-readmitted), accuracy can be a very misleading metric. A model that predicts "not readmitted" for everyone could achieve high accuracy if only 5% of patients are readmitted, but it would be useless clinically.
    *   **Solution:**
        *   **Check Target Balance:** First, check the balance of the target variable: `y.value_counts()`.
        *   **Use Appropriate Metrics:** For imbalanced datasets, metrics like **Precision**, **Recall**, **F1-Score**, and **ROC AUC** are far more informative. A **Confusion Matrix** is also crucial for understanding true positives, false positives, true negatives, and false negatives.
        *   Consider the business context: Is it worse to predict readmission when there isn't one (false positive) or to predict no readmission when there is one (false negative)? This will guide which metric to prioritize.
4.  **No Cross-Validation:**
    *   **Problem:** The code uses a single train-test split to evaluate the model.
    *   **Explanation:** The performance reported by a single split can be highly dependent on the particular random division of data. A "lucky" split might report an overly optimistic accuracy, while an "unlucky" one might be pessimistic. This makes the evaluation less reliable and the model's generalization capabilities harder to assess.
    *   **Solution:** Implement K-Fold Cross-Validation (e.g., using `StratifiedKFold` for classification to preserve target balance across folds). This provides a more robust estimate of model performance by averaging results over multiple splits.
5.  **No Hyperparameter Tuning:**
    *   **Problem:** The `GradientBoostingClassifier` is initialized with default or arbitrarily chosen hyperparameters (`n_estimators=100`, `random_state=42`).
    *   **Explanation:** While `n_estimators=100` is a common starting point, it's unlikely to be optimal for the specific dataset. Other critical hyperparameters like `learning_rate`, `max_depth`, `subsample`, `min_samples_leaf`, etc., are left at their defaults. The model's performance can significantly improve with proper hyperparameter tuning.
    *   **Solution:** Use techniques like `GridSearchCV` or `RandomizedSearchCV` from `sklearn.model_selection` to systematically search for the best combination of hyperparameters that maximize a chosen evaluation metric (e.g., F1-score, ROC AUC) using cross-validation.
6.  **"Magic Strings" and Lack of Constants:**
    *   **Problem:** File names (`"hospital.csv"`), column names (`"readmitted_within_30_days"`), and feature names are hardcoded directly within the script.
    *   **Explanation:** If the file name changes, or a column name is typoed, these strings would need to be updated throughout the code. This makes the code less maintainable and more prone to errors.
    *   **Solution:** Define these as constants at the top of the script.
    ```python
    CSV_FILE_PATH = "hospital.csv"
    TARGET_COLUMN = "readmitted_within_30_days"
    FEATURES = [
        "age", "bmi", "blood_pressure", "num_symptoms"
    ]
    # ... later in code ...
    df = pd.read_csv(CSV_FILE_PATH)
    X = df[FEATURES]
    y = df[TARGET_COLUMN]
    ```
7.  **No Clear Separation of Concerns (Modularity):**
    *   **Problem:** The code is written as a single, linear script.
    *   **Explanation:** While fine for very small scripts, as the complexity grows, this becomes difficult to read, debug, test, and reuse.
    *   **Solution:** Refactor the code into functions (e.g., `load_data`, `preprocess_data`, `train_model`, `evaluate_model`) to improve modularity and readability.
---
### Summary of Recommendations for Improvement:
1.  **Add Robust Error Handling:** For file loading.
2.  **Perform Thorough Data Exploration and Preprocessing:** Check for and handle missing values, confirm data types, and encode categorical features if present.
3.  **Choose Appropriate Evaluation Metrics:** Use Precision, Recall, F1-score, and ROC AUC, especially if the target variable is imbalanced. Always generate a Confusion Matrix.
4.  **Implement Cross-Validation:** For a more reliable estimate of model performance.
5.  **Perform Hyperparameter Tuning:** Use `GridSearchCV` or `RandomizedSearchCV` to optimize model performance.
6.  **Use Constants:** Define file paths, column names, and feature lists as constants.
7.  **Modularize the Code:** Wrap logical blocks of code into functions.
By addressing these points, the script will become significantly more robust, reliable, and adhere to better data science practices.</t>
  </si>
  <si>
    <t>The provided Python machine learning pipeline is clear of any direct data leakage. Here’s the analysis step-by-step:
1. **Feature Selection**: The features selected for modeling are "age", "bmi", "blood_pressure", and "num_symptoms". These are independent patient features and do not seem to contain any inherent future information about whether or not a patient will be readmitted. They are also typical features that would be available at the time of patient evaluation.
2. **Data Splitting**: The data is split into training and test sets using `train_test_split` before the model is trained. The test set is intended to simulate new, unseen data, and by splitting the data before model training, you ensure the model has not learned any patterns that are specific to the test set.
3. **Model Training and Testing**: The model (GradientBoostingClassifier) is trained only on the training subset of the data, and predictions are made on the test set, which ensures that no data from the test set has influenced the model training process.
4. **Metric Calculation**: The model's accuracy is calculated using the test set, which is a standard practice to evaluate how well the model generalizes to new data.
Given these points, the code does not demonstrate any form of data leakage. There are no features that encode future information or any leakage paths from the test set to the training process. The overall setup follows the appropriate machine learning pipeline pattern for model evaluation using train-test split.</t>
  </si>
  <si>
    <t>The provided Python machine learning pipeline code appears to be free from data leakage based on the typical aspects that could lead to such issues. Here's a breakdown of the key components regarding data leakage:
1. **Train-Test Split**: The use of `train_test_split()` from scikit-learn ensures that the dataset is split into training and testing subsets before any model fitting takes place. This helps to prevent the model from having access to the test data during the training phase.
2. **Feature Selection**: The features selected for model training (`age`, `bmi`, `blood_pressure`, `num_symptoms`) do not seem to encode any future information or outcomes that would typically not be available at prediction time. Each of these features is a measurable attribute of the patients that can logically be known before deciding if a patient will be readmitted within 30 days.
3. **Target Variable**: The target variable, `readmitted_within_30_days`, is a binary indicator of whether the patient was readmitted. As long as this target variable is derived after the patient’s hospital encounter, there is no leakage from it to the feature set.
### Conclusion:
- In this specific code snippet, I do not see any signs of data leakage because the model is trained only on the training data (`X_train`, `y_train`), and the features used for prediction do not include any information that would not be available at prediction time. 
- Moreover, there is no indication that any preprocessing steps apply to the entire dataset or to the target before the split, which sometimes can be a source of leakage (for example, scaling or normalization applied to the entire dataset).
Therefore, it can be concluded that this code is free from data leakage.</t>
  </si>
  <si>
    <t>## Data Leakage Review
### Verdict: **No Data Leakage Detected**
This pipeline is structurally clean. Here is a breakdown of why each component is sound.
---
### What the Code Does Correctly
**1. Train/Test Split Before Any Learning**
```python
X_train, X_test, y_train, y_test = train_test_split(
    X, y, test_size=0.2, random_state=42
)
```
The split happens before any model fitting or data-driven transformation. Test data is never touched during training.
**2. Model Trained Only on Training Data**
```python
model.fit(X_train, y_train)
```
The model sees only `X_train` and `y_train`. No test set information influences learned parameters.
**3. Features Are Clinically Appropriate**
```python
features = ["age", "bmi", "blood_pressure", "num_symptoms"]
```
All four features represent information that would genuinely be available **at the time of prediction** (i.e., at or before discharge). None of them encode future outcomes.
**4. No Preprocessing That Could Leak**
There is no scaling, imputation, or encoding applied here that could inadvertently carry test set statistics into training.
**5. Evaluation Is Properly Isolated**
```python
y_pred = model.predict(X_test)
print(f"Accuracy: {accuracy_score(y_test, y_pred):.4f}")
```
Evaluation uses held-out predictions only, not training data.
---
### Caveats Worth Noting for Production Use
While the code is leak-free as written, be aware of these **latent risks** if the pipeline evolves:
| Risk | Description |
|------|-------------|
| **Preprocessing added later** | If you add `StandardScaler` or imputation, fit it **only on `X_train`**, then transform both splits |
| **Feature engineering** | Any statistics-based features (e.g., mean encoding) must be computed from training data only |
| **Cross-validation** | If CV is added, wrap preprocessing in a `Pipeline` to prevent leakage across folds |
| **`num_symptoms` scrutiny** | Depending on domain definition, verify this count reflects symptoms at admission, not post-treatment findings |
---
### Example of the Correct Pattern If Preprocessing Is Added Later
```python
from sklearn.pipeline import Pipeline
from sklearn.preprocessing import StandardScaler
# CORRECT: Scaler fit only on training data via Pipeline
pipeline = Pipeline([
    ("scaler", StandardScaler()),
    ("model", GradientBoostingClassifier(n_estimators=100, random_state=42))
])
pipeline.fit(X_train, y_train)          # scaler learns mean/std from train only
y_pred = pipeline.predict(X_test)      # test data scaled using train statistics
```
---
### Summary
The code as written follows correct machine learning hygiene. The split precedes all fitting, the features are temporally valid, and there is no shared computation between train and test sets.</t>
  </si>
  <si>
    <t># Data Leakage Review
## Verdict: **No data leakage detected**
This code is **free of data leakage**. The pipeline follows best practices for train-test separation.
### What the code does correctly:
1. **Proper train-test split**: The data is split into train and test sets *before* any model fitting occurs using `train_test_split()`.
2. **No preprocessing leakage**: There are no scaling, normalization, encoding, or imputation steps that could fit on the combined dataset or test set. The features are used raw.
3. **No feature engineering leakage**: All features (`age`, `bmi`, `blood_pressure`, `num_symptoms`) appear to be raw input variables that would be available at prediction time. None appear to be derived from the target variable or future information.
4. **Isolated model training**: The model is fit only on `X_train` and `y_train`, never exposed to test data during training.
5. **Evaluation on held-out set**: Predictions and metrics are computed on the properly held-out `X_test` and `y_test`.
### Minor observations (not leakage, but good practice):
- If any of the features required preprocessing (scaling, imputation, categorical encoding), those transformers should be fit on `X_train` only and then applied to `X_test` to maintain proper separation.
- The current code assumes no missing values and that all features are numeric and appropriately scaled for the algorithm.
**Bottom line**: This is a clean, leak-free pipeline. ✓</t>
  </si>
  <si>
    <t>The provided Python machine learning pipeline code appears to be **free of common forms of data leakage**.
Here's a breakdown of why, and what common leakage points it successfully avoids:
1.  **Correct Train-Test Split:**
    *   The `train_test_split` function is called *before* any model fitting or feature processing. This is crucial. It ensures that the test set is completely held out and unseen by the model during training.
    *   `X_train, X_test, y_train, y_test = train_test_split(X, y, test_size=0.2, random_state=42)` correctly partitions the data into training and testing sets for both features (`X`) and the target (`y`).
2.  **No Preprocessing Steps (that could leak):**
    *   In more complex pipelines, common sources of leakage occur when preprocessing steps (like scaling, imputation, or certain feature engineering techniques) are applied to the *entire dataset* before the train-test split.
    *   For example, if a `StandardScaler` was fit on the whole `X` dataset, information about the mean and standard deviation of the test set would "leak" into the training process.
    *   In this specific code, there are no explicit preprocessing steps (like scaling or imputation) being performed *after* feature selection but *before* the model fit. The raw numerical features are used directly.
3.  **Model Fitted Only on Training Data:**
    *   The line `model.fit(X_train, y_train)` correctly ensures that the `GradientBoostingClassifier` learns its parameters exclusively from the training data. It has no access to `X_test` or `y_test` during this phase.
4.  **Feature Selection Appears Reasonable:**
    *   The features `age`, `bmi`, `blood_pressure`, `num_symptoms` are selected from the original `df`.
    *   The target variable is `readmitted_within_30_days`.
    *   Based on their names, these features seem like attributes that would be available *at the time of initial admission* (when you would want to make a prediction about readmission). They do not appear to encode information that would only be known *after* the readmission event has occurred or after the 30-day window has passed.
**Conclusion:**
The code demonstrates a robust and standard approach to building a machine learning pipeline that avoids data leakage between the training and testing sets. The critical steps of splitting the data early and fitting the model only on the training subset are correctly implemented.</t>
  </si>
  <si>
    <t>This Python code implements a simple linear regression model using the `scikit-learn` library. While it generally appears correct, there are a few potential issues and areas where improvements or clarifications could be made:
1. **File Existence and Path Handling**:
   - The code assumes the existence of a file named `housing.csv` in the current working directory. If the file path is incorrect or the file doesn’t exist, this will result in a `FileNotFoundError`. This should be handled properly with a try-except block or by checking if the file exists before attempting to read it.
2. **Error Handling**:
   - There is no error handling implemented, which can be a problem, especially when dealing with file I/O operations or data transformations. Consider wrapping the code that reads files and processes data into try-except blocks to handle potential errors gracefully.
3. **Column Existence Check**:
   - The code assumes that the `price` column exists in the DataFrame. If the data schema changes or the column is missing, it will result in a `KeyError`. Adding checks or better error handling for column existence could make the code more robust.
4. **Feature Scaling Applied Uniformly**:
   - StandardScaler is used, which is appropriate, but remember that scaling parameters (mean and standard deviation) are determined on the training set only. This is correctly implemented here since the scaler is fit on `X` before the train-test split, but be mindful of maintaining this order when adapting or extending the code.
5. **Model Evaluation**:
   - While the Mean Squared Error (MSE) is a valid metric for evaluating regression models, it might also be beneficial to include additional metrics for a more holistic evaluation, such as the R-squared value.
6. **Lack of Data Exploration**:
   - There's no data exploration or visualization used to verify assumptions or outliers. Performing Exploratory Data Analysis (EDA) could help in understanding data distribution, correlations, and potential data quality issues.
7. **Code Comments and Documentation**:
   - There are no comments or documentation in the code, which makes it less readable and harder to maintain or modify by others. Adding comments would help clarify each step of the process.
8. **Dependency Management**:
   - The code relies on several external libraries without specifying version requirements. Dependencies should be managed using a tool like `pipenv` or `conda` with a `requirements.txt` file to ensure that the code runs consistently across different environments.
In conclusion, while the core functionality is correctly implemented, adding error handling, improving the robustness of file and column management, and considering more comprehensive evaluation metrics would enhance the reliability and maintainability of the code.</t>
  </si>
  <si>
    <t>The provided Python code is performing a straightforward task of reading a dataset, scaling it, splitting it into training and testing sets, fitting a linear regression model, and evaluating its performance using mean squared error. However, there are several areas where improvements can be made or potential issues can arise. Below, I outline each problem along with explanations:
1. **Missing Error Handling for File Read**:
   - **Issue**: The code reads a CSV file without any error handling. If the file "housing.csv" does not exist or is inaccessible, the code will throw an error and crash.
   - **Solution**: Wrap the file reading in a try-except block to handle potential IOError or FileNotFoundError.
    ```python
    try:
        df = pd.read_csv("housing.csv")
    except FileNotFoundError:
        print("Error: The file housing.csv was not found.")
        exit()
    ```
2. **Assumption about Features**:
   - **Issue**: The code drops the "price" column assuming it is the only target variable. If the dataset structure changes (e.g., if there are additional elements to drop), it would not be robust.
   - **Solution**: Ensure that "price" is indeed the target variable and add checks to validate the structure of the DataFrame before processing.
3. **Assumption About Numerical Features**:
   - **Issue**: The code applies `StandardScaler` directly to all columns except "price", which may not be appropriate if some of them are categorical or contain non-numeric data.
   - **Solution**: Implement checks or preprocessing steps to convert categorical variables to numeric (using One-Hot Encoding, for instance) and process only numeric columns for scaling.
4. **No Data Preprocessing**:
   - **Issue**: There's no exploration of the data, which should include checking for NaN values, outliers, and data types.
   - **Solution**: Add data validation and cleaning steps before processing. This might look like:
    ```python
    if df.isnull().values.any():
        print("Warning: Missing values detected in the dataset.")
    ```
5. **Lack of Validation Metrics**:
   - **Issue**: The model only evaluates performance using Mean Squared Error (MSE). It's often beneficial to report additional metrics, such as R^2 score or MAE (Mean Absolute Error) for a more comprehensive evaluation.
   - **Solution**: Include additional metrics to provide a better overview of model performance.
6. **Hard-coded Random State**:
   - **Issue**: The random state in `train_test_split` is hardcoded, which may be fine for reproducibility but should be managed carefully in a production or exploratory scenario.
   - **Solution**: Consider allowing the random state to be an argument to the function or customizable via a configuration.
7. **Print Statements for Results**:
   - **Issue**: Using print statements limits logging and tracking capabilities, which can be crucial for larger applications.
   - **Solution**: Using Python’s `logging` module instead of print statements allows more control over log levels and output formatting.
8. **Pipeline Usage**:
   - **Issue**: The code performs data scaling and model fitting in a separate sequence, which can lead to data leakage if any transformation is applied incorrectly (particularly with cross-validation).
   - **Solution**: Use `Pipeline` from `sklearn.pipeline` to streamline scaling and modeling processes, ensuring that all transformations are fitted based on the training set only.
Here's a more comprehensive example of how these suggestions can be implemented:
```python
import pandas as pd
from sklearn.preprocessing import StandardScaler
from sklearn.model_selection import train_test_split
from sklearn.linear_model import LinearRegression
from sklearn.metrics import mean_squared_error, mean_absolute_error, r2_score
from sklearn.pipeline import Pipeline
from sklearn.compose import ColumnTransformer
from sklearn.impute import SimpleImputer
from sklearn.preprocessing import OneHotEncoder
# Load data with error handling
try:
    df = pd.read_csv("housing.csv")
except FileNotFoundError:
    print("Error: The file housing.csv was not found.")
    exit()
# Check for missing values
if df.isnull().values.any():
    print("Warning: Missing values detected in the dataset.")
# Example preprocessing steps, assuming numerical and categorical features
numerical_cols = df.select_dtypes(include=['int64', 'float64']).columns.to_list()
categorical_cols = df.select_dtypes(include=['object']).columns.to_list()
# Prepare features and targets
X = df.drop("price", axis=1)
y = df["price"]
# Create a transformer for preprocessing
preprocessor = ColumnTransformer(
    transformers=[
        ('num', Pipeline(steps=[
            ('imputer', SimpleImputer(strategy='mean')),
            ('scaler', StandardScaler())]), numerical_cols),
        ('cat', OneHotEncoder(handle_unknown='ignore'), categorical_cols)
    ]
)
# Create a model pipeline
model_pipeline = Pipeline(steps=[
    ('preprocessor', preprocessor),
    ('model', LinearRegression())
])
# Split the data
X_train, X_test, y_train, y_test = train_test_split(X, y, test_size=0.2, random_state=42)
# Fit the model
model_pipeline.fit(X_train, y_train)
# Make predictions
y_pred = model_pipeline.predict(X_test)
# Output results
print(f"MSE: {mean_squared_error(y_test, y_pred):.4f}")
print(f"MAE: {mean_absolute_error(y_test, y_pred):.4f}")
print(f"R^2: {r2_score(y_test, y_pred):.4f}")
```
By incorporating these suggestions, the code becomes more robust, maintainable, and less prone to errors.</t>
  </si>
  <si>
    <t>## Code Review
The code is reasonably structured but has several significant issues ranging from data leakage to missing error handling and poor practices.
---
### Issue 1: Data Leakage — Scaler Fit on Entire Dataset
```python
# PROBLEM: Fitting the scaler on all data before splitting
scaler = StandardScaler()
X_scaled = scaler.fit_transform(X)  # Uses test data statistics to scale training data
X_train, X_test, y_train, y_test = train_test_split(...)
```
```python
# CORRECT: Fit scaler only on training data
X_train, X_test, y_train, y_test = train_test_split(
    X, y, test_size=0.2, random_state=42
)
scaler = StandardScaler()
X_train_scaled = scaler.fit_transform(X_train)  # Fit only on training data
X_test_scaled = scaler.transform(X_test)        # Only transform test data
```
**Why it matters:** Fitting before splitting leaks test set statistics (mean, std) into training, producing overly optimistic performance estimates that won't reflect real-world behavior.
---
### Issue 2: No Data Validation or Error Handling
```python
# PROBLEM: No checks after loading data
df = pd.read_csv("housing.csv")
X = df.drop("price", axis=1)
y = df["price"]
```
```python
# CORRECT: Validate the data
df = pd.read_csv("housing.csv")
if df.empty:
    raise ValueError("DataFrame is empty")
if "price" not in df.columns:
    raise ValueError("Target column 'price' not found")
if df.isnull().values.any():
    print(f"Warning: {df.isnull().sum().sum()} missing values found")
    df = df.dropna()  # or df.fillna(...) depending on strategy
X = df.drop("price", axis=1)
y = df["price"]
```
**Why it matters:** Missing values will cause `StandardScaler` and `LinearRegression` to silently fail or produce NaN outputs. The file path is also hardcoded with no `try/except` for `FileNotFoundError`.
---
### Issue 3: Non-Numeric Features Not Handled
```python
# PROBLEM: Assumes all features are numeric
X = df.drop("price", axis=1)
X_scaled = scaler.fit_transform(X)  # Will raise TypeError on string columns
```
```python
# CORRECT: Separate numeric and categorical handling
numeric_cols = X.select_dtypes(include=["number"]).columns
categorical_cols = X.select_dtypes(exclude=["number"]).columns
# Handle categoricals (example: one-hot encoding)
X = pd.get_dummies(X, columns=categorical_cols)
```
**Why it matters:** Real housing datasets commonly include categorical columns (e.g., neighborhood, house type). `StandardScaler` will raise a `TypeError` on non-numeric data.
---
### Issue 4: Weak Evaluation — Only MSE Reported
```python
# PROBLEM: MSE alone is hard to interpret and incomplete
print(f"MSE: {mean_squared_error(y_test, y_pred):.4f}")
```
```python
# CORRECT: Use multiple metrics and include a baseline
from sklearn.metrics import mean_squared_error, mean_absolute_error, r2_score
import numpy as np
mse = mean_squared_error(y_test, y_pred)
rmse = np.sqrt(mse)
mae = mean_absolute_error(y_test, y_pred)
r2 = r2_score(y_test, y_pred)
# Baseline: always predicting the mean
baseline_mse = mean_squared_error(y_test, [y_train.mean()] * len(y_test))
print(f"RMSE:         {rmse:.2f}")
print(f"MAE:          {mae:.2f}")
print(f"R² Score:     {r2:.4f}")
print(f"Baseline MSE: {baseline_mse:.2f} (mean predictor)")
```
**Why it matters:** MSE is scale-dependent and hard to interpret alone. RMSE is in the same unit as the target. R² shows explained variance. A baseline comparison reveals whether the model is actually useful.
---
### Issue 5: No Model Persistence or Reproducibility Setup
```python
# PROBLEM: Model is lost after the script runs; no logging of parameters
model = LinearRegression()
model.fit(X_train, y_train)
```
```python
# CORRECT: Save the model and scaler together
import joblib
joblib.dump({"model": model, "scaler": scaler}, "housing_model.pkl")
# To reload:
# artifacts = joblib.load("housing_model.pkl")
# model, scaler = artifacts["model"], artifacts["scaler"]
```
**Why it matters:** Without saving both the scaler and model together, predictions on new data will be incorrectly scaled. Saving them separately is a common bug.
---
### Summary Table
| # | Issue | Severity |
|---|-------|----------|
| 1 | Data leakage from premature scaling | 🔴 Critical |
| 2 | No data validation or error handling | 🔴 Critical |
| 3 | Non-numeric features not handled | 🟠 High |
| 4 | Insufficient model evaluation | 🟡 Medium |
| 5 | No model persistence | 🟡 Medium |
The most critical fix is **Issue 1** — it silently corrupts your evaluation results and is easy to overlook.</t>
  </si>
  <si>
    <t># Code Review: Issues and Problems
## 1. **Data Leakage (Critical)**
```python
scaler = StandardScaler()
X_scaled = scaler.fit_transform(X)  # ❌ Fit on ALL data
X_train, X_test, y_train, y_test = train_test_split(...)
```
**Problem:** The scaler is fitted on the entire dataset before splitting, causing test data statistics to influence training. This violates the train/test separation principle.
**Solution:**
```python
X_train, X_test, y_train, y_test = train_test_split(X, y, test_size=0.2, random_state=42)
scaler = StandardScaler()
X_train = scaler.fit_transform(X_train)  # Fit only on training data
X_test = scaler.transform(X_test)  # Transform test data only
```
---
## 2. **No Error Handling**
**Problem:** The code assumes the CSV file exists and is properly formatted. Missing file or corrupted data will crash without helpful error messages.
**Solution:**
```python
try:
    df = pd.read_csv("housing.csv")
except FileNotFoundError:
    print("Error: housing.csv not found")
    exit(1)
except Exception as e:
    print(f"Error reading CSV: {e}")
    exit(1)
```
---
## 3. **No Data Validation**
**Problem:** No checks for:
- Missing values in the dataset
- Whether "price" column exists
- Presence of non-numeric data
- Outliers or anomalies
**Solution:**
```python
print(df.info())  # Check data types
print(df.isnull().sum())  # Check missing values
if "price" not in df.columns:
    raise ValueError("'price' column not found")
```
---
## 4. **No Model Evaluation Metrics**
**Problem:** Only MSE is reported. This doesn't show:
- Whether predictions are reasonable
- Model performance relative to baseline
- Overfitting/underfitting
**Solution:**
```python
from sklearn.metrics import mean_absolute_error, r2_score
mse = mean_squared_error(y_test, y_pred)
rmse = mse ** 0.5
mae = mean_absolute_error(y_test, y_pred)
r2 = r2_score(y_test, y_pred)
print(f"MSE: {mse:.4f}, RMSE: {rmse:.4f}, MAE: {mae:.4f}, R²: {r2:.4f}")
```
---
## 5. **Hard-coded File Path**
**Problem:** File path is hard-coded, making the code inflexible and non-portable.
**Solution:**
```python
import os
data_path = os.path.join("data", "housing.csv")
df = pd.read_csv(data_path)
```
---
## 6. **No Train Set Evaluation**
**Problem:** Model performance on training data is unknown—can't detect overfitting.
**Solution:**
```python
y_train_pred = model.predict(X_train)
train_mse = mean_squared_error(y_train, y_train_pred)
test_mse = mean_squared_error(y_test, y_pred)
print(f"Train MSE: {train_mse:.4f}, Test MSE: {test_mse:.4f}")
```
---
## 7. **No Handling of Categorical Variables**
**Problem:** If the dataset contains categorical features, they will cause errors. No preprocessing for categorical data.
**Solution:**
```python
categorical_cols = df.select_dtypes(include=['object']).columns
if len(categorical_cols) &gt; 0:
    df = pd.get_dummies(df, columns=categorical_cols, drop_first=True)
```
---
## 8. **Missing Documentation**
**Problem:** No comments or docstrings explain purpose, assumptions, or expected input format.
**Solution:**
```python
"""
Housing Price Prediction Model
Trains a linear regression model on housing data.
Expected CSV format: features columns + 'price' column
"""
```
---
## Summary Table
| Issue | Severity | Impact |
|-------|----------|--------|
| Data Leakage | **Critical** | Invalid model evaluation |
| No Error Handling | High | Crashes without useful messages |
| No Data Validation | High | Fails silently or with cryptic errors |
| Incomplete Metrics | Medium | Can't assess model quality properly |
| Hard-coded Paths | Medium | Not portable/reusable |
| No Train Evaluation | Medium | Can't detect overfitting |
| No Categorical Handling | Medium | Fails on mixed data types |
| No Documentation | Low | Maintainability issues |</t>
  </si>
  <si>
    <t>The provided Python code snippet demonstrates a basic machine learning workflow using scikit-learn and pandas. While it accomplishes the stated task, it contains several issues, bugs, and bad practices that are crucial to address for building robust and reliable machine learning models.
Here's a breakdown of the problems:
1.  **Data Leakage during Feature Scaling:**
    *   **Problem:** The `StandardScaler` is fitted on the entire dataset (`X`) using `scaler.fit_transform(X)` *before* the data is split into training and testing sets.
    *   **Explanation:** When you `fit` a scaler, it calculates parameters (like mean and standard deviation for `StandardScaler`) based on the data it sees. If it fits on the entire dataset, it learns these parameters using information from the test set. This "leaks" information from the test set into the training phase. When the model is later evaluated on the test set, it effectively has prior knowledge about its distribution, leading to an overly optimistic performance estimate that won't generalize well to truly unseen data.
    *   **Correction:** The scaler should be fitted *only* on the training data (`X_train`) and then used to transform both the training and testing data.
    ```python
    # INCORRECT: X_scaled = scaler.fit_transform(X)
    # CORRECT:
    X_train, X_test, y_train, y_test = train_test_split(
        X, y, test_size=0.2, random_state=42
    )
    scaler = StandardScaler()
    X_train_scaled = scaler.fit_transform(X_train) # Fit only on training data
    X_test_scaled = scaler.transform(X_test)     # Transform test data using scaler fitted on training data
    ```
2.  **Lack of Categorical Feature Handling:**
    *   **Problem:** The code applies `StandardScaler` to all features in `X` without explicitly checking or handling categorical columns.
    *   **Explanation:** `StandardScaler` is designed for numerical features. If the `housing.csv` dataset contains categorical features (e.g., 'neighborhood', 'house_type', 'zip_code'), applying `StandardScaler` directly to them is inappropriate. It will attempt to standardize arbitrary integer or string representations, leading to meaningless results or potential errors. Categorical features typically require encoding (e.g., One-Hot Encoding) before being fed into most machine learning models like `LinearRegression`.
    *   **Correction:** Before scaling, identify categorical columns and apply appropriate encoding. This often involves using `pd.get_dummies` or `sklearn.preprocessing.OneHotEncoder`.
    ```python
    # Example for handling:
    # numeric_features = X.select_dtypes(include=['int64', 'float64']).columns
    # categorical_features = X.select_dtypes(include=['object']).columns
    # X_processed = pd.get_dummies(X, columns=categorical_features, drop_first=True)
    # Then apply scaler to X_processed after splitting.
    ```
3.  **No Missing Value Handling:**
    *   **Problem:** The code does not check for or handle missing values (NaNs) in the dataset.
    *   **Explanation:** Real-world datasets often contain missing values. If `df` has any `NaN` values, `StandardScaler` will raise an error (unless `with_mean=False` and `with_std=False` or `NaN` values are present only in columns with 0 variance, which is highly unlikely), and `LinearRegression` will also likely raise an error or produce incorrect results.
    *   **Correction:** Include steps to identify and handle missing values, such as imputation (`SimpleImputer`) or dropping rows/columns, before scaling and model training.
    ```python
    # Example for handling:
    # from sklearn.impute import SimpleImputer
    # imputer = SimpleImputer(strategy='mean') # or 'median', 'most_frequent'
    # X_imputed = imputer.fit_transform(X)
    ```
4.  **Lack of Robust Pipeline for Preprocessing:**
    *   **Problem:** The preprocessing steps (scaling, potential imputation, encoding) are applied manually and sequentially.
    *   **Explanation:** While functional, this approach is prone to errors (like data leakage, as seen above) and makes the code less organized, harder to maintain, and less reusable. For example, if you need to apply the same preprocessing to new, unseen data, you'd have to manually repeat all steps.
    *   **Best Practice:** Use `sklearn.pipeline.Pipeline` and `sklearn.compose.ColumnTransformer` to chain preprocessing steps and the model. A pipeline ensures that `fit_transform` is only called once on the training data for all steps and then `transform` on the test data, inherently preventing data leakage for scalers and transformers. It also handles different preprocessing for different column types elegantly.
    ```python
    # Example of a pipeline structure:
    # from sklearn.pipeline import Pipeline
    # from sklearn.compose import ColumnTransformer
    #
    # numeric_transformer = Pipeline(steps=[
    #     ('imputer', SimpleImputer(strategy='mean')),
    #     ('scaler', StandardScaler())
    # ])
    #
    # categorical_transformer = Pipeline(steps=[
    #     ('imputer', SimpleImputer(strategy='most_frequent')), # Or don't impute if encoding handles NaNs
    #     ('onehot', OneHotEncoder(handle_unknown='ignore'))
    # ])
    #
    # preprocessor = ColumnTransformer(
    #     transformers=[
    #         ('num', numeric_transformer, numeric_features),
    #         ('cat', categorical_transformer, categorical_features)
    #     ])
    #
    # model_pipeline = Pipeline(steps=[('preprocessor', preprocessor),
    #                                  ('regressor', LinearRegression())])
    #
    # model_pipeline.fit(X_train, y_train)
    # y_pred = model_pipeline.predict(X_test)
    ```
5.  **No Data Exploration/Validation:**
    *   **Problem:** The script directly proceeds with modeling without any exploratory data analysis (EDA) or data validation steps.
    *   **Explanation:** Before jumping into modeling, it's crucial to understand the dataset's structure, identify data types, check for unique values, distribution of features, and correlations. This helps in making informed decisions about preprocessing steps (like which features are categorical, where missing values might be, outliers, etc.) and potential model choices. Skipping this can lead to hidden issues or suboptimal model performance.
    *   **Best Practice:** Include `df.info()`, `df.describe()`, `df.isnull().sum()`, and potentially visualizations to understand the data before extensive preprocessing.
### Corrected and Improved Code Example:
```python
import pandas as pd
from sklearn.preprocessing import StandardScaler, OneHotEncoder
from sklearn.model_selection import train_test_split
from sklearn.linear_model import LinearRegression
from sklearn.metrics import mean_squared_error
from sklearn.pipeline import Pipeline
from sklearn.compose import ColumnTransformer
from sklearn.impute import SimpleImputer # Import for missing value handling
# 1. Load Data
df = pd.read_csv("housing.csv")
# 2. Data Exploration (Recommended - not strictly part of execution but crucial for decisions)
# print(df.info())
# print(df.describe())
# print(df.isnull().sum())
# Identify feature types based on exploration or prior knowledge
# For demonstration, let's assume some common types for a housing dataset:
# Let's assume 'ocean_proximity' is a categorical column and others are numerical.
# (You would determine this through df.info(), df.select_dtypes(), etc.)
# Example identification of columns (replace with actual logic for your dataset)
numeric_features = df.select_dtypes(include=['int64', 'float64']).columns.tolist()
categorical_features = df.select_dtypes(include=['object']).columns.tolist()
# Remove the target variable 'price' from feature lists if it was included
if 'price' in numeric_features:
    numeric_features.remove('price')
# 3. Separate Features (X) and Target (y)
X = df.drop("price", axis=1)
y = df["price"]
# 4. Handle Missing Values &amp; Scale Numerical Features + Encode Categorical Features using a Pipeline
# Create preprocessors for numerical and categorical features
numeric_transformer = Pipeline(steps=[
    ('imputer', SimpleImputer(strategy='mean')), # Impute missing numerical values
    ('scaler', StandardScaler())                  # Scale numerical features
])
categorical_transformer = Pipeline(steps=[
    ('imputer', SimpleImputer(strategy='most_frequent')), # Impute missing categorical values
    ('onehot', OneHotEncoder(handle_unknown='ignore'))     # One-hot encode categorical features
])
# Create a column transformer to apply different transformations to different columns
preprocessor = ColumnTransformer(
    transformers=[
        ('num', numeric_transformer, numeric_features),
        ('cat', categorical_transformer, categorical_features)
    ])
# 5. Create the full pipeline including preprocessing and the model
model_pipeline = Pipeline(steps=[('preprocessor', preprocessor),
                                 ('regressor', LinearRegression())])
# 6. Train-Test Split (Applied BEFORE any scaling or fitting of transformers to prevent data leakage)
X_train, X_test, y_train, y_test = train_test_split(
    X, y, test_size=0.2, random_state=42
)
# 7. Train the model (pipeline handles fitting preprocessor and model on X_train)
model_pipeline.fit(X_train, y_train)
# 8. Make predictions (pipeline handles transforming X_test and then predicting)
y_pred = model_pipeline.predict(X_test)
# 9. Evaluate the Model
print(f"MSE: {mean_squared_error(y_test, y_pred):.4f}")
```</t>
  </si>
  <si>
    <t>The provided Python code contains a potential issue related to data leakage due to when the scaling is performed. Here’s a step-by-step analysis:
1. **Data Splitting vs. Scaling**: 
   - The data is first scaled using `StandardScaler`, and then split into training and test sets using `train_test_split()`.
   - This means that the scaling parameters (mean and standard deviation) are calculated from the entire dataset, including the test set.
2. **Why is This Data Leakage?**:
   - This is a form of data leakage because information from the test set is being used to scale the features when fitting the `StandardScaler` on the entire dataset (`X_scaled = scaler.fit_transform(X)`).
   - In a real-world scenario, you wouldn't know the mean and standard deviation of the test data at the point of training your model. The test data should remain completely unseen during preprocessing steps like scaling.
3. **How to Correct This?**:
   - The correct approach is to split the data into training and test sets first, and then fit the `StandardScaler` only on the training data. This will ensure that the scaling parameters are derived purely from the training data, maintaining the integrity of the test set.
Here's a revised version of the code that addresses this issue: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X_train, X_test, y_train, y_test = train_test_split(
    X, y, test_size=0.2, random_state=42
)
scaler = StandardScaler()
X_train_scaled = scaler.fit_transform(X_train)
X_test_scaled = scaler.transform(X_test)
model = LinearRegression()
model.fit(X_train_scaled, y_train)
y_pred = model.predict(X_test_scaled)
print(f"MSE: {mean_squared_error(y_test, y_pred):.4f}")
```
In this revised code, the `StandardScaler` is fit on `X_train` only, and then both `X_train` and `X_test` are transformed using this fitted scaler. This prevents information from the test set from leaking into the training process.</t>
  </si>
  <si>
    <t>The provided code contains a form of data leakage due to the use of the `StandardScaler` before splitting the dataset into training and test sets. Let's take a closer look at the relevant portion of the code:
```python
scaler = StandardScaler()
X_scaled = scaler.fit_transform(X)
```
In this part, the `StandardScaler` is being fitted and then used to transform the entire feature set `X` before the split into training and testing data. This sequence has significant implications for data leakage:
### Explanation of Data Leakage
1. **Fitting the Scaler on the Whole Dataset**: The `fit_transform` method takes the entire dataset (`X`) into account to compute the mean and standard deviation used for scaling. This means that information from the test set is utilized to scale the training data.
2. **Effect on Model Training**: When the model is trained on `X_train`, the scaling applied to the training data includes information from the test set which was not supposed to be available at that stage. This means that the model was aware of the distribution of values across the entire dataset including the test set, potentially leading to an overly optimistic performance estimation during evaluation.
### Mitigation
To avoid data leakage, the scaler should be fit only on the training data, and then the same transformation should be applied to both `X_train` and `X_test`. Here’s how the code should be modified:
```python
X_train, X_test, y_train, y_test = train_test_split(X, y, test_size=0.2, random_state=42)
scaler = StandardScaler()
X_train_scaled = scaler.fit_transform(X_train)  # Fit on training set only
X_test_scaled = scaler.transform(X_test)    # Use the same scaler for the test set
```
### Conclusion
In summary, the code does contain data leakage due to premature use of the `StandardScaler`. This can lead to misleading performance metrics and should be corrected by fitting the scaler only on training data prior to scaling both the training and test sets independently. By doing so, you ensure that the model's evaluation reflects its true performance on unseen data.</t>
  </si>
  <si>
    <t>## Data Leakage Analysis
### Verdict: **Data Leakage Present**
---
### Where the Leakage Occurs
The problem is on this line:
```python
scaler = StandardScaler()
X_scaled = scaler.fit_transform(X)  # ← Leakage happens here
```
`scaler.fit_transform(X)` is called on the **entire dataset** before the train/test split. This means the scaler computes its mean and standard deviation using **all rows, including what will become the test set**.
The split happens *after* scaling:
```python
X_train, X_test, y_train, y_test = train_test_split(
    X_scaled, y, test_size=0.2, random_state=42  # Split after leakage has already occurred
)
```
---
### Why This Is a Problem
`StandardScaler` computes two statistics during `fit`:
- **mean (μ)** per feature
- **standard deviation (σ)** per feature
When you fit on all of `X`, those statistics are influenced by test set values. The test set then gets transformed using parameters it helped define — meaning the model has indirectly "seen" the test data during training setup.
| Step | What should happen | What actually happens |
|---|---|---|
| Fit scaler | Train data only | Entire dataset (train + test) |
| Transform train | Using train statistics | Using contaminated statistics |
| Transform test | Using train statistics | Using contaminated statistics |
This produces an **overly optimistic MSE**, because the scaling of training data was informed by test data distributions, and the reported error does not reflect true generalization performance.
---
### The Correct Pattern
Fit the scaler **only on training data**, then use it to transform both sets:
```python
X_train, X_test, y_train, y_test = train_test_split(
    X, y, test_size=0.2, random_state=42  # Split FIRST, on unscaled data
)
scaler = StandardScaler()
X_train_scaled = scaler.fit_transform(X_train)   # Fit ONLY on train
X_test_scaled = scaler.transform(X_test)          # Transform test using train statistics
model = LinearRegression()
model.fit(X_train_scaled, y_train)
y_pred = model.predict(X_test_scaled)
print(f"MSE: {mean_squared_error(y_test, y_pred):.4f}")
```
---
### Best Practice: Use a Pipeline
A `Pipeline` enforces this correct order automatically and is especially important when using cross-validation, where the leakage risk compounds across every fold:
```python
from sklearn.pipeline import Pipeline
pipeline = Pipeline([
    ("scaler", StandardScaler()),
    ("model", LinearRegression())
])
X_train, X_test, y_train, y_test = train_test_split(
    X, y, test_size=0.2, random_state=42
)
pipeline.fit(X_train, y_train)   # Scaler fits only on X_train internally
y_pred = pipeline.predict(X_test)
print(f"MSE: {mean_squared_error(y_test, y_pred):.4f}")
```
With a `Pipeline`, it is **impossible** to accidentally fit the scaler on test data, making it the recommended approach for any production or research workflow.</t>
  </si>
  <si>
    <t># Data Leakage Review
## ⚠️ **DATA LEAKAGE DETECTED**
### The Problem
**Location:** Line 8 — `scaler.fit_transform(X)`
The scaler is fit on the **entire dataset** before the train-test split. This means:
1. The `StandardScaler` learns the mean and standard deviation from all data (including the test set)
2. The test set is then scaled using statistics computed from data it was supposed to be independent of
3. At prediction time in production, you won't have access to future test data to compute these statistics
### Why This Is a Problem
- **Artificially optimistic performance:** Test set metrics will be inflated because the test data was used to compute scaling parameters
- **Poor generalization:** The model won't perform as well on truly unseen data scaled differently
- **Invalid evaluation:** Your MSE score doesn't accurately reflect real-world performance
### Correct Implementation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 Split FIRST
X_train, X_test, y_train, y_test = train_test_split(
    X, y, test_size=0.2, random_state=42
)
# Fit scaler ONLY on training data
scaler = StandardScaler()
X_train_scaled = scaler.fit_transform(X_train)
# Transform test data using training statistics
X_test_scaled = scaler.transform(X_test)
model = LinearRegression()
model.fit(X_train_scaled, y_train)
y_pred = model.predict(X_test_scaled)
print(f"MSE: {mean_squared_error(y_test, y_pred):.4f}")
```
### Key Principle
**Always fit preprocessing steps (scalers, encoders, imputers, etc.) on the training set only, then apply those same transformations to the test set.**</t>
  </si>
  <si>
    <t>Yes, this code **contains data leakage**.
### Where the Data Leakage Occurs and Why It's a Problem:
The data leakage occurs in this line:
```python
X_scaled = scaler.fit_transform(X)
```
And consequently impacts the subsequent split:
```python
X_train, X_test, y_train, y_test = train_test_split(
    X_scaled, y, test_size=0.2, random_state=42
)
```
**Explanation:**
1.  **`StandardScaler().fit_transform(X)`:** The `StandardScaler` calculates the mean and standard deviation for each feature across the *entire* dataset `X`. This `X` contains both the data that will eventually become your training set and the data that will become your test set.
2.  **Information from the Test Set in Scaling:** By calling `fit_transform` on the full `X` before splitting, the scaler learns parameters (mean and standard deviation) that are influenced by the test set's data distribution.
3.  **Impact on Training:** When `X_train` is subsequently created, it's a subset of `X_scaled`. The values in `X_train` have been scaled using parameters that incorporate knowledge from the test set. This means your training process is indirectly exposed to information about the test set's distribution.
4.  **Over-optimistic Performance:** As a result, the model trained on this "contaminated" `X_train` might perform *overly optimistically* when evaluated on `X_test`. In a real-world scenario, you wouldn't have access to the statistical properties (mean, standard deviation) of unseen future data (your test set) when you're preparing your training data. The model's reported Mean Squared Error (MSE) would not be a true reflection of its generalization ability on truly unseen data.
### How to Fix It:
To prevent data leakage, the scaling operation must be performed *after* the data has been split into training and test sets. The scaler should only `fit` on the training data and then `transform` both the training and test data using the parameters learned *only* from the training data.
Here's the corrected code:
```python
import pandas as pd
from sklearn.preprocessing import StandardScaler
from sklearn.model_selection import train_test_split
from sklearn.linear_model import LinearRegression
from sklearn.metrics import mean_squared_error
df = pd.read_csv("housing.csv")
X = df.drop("price", axis=1)
y = df["price"]
# --- FIX STARTS HERE ---
# 1. Split the data FIRST
X_train, X_test, y_train, y_test = train_test_split(
    X, y, test_size=0.2, random_state=42
)
# 2. Initialize the scaler
scaler = StandardScaler()
# 3. Fit the scaler ONLY on the training data
scaler.fit(X_train)
# 4. Transform both training and test data using the fitted scaler
X_train_scaled = scaler.transform(X_train)
X_test_scaled = scaler.transform(X_test)
# --- FIX ENDS HERE ---
model = LinearRegression()
model.fit(X_train_scaled, y_train) # Train on scaled training data
y_pred = model.predict(X_test_scaled) # Predict on scaled test data
print(f"MSE: {mean_squared_error(y_test, y_pred):.4f}")
```</t>
  </si>
  <si>
    <t>The code you provided generally follows good practices and should run without major issues, but there are a few potential improvements and considerations that could enhance its quality and robustness:
1. **File Path Sensitivity**: 
   - The code uses a hardcoded file path `"housing.csv"`. This path is relative, which can cause issues if the script is executed from a different directory. Consider using `os.path.join()` or Pathlib for more reliable file path construction if your environment gets more complex.
2. **Handling Missing Values**:
   - The code doesn't handle any missing values in the dataset. If there are any missing values in the data, functions like `fit_transform` and `fit` could throw errors. It's generally a good practice to check for and handle missing data before model training, using techniques such as imputation or removal.
3. **Feature Scaling Consistency**:
   - The `StandardScaler` is correctly applied to `X_train` and `X_test`, ensuring both are scaled consistently. However, if there are categorical features in `X`, they should be encoded suitably (e.g., one-hot encoding) prior to scaling, since scaling non-numeric data could lead to unintended results.
4. **Output Readability**:
   - The mean squared error (MSE) is calculated and printed, which is good practice. However, if you want to improve readability, you might consider printing additional metrics or detailing more actionable insights to facilitate easier interpretation by the user.
5. **Random Seed Consistency**:
   - The `random_state` parameter in the train-test split function call ensures reproducibility, which is good practice. If consistency across runs is critical beyond the splitting, consider setting a random state or seed for other potential stochastic processes (though this code does not include such processes).
6. **Model Evaluation**:
   - The code computes the Mean Squared Error (MSE), which is fine for regression problems. Nonetheless, consider including additional metrics like R-squared, Mean Absolute Error, or visualizations of predicted versus actual values for a more comprehensive evaluation.
7. **Scalability Considerations**:
   - Ensure the code will be run in an environment with sufficient resources for your dataset size. If the dataset is large, consider using techniques like sample subsetting or dimensionality reduction for performance improvements.
8. **Potential Import Optimization**:
   - If not already assumed, ensure that any dependencies (libraries like `pandas` or `sklearn`) are installed in the environment where the code will run.
9. **Code Documentation**:
   - Documenting the purpose of processing steps, decisions for parameter values (e.g., `test_size=0.2`), and any assumptions (e.g., no missing values) would improve the maintainability of the code for others or for your future self. Use comments or docstrings where appropriate.
10. **Error Handling**:
    - Consider encapsulating the file reading, model training, or prediction processes with try-except blocks to handle and provide informative messages for potential errors, such as file not found errors or data processing issues.
Making these adjustments can improve the codebase by increasing its robustness, readability, and applicability in a variety of scenarios.</t>
  </si>
  <si>
    <t>The provided Python code is generally well-structured and implements a simple linear regression model using scikit-learn and pandas. However, there are several areas where issues, bugs, or bad practices can be identified. Let's go through them:
1. **Missing Values Handling:**
   - The code does not check for missing values in the dataset. If there are any missing values in either `X` or `y`, it could cause errors or undesired behavior when training the model. Before splitting the dataset, it's important to handle any potential NaN values.
   - **Fix:** Add a step to check and handle missing values. For example:
     ```python
     if df.isnull().sum().sum() &gt; 0:
         df = df.dropna()  # or use df.fillna() to fill missing values
     ```
2. **Data Preprocessing:**
   - The code assumes that all columns in `X` are numerical. If the dataset contains categorical variables, they need to be properly encoded (e.g., using One-Hot Encoding) before scaling and training the model.
   - **Fix:** Check for categorical variables and apply appropriate encoding before using `StandardScaler`.
3. **Feature Scaling Without Understanding the Data:**
   - `StandardScaler` assumes that the data is normally distributed. If the features are not normally distributed or if there are outliers, using `StandardScaler` might not be appropriate. It might be better to use `RobustScaler` for datasets with outliers or other scaling techniques based on the distribution of the data.
   - **Fix:** Analyze the distribution of features first and decide whether `StandardScaler` is the appropriate method.
4. **Hardcoded File Path:**
   - The file path "housing.csv" is hardcoded. This could be an issue if the file is not in the same directory or if the filename changes. It would be better to make this dynamic (e.g., by accepting it as a function argument or through a configuration).
   - **Fix:** Use function parameters or configuration files to manage file paths.
5. **Model Evaluation and Reporting:**
   - The model only reports Mean Squared Error (MSE) without any context or additional evaluation metrics. It is good practice to consider more evaluation metrics depending on the problem, such as R-squared, MAE (Mean Absolute Error), or additional diagnostics.
   - **Fix:** Include more performance metrics in the evaluation section. For example:
     ```python
     print(f"MSE: {mean_squared_error(y_test, y_pred):.4f}")
     print(f"R^2: {model.score(X_test, y_test):.4f}")
     ```
6. **No Cross-Validation:**
   - The code splits the data once into training and testing sets but does not perform any cross-validation to ensure that the model's performance is robust. Single splits can be very sensitive to the particular data split.
   - **Fix:** Use cross-validation (e.g., `cross_val_score`) to ensure the model's performance is reliable across different subsets of the data.
7. **Assuming Linear Relationships:**
   - The model assumes a linear relationship between the features and the target. If the actual relationship is not linear, this model will perform poorly. An exploration of the data might reveal nonlinearities.
   - **Fix:** Consider using exploratory data analysis (EDA) to investigate relationships between features and the target variable. More complex models might be warranted if linearity does not hold.
8. **No Documentation:**
   - The code lacks comments and documentation which can make it harder to understand for someone unfamiliar with it. While this might be acceptable for small scripts, it's good practice to include comments explaining the steps and purpose.
   - **Fix:** Add comments or docstrings to describe what each section of the code is doing.
Here is an example of how some of the fixes might look:
```python
import pandas as pd
from sklearn.preprocessing import StandardScaler, OneHotEncoder
from sklearn.model_selection import train_test_split, cross_val_score
from sklearn.linear_model import LinearRegression
from sklearn.metrics import mean_squared_error, r2_score
# Load data
df = pd.read_csv("housing.csv")
# Check for missing values
if df.isnull().sum().sum() &gt; 0:
    df = df.dropna()  # or handle appropriately
# Encode categorical features if any
X = pd.get_dummies(df.drop("price", axis=1), drop_first=True)
y = df["price"]
# Split the dataset
X_train, X_test, y_train, y_test = train_test_split(X, y, test_size=0.2, random_state=42)
# Scale features
scaler = StandardScaler()
X_train = scaler.fit_transform(X_train)
X_test = scaler.transform(X_test)
# Train the model
model = LinearRegression()
model.fit(X_train, y_train)
# Predict and evaluate
y_pred = model.predict(X_test)
print(f"MSE: {mean_squared_error(y_test, y_pred):.4f}")
print(f"R^2: {r2_score(y_test, y_pred):.4f}")
```
This example incorporates several of the suggested improvements to make the code more robust and maintainable.</t>
  </si>
  <si>
    <t>## Code Review
The code is generally well-structured and follows a reasonable ML pipeline, but has several issues ranging from critical to minor.
---
### 1. No Error Handling for File Loading
```python
# Current - will crash with unhelpful error if file is missing
df = pd.read_csv("housing.csv")
# Better
import sys
from pathlib import Path
file_path = Path("housing.csv")
if not file_path.exists():
    sys.exit(f"Error: Data file not found at {file_path.resolve()}")
df = pd.read_csv(file_path)
```
---
### 2. No Data Validation After Loading
```python
# Current - silently proceeds even with empty or malformed data
df = pd.read_csv("housing.csv")
# Better - validate before proceeding
df = pd.read_csv("housing.csv")
if df.empty:
    sys.exit("Error: Loaded dataframe is empty")
if "price" not in df.columns:
    sys.exit("Error: Target column 'price' not found in dataset")
print(f"Loaded {len(df)} rows, {len(df.columns)} columns")
```
---
### 3. Silent Data Loss from Missing Values
```python
# Current - StandardScaler and LinearRegression will either fail or
# produce incorrect results if NaN values are present, with no warning
# Better - explicitly handle missing values before splitting
print(f"Missing values per column:\n{df.isnull().sum()}")
# Choose a strategy deliberately, for example:
df = df.dropna()                          # Option A: drop rows
X.fillna(X.median(), inplace=True)        # Option B: impute (do this after splitting to avoid leakage)
```
---
### 4. Data Leakage Risk with Categorical Columns
```python
# Current - passes all columns blindly to the scaler
X = df.drop("price", axis=1)
# If X contains categorical columns, StandardScaler will either fail
# or scale encoded integers meaninglessly
# Better - separate handling per column type
categorical_cols = X.select_dtypes(include=["object", "category"]).columns
numerical_cols = X.select_dtypes(include=["number"]).columns
print(f"Categorical columns: {list(categorical_cols)}")
print(f"Numerical columns: {list(numerical_cols)}")
# Use a pipeline to handle both types cleanly
from sklearn.pipeline import Pipeline
from sklearn.compose import ColumnTransformer
from sklearn.preprocessing import OneHotEncoder
preprocessor = ColumnTransformer([
    ("num", StandardScaler(), numerical_cols),
    ("cat", OneHotEncoder(handle_unknown="ignore"), categorical_cols)
])
```
---
### 5. Scaler Fitted Outside a Pipeline (Subtle Data Leakage)
```python
# Current - technically correct order here, but fragile and error-prone
scaler = StandardScaler()
X_train = scaler.fit_transform(X_train)
X_test = scaler.transform(X_test)          # correct: transform only
# The risk: in cross-validation or more complex workflows, this pattern
# is easily applied incorrectly, causing leakage
# Better - encapsulate in a Pipeline so leakage is impossible
from sklearn.pipeline import Pipeline
pipeline = Pipeline([
    ("scaler", StandardScaler()),
    ("model", LinearRegression())
])
pipeline.fit(X_train, y_train)
y_pred = pipeline.predict(X_test)
```
---
### 6. Only One Metric Reported
```python
# Current - MSE alone is hard to interpret
print(f"MSE: {mean_squared_error(y_test, y_pred):.4f}")
# Problems:
# - MSE is in squared units (e.g., dollars²), hard to interpret intuitively
# - No baseline comparison (e.g., predicting the mean)
# - No sense of variance explained
# Better
from sklearn.metrics import mean_absolute_error, r2_score
import numpy as np
mse  = mean_squared_error(y_test, y_pred)
rmse = np.sqrt(mse)
mae  = mean_absolute_error(y_test, y_pred)
r2   = r2_score(y_test, y_pred)
# Baseline: always predicting the mean
baseline_mse = mean_squared_error(y_test, [y_train.mean()] * len(y_test))
print(f"RMSE:         {rmse:.4f}")
print(f"MAE:          {mae:.4f}")
print(f"R²:           {r2:.4f}")
print(f"Baseline MSE: {baseline_mse:.4f}  (predicting mean)")
```
---
### 7. No Cross-Validation
```python
# Current - single train/test split gives high-variance estimate of performance
X_train, X_test, y_train, y_test = train_test_split(X, y, test_size=0.2, random_state=42)
# A single split can be misleadingly good or bad depending on the random state
# Better - use cross-validation for a more reliable estimate
from sklearn.model_selection import cross_val_score
scores = cross_val_score(
    pipeline, X, y,
    cv=5,
    scoring="neg_root_mean_squared_error"
)
print(f"CV RMSE: {-scores.mean():.4f} ± {scores.std():.4f}")
```
---
### 8. No Model Persistence
```python
# Current - model is lost when the script ends
# Better - save the trained model and scaler for later use
import joblib
joblib.dump(pipeline, "housing_model.pkl")
# To reload later:
# pipeline = joblib.load("housing_model.pkl")
```
---
## Summary Table
| # | Issue | Severity |
|---|-------|----------|
| 1 | No file-loading error handling | High |
| 2 | No data validation after load | High |
| 3 | Missing values handled silently | High |
| 4 | Categorical columns not handled | High |
| 5 | Scaler outside pipeline (leakage risk) | Medium |
| 6 | Only MSE reported, no baseline | Medium |
| 7 | No cross-validation | Medium |
| 8 | No model persistence | Low |
The most critical fixes are **1–4**, as they can cause silent failures or corrupt results. Issues **5–7** improve reliability and interpretability. Issue **8** is a practical concern for production use.</t>
  </si>
  <si>
    <t># Code Review: Issues and Problems Found
## 1. **No Data Validation or Error Handling** ⚠️
**Severity:** High
The code assumes the CSV file exists and is valid without any error handling.
```python
# Problem
df = pd.read_csv("housing.csv")
# Solution
try:
    df = pd.read_csv("housing.csv")
except FileNotFoundError:
    print("Error: housing.csv not found")
    exit(1)
except pd.errors.ParserError:
    print("Error: Failed to parse CSV file")
    exit(1)
```
## 2. **No Verification That 'price' Column Exists** ⚠️
**Severity:** High
Will crash with a KeyError if the column name is different.
```python
# Problem
X = df.drop("price", axis=1)
y = df["price"]
# Solution
if "price" not in df.columns:
    raise ValueError("'price' column not found in dataset")
```
## 3. **No Check for Missing Values** ⚠️
**Severity:** High
NaN values will cause issues in model training or silently produce wrong results.
```python
# Add before scaling
if df.isnull().sum().sum() &gt; 0:
    print("Missing values detected:")
    print(df.isnull().sum())
    # Handle appropriately (drop, fill, etc.)
    df = df.dropna()
```
## 4. **No Data Exploration** ⚠️
**Severity:** Medium
Unknown data types, ranges, or distributions could cause issues.
```python
# Add before processing
print(df.info())
print(df.describe())
print(df.dtypes)
```
## 5. **Only Using MSE as Metric** ⚠️
**Severity:** Medium
MSE alone is insufficient for model evaluation. No baseline for comparison.
```python
from sklearn.metrics import mean_squared_error, r2_score, mean_absolute_error
mse = mean_squared_error(y_test, y_pred)
rmse = mse ** 0.5
mae = mean_absolute_error(y_test, y_pred)
r2 = r2_score(y_test, y_pred)
print(f"MSE: {mse:.4f}")
print(f"RMSE: {rmse:.4f}")
print(f"MAE: {mae:.4f}")
print(f"R² Score: {r2:.4f}")
```
## 6. **No Train-Test Performance Comparison** ⚠️
**Severity:** Medium
Cannot detect overfitting or underfitting without training metrics.
```python
y_train_pred = model.predict(X_train)
print(f"Train MSE: {mean_squared_error(y_train, y_train_pred):.4f}")
print(f"Test MSE: {mean_squared_error(y_test, y_pred):.4f}")
```
## 7. **Hard-coded Magic Numbers** ⚠️
**Severity:** Low
Test size and random state are not configurable.
```python
# Better practice
TEST_SIZE = 0.2
RANDOM_STATE = 42
SCALER = StandardScaler()
X_train, X_test, y_train, y_test = train_test_split(
    X, y, test_size=TEST_SIZE, random_state=RANDOM_STATE
)
```
## 8. **No Feature Scaling Validation** ⚠️
**Severity:** Low
No verification that scaling was applied correctly or checking feature statistics.
```python
print("Training set statistics after scaling:")
print(f"Mean: {X_train.mean(axis=0)}")
print(f"Std: {X_train.std(axis=0)}")
```
---
## Improved Version:
```python
import pandas as pd
import numpy as np
from sklearn.preprocessing import StandardScaler
from sklearn.model_selection import train_test_split
from sklearn.linear_model import LinearRegression
from sklearn.metrics import mean_squared_error, r2_score, mean_absolute_error
# Configuration
TEST_SIZE = 0.2
RANDOM_STATE = 42
try:
    # Load and validate data
    df = pd.read_csv("housing.csv")
    if df.empty:
        raise ValueError("Dataset is empty")
    if "price" not in df.columns:
        raise ValueError("'price' column not found")
    # Handle missing values
    if df.isnull().sum().sum() &gt; 0:
        print("Removing rows with missing values...")
        df = df.dropna()
    # Separate features and target
    X = df.drop("price", axis=1)
    y = df["price"]
    # Split data
    X_train, X_test, y_train, y_test = train_test_split(
        X, y, test_size=TEST_SIZE, random_state=RANDOM_STATE
    )
    # Scale features
    scaler = StandardScaler()
    X_train = scaler.fit_transform(X_train)
    X_test = scaler.transform(X_test)
    # Train model
    model = LinearRegression()
    model.fit(X_train, y_train)
    # Evaluate
    y_train_pred = model.predict(X_train)
    y_test_pred = model.predict(X_test)
    print(f"Train MSE: {mean_squared_error(y_train, y_train_pred):.4f}")
    print(f"Test MSE: {mean_squared_error(y_test, y_test_pred):.4f}")
    print(f"Test RMSE: {np.sqrt(mean_squared_error(y_test, y_test_pred)):.4f}")
    print(f"Test R² Score: {r2_score(y_test, y_test_pred):.4f}")
except Exception as e:
    print(f"Error: {e}")
```</t>
  </si>
  <si>
    <t>The provided Python code is a basic script for training a linear regression model. While functional for a very clean dataset, it has several issues, bugs, and bad practices that would make it fragile or incorrect in a real-world scenario.
Here's a breakdown of the problems:
1.  **Lack of Data Validation and Preprocessing for Missing Values:**
    *   **Problem:** The code does not check for or handle missing values (NaN) in the DataFrame `df`. Both `StandardScaler` and `LinearRegression` will raise an error or behave unexpectedly if they encounter `NaN`s in the input data (`X_train`, `X_test`, `y_train`).
    *   **Explanation:** In real-world datasets, missing values are common. Before scaling or training, these should be explicitly handled (e.g., imputation, dropping rows/columns).
    *   **Impact:** The script will crash if `housing.csv` contains any missing values in the feature or target columns.
2.  **Lack of Data Validation and Preprocessing for Non-Numeric/Categorical Features:**
    *   **Problem:** The code assumes that all columns in `X` (after dropping 'price') are numeric and suitable for `StandardScaler` and `LinearRegression`. It does not explicitly check or handle categorical features.
    *   **Explanation:** If `housing.csv` contains columns with `object` or `category` data types (e.g., 'city', 'house_type'), `StandardScaler` will raise a `TypeError` because it expects numerical input. `LinearRegression` also expects numerical input.
    *   **Impact:** The script will crash if `housing.csv` contains non-numeric feature columns. Even if it doesn't crash (e.g., if categorical data is represented numerically but not ordinal), the model's performance could be severely impacted without proper encoding (e.g., one-hot encoding).
3.  **Implicit Assumptions about Column Names:**
    *   **Problem:** The code hardcodes the target column name as `"price"` (`df.drop("price", axis=1)` and `df["price"]`).
    *   **Explanation:** If the target column in `housing.csv` has a different name (e.g., "house_price", "target"), the script will raise a `KeyError`.
    *   **Impact:** Fragility; the code breaks if the column name changes. It relies on implicit knowledge of the dataset structure.
4.  **No Error Handling for File I/O:**
    *   **Problem:** `pd.read_csv("housing.csv")` will raise a `FileNotFoundError` if `housing.csv` does not exist in the specified path.
    *   **Explanation:** The code doesn't include any `try-except` block to gracefully handle the situation where the input file is not found or cannot be read.
    *   **Impact:** The script will crash with a `FileNotFoundError`, providing a less user-friendly experience than explicit error handling.
5.  **Loss of DataFrame Structure Post-Scaling (Minor Bad Practice):**
    *   **Problem:** After `X_train = scaler.fit_transform(X_train)` and `X_test = scaler.transform(X_test)`, `X_train` and `X_test` are converted from pandas DataFrames to NumPy arrays.
    *   **Explanation:** While not a critical bug for this simple script, in more complex pipelines, losing the column names can make debugging, feature importance analysis, or subsequent transformations harder. It's often beneficial to maintain DataFrame structure where possible (e.g., by wrapping the output back into a DataFrame with `pd.DataFrame(..., columns=original_columns)`).
    *   **Impact:** Reduced traceability and slightly more complex debugging if feature names are important later.
6.  **Lack of Data Exploration/Initial Inspection (Bad Practice):**
    *   **Problem:** The code directly jumps into preprocessing and modeling without any preliminary data exploration.
    *   **Explanation:** Before scaling or training, it's crucial to understand the data's structure, types, distributions, and potential outliers. Commands like `df.head()`, `df.info()`, `df.describe()`, and checking `df.isnull().sum()` are standard practices.
    *   **Impact:** Without exploration, the developer is blind to potential data quality issues (missing values, incorrect types, extreme outliers) that could significantly affect model performance or lead to crashes, as highlighted in points 1 and 2.
7.  **Hardcoded Filename (Minor Bad Practice):**
    *   **Problem:** The input filename `"housing.csv"` is hardcoded directly into the script.
    *   **Explanation:** For scripts that might be reused or deployed, it's generally better practice to make such parameters configurable (e.g., via command-line arguments, a config file, or as a function parameter).
    *   **Impact:** Less flexible code; requires direct modification of the script to process a different file.
In summary, the code provides a basic functional flow for a linear regression task but is highly susceptible to data quality issues (missing values, non-numeric features) and lacks robustness and best practices for real-world applications.</t>
  </si>
  <si>
    <t>The given Python code is generally well-structured in terms of avoiding data leakage. Here is a step-by-step breakdown of the pipeline to ensure there is no leakage:
1. **Data Splitting**: The dataset is read from "housing.csv" and split into features `X` and target `y`. Then, the data is split into training and test sets using `train_test_split`. This is appropriately done before any preprocessing or model training, which is crucial to prevent data leakage.
2. **Feature Scaling**: The code then scales the features using `StandardScaler`. Notably, it first fits the scaler on the `X_train` data using `scaler.fit_transform(X_train)` and then only transforms the `X_test` data with `scaler.transform(X_test)`. This is the correct procedure, as it ensures that the scaling parameters (mean and standard deviation) are derived strictly from the training data. Applying the scaling parameters learned from the training data to both the training and test sets prevents leakage of information from the test data into the training process.
3. **Model Training and Evaluation**: The `LinearRegression` model is trained on the scaled `X_train` data and the `y_train` target. Predictions are then made on the scaled `X_test` data, and the mean squared error is calculated. This is also correctly done, and there’s no leakage here, as model training is only conducted on training data and predictions on separate test data.
In summary, the code handles data preprocessing and model training appropriately without introducing data leakage. The key operations of scaling and training are only informed by the training data, keeping the test data independent until the evaluation phase. Therefore, this code is free of data leakage.</t>
  </si>
  <si>
    <t>The provided code contains no obvious forms of data leakage, as the operations performed are consistent with good practices for machine learning pipelines. However, let's break down the steps to confirm that there are no issues:
1. **Data Separation**: The dataset is split into training and testing sets using `train_test_split`, which ensures that the test set remains unseen during the training phase. This step is fundamental to preventing data leakage.
2. **Feature Scaling**: The code applies `StandardScaler` to standardize the features. It correctly uses `fit_transform` on the training set (`X_train`) and then applies `transform` on the test set (`X_test`). This step is also correctly implemented to prevent leakage, as no information from the test set is used to scale the training set.
3. **Model Training and Evaluation**: The model is trained on the scaled training data, and predictions are made on the scaled test data. The performance metric used (mean squared error) is calculated on the test set, which is appropriate as the test set has not been seen by the model during training.
### Conclusion:
There is no data leakage in this code. The separation of training and testing sets, proper scaling, and model evaluation processes are all handled correctly. Each step ensures that the model's validation is based solely on the data that it did not encounter during training, preserving the integrity of the evaluation process. Hence, you can confidently state that the code is free of data leakage.</t>
  </si>
  <si>
    <t>## Data Leakage Review
### Verdict: **No Data Leakage Present**
This pipeline is correctly structured. Here is a breakdown of why each step is sound.
---
### Step-by-Step Analysis
**1. Train/Test Split — Correct**
```python
X_train, X_test, y_train, y_test = train_test_split(
    X, y, test_size=0.2, random_state=42
)
```
The split happens **before** any data-dependent transformation. Test data has no influence on anything that follows in the training process.
---
**2. Scaling — Correct**
```python
scaler = StandardScaler()
X_train = scaler.fit_transform(X_train)  # learns mean/std from training data only
X_test = scaler.transform(X_test)        # applies training statistics to test data
```
This is the **critical step** where leakage most commonly occurs. Here it is handled properly:
| Action | Method Used | Correct? |
|---|---|---|
| Fit scaler | Only on `X_train` | ✅ Yes |
| Transform training data | `fit_transform(X_train)` | ✅ Yes |
| Transform test data | `transform(X_test)` only | ✅ Yes |
A common mistake would be calling `scaler.fit_transform(X_test)`, which would compute new mean/std from test data, or fitting the scaler on the full `X` before splitting. Neither happens here.
---
**3. Model Training and Evaluation — Correct**
```python
model.fit(X_train, y_train)      # trained on training data only
y_pred = model.predict(X_test)   # evaluated on held-out test data
```
The model never sees `y_test` during training, and predictions are generated independently.
---
### Common Leakage Patterns This Code Avoids
```python
# ❌ BAD: Scaling before splitting
scaler.fit_transform(X)  # test statistics leak into training
# ❌ BAD: Re-fitting scaler on test data
X_test = scaler.fit_transform(X_test)  # test set gets its own scale
# ❌ BAD: Using target-encoded features computed on full dataset before split
X['price_mean_by_neighborhood'] = df.groupby('neighborhood')['price'].transform('mean')
```
---
### One Practical Recommendation
While the code is correct as written, consider wrapping the scaler and model in a **`Pipeline`** object. This makes the no-leakage guarantee more explicit, less error-prone during refactoring, and compatible with cross-validation utilities:
```python
from sklearn.pipeline import Pipeline
pipeline = Pipeline([
    ('scaler', StandardScaler()),
    ('model', LinearRegression())
])
pipeline.fit(X_train, y_train)
y_pred = pipeline.predict(X_test)
```
With `Pipeline`, `sklearn` automatically ensures the scaler is only fitted on training folds, which becomes especially important if you later add cross-validation.</t>
  </si>
  <si>
    <t># Data Leakage Review
**Verdict: This code is FREE of data leakage.**
The pipeline correctly handles the train-test split and feature scaling:
## What the code does right:
1. **Proper train-test split timing**: The split occurs *before* any transformations, ensuring test data is held out from the beginning.
2. **Correct scaler fitting**: The `StandardScaler` is fit **only on training data**:
   ```python
   scaler.fit_transform(X_train)  # Learns mean/std from training set only
   ```
3. **Test data transformed consistently**: The test set is transformed using statistics learned from training:
   ```python
   scaler.transform(X_test)  # Uses training set's mean/std
   ```
This is the proper approach. The scaler learns its parameters (mean and standard deviation) exclusively from the training set, then applies those same transformations to the test set. The test set never influences what the scaler learns.
## Why this matters:
If the code had instead fit the scaler on the entire dataset *before* splitting:
```python
# WRONG - would cause leakage:
scaler.fit_transform(X)
X_train, X_test, ... = train_test_split(X_scaled, ...)
```
This would be data leakage because test set statistics would influence how features are scaled, inflating performance metrics.
**Conclusion**: The implementation follows best practices. No changes needed.</t>
  </si>
  <si>
    <t>This Python machine learning pipeline code is **free of data leakage**.
Here's why:
1.  **Correct Train-Test Split:**
    *   The very first step after loading the data and separating features (`X`) from the target (`y`) is `train_test_split`. This correctly partitions the data into distinct training and testing sets *before* any preprocessing or model training occurs. This ensures that the test set remains completely unseen by the training process.
2.  **Correct Scaling Procedure:**
    *   `scaler = StandardScaler()`: The scaler is initialized.
    *   `X_train = scaler.fit_transform(X_train)`: The `StandardScaler` is `fit` *only* on the training data (`X_train`). This means the mean and standard deviation used for scaling are calculated exclusively from the training set. This is crucial.
    *   `X_test = scaler.transform(X_test)`: The *same* scaler (which learned its parameters from `X_train`) is then used to `transform` the test data (`X_test`). This ensures that the test data is scaled using parameters derived solely from the training distribution, simulating what would happen with truly unseen, new data in production.
    If `scaler.fit_transform()` were applied to the entire dataset (`X`) before the split, or if `scaler.fit_transform()` were applied independently to `X_test`, that would constitute data leakage. But the code avoids both of these pitfalls.
3.  **Model Training and Evaluation:**
    *   `model.fit(X_train, y_train)`: The `LinearRegression` model is trained exclusively on the preprocessed training data (`X_train`, `y_train`). It has no access to `X_test` or `y_test` during training.
    *   `y_pred = model.predict(X_test)`: Predictions are made on the transformed, unseen `X_test`.
    *   `mean_squared_error(y_test, y_pred)`: The model's performance is evaluated using the true labels of the held-out test set (`y_test`) and its predictions on the test set (`y_pred`).
4.  **No Obvious Target Leakage in Features:**
    *   The code doesn't perform any complex feature engineering that might inadvertently introduce target leakage (e.g., creating a feature that encodes information directly from the `price` column that wouldn't be available at prediction time). Assuming the `housing.csv` dataset itself doesn't contain such features from its original source, this aspect is also clear.
In summary, the pipeline correctly isolates the test set throughout the entire process, ensuring a realistic evaluation of the model's generalization performance on unseen data.</t>
  </si>
  <si>
    <t>The given Python code is a machine learning script using the Support Vector Regression (SVR) model with a Radial Basis Function (RBF) kernel to predict energy consumption based on environmental features. Here are potential issues, bugs, and bad practices in the code:
1. **Importing Unnecessary Libraries**:
   - Even though this script is small, removing unused imports helps keep the code clean. It's a good practice to avoid importing any unnecessary libraries or functions. In this script, all imported libraries are used, so there's no issue here.
2. **No Error Handling**:
   - There is no error handling for the `pd.read_csv` function. If the file "energy.csv" does not exist or is unreadable, this will cause the script to crash. You should consider using a try-except block to handle potential file reading errors gracefully.
3. **Assuming All Features Exist**:
   - The code assumes that all features ("temperature", "humidity", "wind_speed", "pressure") exist in the CSV file. If any of these columns are missing, the script will raise a `KeyError`. It is good to check for their presence and possibly handle the absence with an error message.
4. **Lack of Data Exploration**:
   - While not necessarily a bug, there is no data exploration or validation to check for missing values or anomalies in the data. This could lead to issues during training or evaluation if any rows contain NaN values. You should check for and handle missing values explicitly.
5. **No Feature or Hyperparameter Tuning**:
   - The script uses default parameters for the `SVR` model. Hyperparameter tuning (e.g., using grid search or random search) may be required to improve model performance.
6. **Not Checking for Outliers**:
   - The effects of MinMaxScaler are sensitive to outliers, and extreme values in any feature could distort the normalization process. It might be prudent to explore and handle outliers before normalization.
7. **Potential Data Leakage**:
   - While the current code prevents data leakage by splitting the data set before scaling, be mindful of the order if any changes are made to preprocessing. Preprocessing should always be based on training data only.
8. **No Model Validation**:
   - This code uses a single train-test split and evaluates performance based on that split. Using cross-validation can give a more reliable estimate of model performance by accounting for variance between different splits of the data.
9. **Hardcoded Random State and Test Size**:
   - Although not inherently bad, hardcoding the `random_state` and `test_size` restricts flexibility. Consider making these parameters configurable.
10. **No Output for Model Insights**:
    - While the R² score is printed, additional metrics or insights could be beneficial for understanding model performance (e.g., MAE, RMSE).
By addressing these issues, the script can be made more robust, flexible, and insightful.</t>
  </si>
  <si>
    <t>The provided Python code appears to implement a basic workflow for data preprocessing, model training, and evaluation using a Support Vector Regressor (SVR). While the code is relatively clean and mostly functional, there are several issues and areas for improvement that can be identified. Here’s a breakdown:
1. **Documentation and Comments**:
   - **Problem**: The code lacks comments and documentation, which can make it hard for someone else (or future you) to understand the purpose of each block of code at a glance.
   - **Solution**: Adding comments explaining what each part of the code does would greatly enhance readability and maintainability.
2. **Hardcoded File Name**:
   - **Problem**: The filename `"energy.csv"` is hardcoded into the script. This can cause issues if the file is not in the expected location or if you want to run the code with different datasets.
   - **Solution**: Use a variable or command-line argument for the file path to improve flexibility.
3. **Checking for Missing Values**:
   - **Problem**: The code does not check for or handle missing values in the DataFrame `df`. Missing values can lead to errors during model training and prediction.
   - **Solution**: Add a check for missing values and handle them appropriately, either by filtering, filling, or raising an error if the data is not clean.
4. **Data Leakage**:
   - **Problem**: The target variable `y` is chosen from the DataFrame before any preprocessing steps. If you include any feature engineering requiring future information, this could lead to data leakage.
   - **Solution**: Ensure any transformations are only applied to training data before being applied to the test set.
5. **No Feature Analysis/Selection**:
   - **Problem**: The code does not perform any exploratory data analysis (EDA) or feature selection, which is crucial for understanding the data and improving model performance.
   - **Solution**: Encourage a separate EDA step to visualize and understand relationships between features and the target variable, and consider removing irrelevant or highly correlated features.
6. **Use of a Linear Model Without Scaling**:
   - **Problem**: Although using `MinMaxScaler` is correct, it is important to ensure that SVR is indeed the best choice for this dataset. Sometimes other models (like tree-based models) might perform better without scaling.
   - **Solution**: Consider experimenting with different models and scaling methods and assess their performance through validation metrics.
7. **Potential Overfitting**:
   - **Problem**: The choice of model (SVR with rbf kernel) can lead to overfitting, particularly if hyperparameters are not tuned. There's no validation step to ensure proper generalization.
   - **Solution**: Consider using techniques such as cross-validation or grid search to tune hyperparameters and assess model performance.
8. **Random State**:
   - **Problem**: The random state is set to `7`, which is arbitrary. While it's good that a random state is specified for reproducibility, using a more descriptive name for the state or explaining its purpose in comments can be beneficial.
   - **Solution**: Consider explaining or documenting why a specific random state is chosen, or allow it to be passed in as a parameter.
9. **Output Formatting**:
   - **Problem**: The output of the R² score is printed as a decimal but could be better formatted or described.
   - **Solution**: Make the print statement clearer by describing what the R² score represents in the context of the model's performance.
Here is a revised version of the code with some of the identified issues addressed:
```python
import pandas as pd
from sklearn.preprocessing import MinMaxScaler
from sklearn.model_selection import train_test_split
from sklearn.svm import SVR
from sklearn.metrics import r2_score
# Load the dataset
df = pd.read_csv("energy.csv")
# Check for missing values
if df.isnull().any().any():
    raise ValueError("Data contains missing values. Please handle them before proceeding.")
# Split features and target variable
X = df[["temperature", "humidity", "wind_speed", "pressure"]]
y = df["energy_consumption"]
# Scale the features
scaler = MinMaxScaler()
X_normalized = scaler.fit_transform(X)
# Split the data into training and test sets
X_train, X_test, y_train, y_test = train_test_split(X_normalized, y, test_size=0.25, random_state=7)
# Train the SVR model
model = SVR(kernel="rbf")
model.fit(X_train, y_train)
# Predict and evaluate the model
y_pred = model.predict(X_test)
print(f"R² Score of the model: {r2_score(y_test, y_pred):.4f}")
```
By addressing these concerns, the code can become more robust, maintainable, and suitable for real-world applications.</t>
  </si>
  <si>
    <t>## Code Review
Overall, this code is relatively clean and functional, but has several issues ranging from critical data leakage problems to missing best practices.
---
### Issue 1: Data Leakage — Scaler Fitted Before Splitting (Critical)
```python
# WRONG: Scaler sees test data during fit, leaking information
scaler = MinMaxScaler()
X_normalized = scaler.fit_transform(X)  # fit on ALL data
X_train, X_test, y_train, y_test = train_test_split(...)
```
**Problem:** Fitting the scaler on the entire dataset before splitting means the test set's statistical properties (min/max values) influence the normalization. This constitutes data leakage, producing overly optimistic evaluation metrics that won't reflect real-world performance.
```python
# CORRECT: Split first, then fit scaler only on training data
X_train, X_test, y_train, y_test = train_test_split(
    X, y, test_size=0.25, random_state=7
)
scaler = MinMaxScaler()
X_train = scaler.fit_transform(X_train)  # fit only on training data
X_test = scaler.transform(X_test)        # only transform test data
```
---
### Issue 2: No Validation of Loaded Data
```python
df = pd.read_csv("energy.csv")
X = df[["temperature", "humidity", "wind_speed", "pressure"]]
y = df["energy_consumption"]
```
**Problem:** The code assumes the CSV loads correctly with the expected columns and no missing values. Any of these conditions failing will cause cryptic errors downstream.
```python
# CORRECT: Validate data after loading
df = pd.read_csv("energy.csv")
required_columns = ["temperature", "humidity", "wind_speed", "pressure", "energy_consumption"]
missing_cols = [col for col in required_columns if col not in df.columns]
if missing_cols:
    raise ValueError(f"Missing columns: {missing_cols}")
if df.isnull().any().any():
    print(f"Warning: Found {df.isnull().sum().sum()} missing values")
    df = df.dropna()  # or df.fillna(...) depending on strategy
X = df[["temperature", "humidity", "wind_speed", "pressure"]]
y = df["energy_consumption"]
```
---
### Issue 3: No Hyperparameter Tuning for SVR (Bad Practice)
```python
model = SVR(kernel="rbf")  # uses defaults: C=1.0, epsilon=0.1, gamma='scale'
```
**Problem:** SVR is highly sensitive to hyperparameters (`C`, `epsilon`, `gamma`). Using defaults without tuning often produces poor results, and there's no indication these defaults were validated for this problem.
```python
# CORRECT: Use cross-validated hyperparameter search
from sklearn.model_selection import GridSearchCV
param_grid = {
    "C": [0.1, 1, 10, 100],
    "epsilon": [0.01, 0.1, 0.5],
    "gamma": ["scale", "auto", 0.01, 0.1]
}
model = GridSearchCV(
    SVR(kernel="rbf"),
    param_grid,
    cv=5,
    scoring="r2",
    n_jobs=-1
)
model.fit(X_train, y_train)
print(f"Best parameters: {model.best_params_}")
```
---
### Issue 4: Evaluating with Only One Metric
```python
print(f"R2 Score: {r2_score(y_test, y_pred):.4f}")
```
**Problem:** R² alone can be misleading. A model can have a high R² but large absolute errors. Using multiple metrics provides a more complete picture of model performance.
```python
# CORRECT: Report multiple metrics
from sklearn.metrics import mean_absolute_error, mean_squared_error
import numpy as np
print(f"R2 Score:  {r2_score(y_test, y_pred):.4f}")
print(f"MAE:       {mean_absolute_error(y_test, y_pred):.4f}")
print(f"RMSE:      {np.sqrt(mean_squared_error(y_test, y_pred)):.4f}")
```
---
### Issue 5: No Reproducibility for Train/Test Split (Minor)
```python
X_train, X_test, y_train, y_test = train_test_split(
    X_normalized, y, test_size=0.25, random_state=7
)
```
**Problem:** While `random_state=7` is set for splitting, this is a somewhat arbitrary choice with no explanation. More importantly, there's no global random seed, so other stochastic components (if added later) won't be reproducible.
```python
# CORRECT: Set a named constant and global seed
import numpy as np
RANDOM_STATE = 42  # named constant, easy to find and change
np.random.seed(RANDOM_STATE)
X_train, X_test, y_train, y_test = train_test_split(
    X, y, test_size=0.25, random_state=RANDOM_STATE
)
```
---
### Issue 6: No Pipeline Usage (Best Practice Violation)
**Problem:** Manually chaining preprocessing and modeling steps is error-prone and makes deployment harder. Scikit-learn's `Pipeline` encapsulates this properly, preventing leakage automatically and simplifying saving/loading the model.
```python
# CORRECT: Use a Pipeline
from sklearn.pipeline import Pipeline
import joblib
pipeline = Pipeline([
    ("scaler", MinMaxScaler()),
    ("model", SVR(kernel="rbf"))
])
pipeline.fit(X_train, y_train)   # scaler fits only on X_train automatically
y_pred = pipeline.predict(X_test)
# Easy to save the entire pipeline
joblib.dump(pipeline, "model_pipeline.pkl")
```
---
## Summary Table
| # | Issue | Severity |
|---|-------|----------|
| 1 | Scaler fitted before train/test split (data leakage) | 🔴 Critical |
| 2 | No data validation after loading | 🔴 Critical |
| 3 | No hyperparameter tuning for SVR | 🟡 Moderate |
| 4 | Single evaluation metric | 🟡 Moderate |
| 5 | No global random seed / magic number | 🟢 Minor |
| 6 | No Pipeline usage | 🟢 Minor |
The most important fix is **Issue 1**, as it directly invalidates your model evaluation results.</t>
  </si>
  <si>
    <t># Code Review: Issues and Problems
## 1. **Target Variable Not Normalized** ⚠️ CRITICAL
```python
scaler = MinMaxScaler()
X_normalized = scaler.fit_transform(X)
# y is NOT normalized
```
**Problem**: Features are normalized but the target variable `y` is not. For regression problems, especially with SVR, normalizing the target variable often improves model performance and convergence.
**Fix**:
```python
scaler_X = MinMaxScaler()
scaler_y = MinMaxScaler()
X_normalized = scaler_X.fit_transform(X)
y_normalized = scaler_y.fit_transform(y.values.reshape(-1, 1)).ravel()
X_train, X_test, y_train, y_test = train_test_split(
    X_normalized, y_normalized, test_size=0.25, random_state=7
)
```
## 2. **No Error Handling** ⚠️ IMPORTANT
```python
df = pd.read_csv("energy.csv")
```
**Problem**: No handling if the file doesn't exist, is corrupted, or contains missing values.
**Fix**:
```python
try:
    df = pd.read_csv("energy.csv")
    if df.isnull().any().any():
        print("Warning: Missing values detected")
        df = df.dropna()  # or use imputation
except FileNotFoundError:
    print("Error: energy.csv not found")
    exit(1)
```
## 3. **No SVR Hyperparameter Tuning** ⚠️ IMPORTANT
```python
model = SVR(kernel="rbf")
```
**Problem**: Using default SVR parameters without tuning. Critical parameters like `C` and `gamma` are left at defaults, likely resulting in suboptimal performance.
**Fix**:
```python
from sklearn.model_selection import GridSearchCV
param_grid = {
    'C': [0.1, 1, 10, 100],
    'gamma': ['scale', 'auto', 0.001, 0.01, 0.1]
}
svr = SVR(kernel="rbf")
grid_search = GridSearchCV(svr, param_grid, cv=5)
grid_search.fit(X_train, y_train)
model = grid_search.best_estimator_
```
## 4. **Inadequate Model Evaluation** ⚠️ MODERATE
```python
print(f"R2 Score: {r2_score(y_test, y_pred):.4f}")
```
**Problem**: Only R² score is reported. No cross-validation, no other metrics (MAE, RMSE, MAPE), no train/test comparison.
**Fix**:
```python
from sklearn.metrics import mean_absolute_error, mean_squared_error
import numpy as np
r2 = r2_score(y_test, y_pred)
mae = mean_absolute_error(y_test, y_pred)
rmse = np.sqrt(mean_squared_error(y_test, y_pred))
train_r2 = r2_score(y_train, model.predict(X_train))
print(f"Train R² Score: {train_r2:.4f}")
print(f"Test R² Score: {r2:.4f}")
print(f"MAE: {mae:.4f}")
print(f"RMSE: {rmse:.4f}")
```
## 5. **No Data Validation** ⚠️ MODERATE
```python
X = df[["temperature", "humidity", "wind_speed", "pressure"]]
```
**Problem**: Assumes columns exist and contain valid data without verification.
**Fix**:
```python
required_columns = ["temperature", "humidity", "wind_speed", "pressure", "energy_consumption"]
missing_cols = [col for col in required_columns if col not in df.columns]
if missing_cols:
    print(f"Error: Missing columns {missing_cols}")
    exit(1)
```
## 6. **Magic Numbers** ⚠️ MINOR
```python
test_size=0.25, random_state=7
```
**Problem**: Hard-coded values without explanation or justification.
**Fix**:
```python
TEST_SIZE = 0.25
RANDOM_STATE = 42  # Use 42 (common convention)
```
## 7. **Feature Scaling Consistency Issue** ⚠️ MODERATE
```python
scaler = MinMaxScaler()
X_normalized = scaler.fit_transform(X)
X_train, X_test, y_train, y_test = train_test_split(X_normalized, y, ...)
```
**Problem**: Scaler is fit on entire dataset before split. This causes data leakage—test set information influences training.
**Fix**:
```python
X_train, X_test, y_train, y_test = train_test_split(X, y, test_size=0.25, random_state=42)
scaler = MinMaxScaler()
X_train = scaler.fit_transform(X_train)  # Fit only on training data
X_test = scaler.transform(X_test)        # Transform only test data
```
## Summary Table
| Issue | Severity | Type |
|-------|----------|------|
| Target not normalized | Critical | Logic |
| No error handling | Important | Robustness |
| No hyperparameter tuning | Important | ML Practice |
| Inadequate evaluation | Moderate | ML Practice |
| No data validation | Moderate | Robustness |
| Data leakage in scaling | Moderate | ML Practice |
| Magic numbers | Minor | Code Quality |</t>
  </si>
  <si>
    <t>The provided Python code demonstrates a basic machine learning pipeline for regression using Support Vector Regression (SVR). While functional for a simple case, it has several issues, bugs, and bad practices that should be addressed for robustness, accuracy, and maintainability in a real-world scenario.
Here's a breakdown of the problems:
---
### Issues, Bugs, and Bad Practices:
1.  **Data Leakage During Scaling (Major Issue)**
    *   **Problem:** The `MinMaxScaler` is fit on the *entire dataset* (`X`) before the data is split into training and testing sets.
        ```python
        X_normalized = scaler.fit_transform(X) # Scaler learns from ALL data
        X_train, X_test, y_train, y_test = train_test_split(X_normalized, y, ...)
        ```
    *   **Explanation:** When you call `scaler.fit_transform(X)`, the scaler computes the min and max values from *all* your data, including the data that will eventually become your test set. This "leaks" information from the test set into the training process, as the training data's scaling is influenced by the test data's distribution. This can lead to overly optimistic performance estimates on the test set.
    *   **Correction:** The scaler should *only* be fit on the training data, and then used to transform both the training and testing data.
        ```python
        # Corrected order:
        X_train, X_test, y_train, y_test = train_test_split(X, y, test_size=0.25, random_state=7)
        scaler = MinMaxScaler()
        X_train_scaled = scaler.fit_transform(X_train) # Fit ONLY on training data
        X_test_scaled = scaler.transform(X_test)     # Transform test data using scaler fit on train data
        ```
2.  **Lack of Data Preprocessing/Cleaning (Missing Values, Outliers)**
    *   **Problem:** The code assumes `energy.csv` is perfectly clean. It loads the CSV and immediately proceeds with feature selection and scaling without checking for common data issues.
    *   **Explanation:**
        *   **Missing Values (NaNs):** If `energy.csv` contains missing values in `X` or `y`, `MinMaxScaler` might produce `NaN`s (which `SVR` cannot handle), or `SVR` will raise an error if `y` contains `NaN`s.
        *   **Outliers:** `MinMaxScaler` is highly sensitive to outliers. A single extreme value can drastically skew the scaling, compressing most of the data into a small range and reducing the model's ability to learn fine-grained relationships.
        *   **Data Types:** While `pandas` usually infers numeric types correctly, it's good practice to verify, especially if there might be non-numeric entries masquerading as numbers.
    *   **Correction:** Add explicit steps to handle missing values (e.g., `df.dropna()`, `df.fillna()`, imputation), detect and potentially handle outliers (e.g., robust scaling, Winsorization, removal), and verify data types.
3.  **No Hyperparameter Tuning for SVR (Bad Practice)**
    *   **Problem:** The `SVR` model is used with its default hyperparameters (except for `kernel="rbf"`).
        ```python
        model = SVR(kernel="rbf") # C and gamma are default
        ```
    *   **Explanation:** SVR models, especially with the RBF kernel, have critical hyperparameters like `C` (regularization parameter) and `gamma` (kernel coefficient) that significantly impact model performance. Default values are rarely optimal for a given dataset.
    *   **Correction:** Implement hyperparameter tuning using techniques like `GridSearchCV` or `RandomizedSearchCV` from `sklearn.model_selection` to find the best `C`, `gamma`, and potentially `epsilon` values for the SVR model. This should ideally be done within a pipeline to avoid further data leakage.
4.  **Limited Error Handling (Bad Practice)**
    *   **Problem:** The code has no explicit error handling.
    *   **Explanation:**
        *   **File Not Found:** If `energy.csv` does not exist, `pd.read_csv()` will raise a `FileNotFoundError`, crashing the script.
        *   **Column Not Found:** If "energy_consumption" or any feature column is misspelled or missing in the CSV, the script will crash.
    *   **Correction:** Wrap file loading and critical operations in `try-except` blocks.
5.  **Hardcoded Values (Bad Practice)**
    *   **Problem:** The filename ("energy.csv"), feature names, target name, `test_size`, and `random_state` are hardcoded strings/numbers directly in the script.
    *   **Explanation:** This makes the code less flexible and harder to reuse for different datasets or experimental setups without manual editing.
    *   **Correction:** Use variables for these parameters, potentially allowing them to be passed as command-line arguments or read from a configuration file.
6.  **Lack of Comments and Docstrings (Bad Practice)**
    *   **Problem:** The code lacks any comments explaining its purpose, specific steps, or design choices.
    *   **Explanation:** This makes the code harder to understand, maintain, and debug for anyone (including the original author weeks later).
    *   **Correction:** Add comments to explain non-obvious parts and a docstring at the beginning of the script to describe its overall functionality.
7.  **No `if __name__ == "__main__":` Guard (Good Practice)**
    *   **Problem:** The script executes its logic immediately when imported.
    *   **Explanation:** For simple scripts, this isn't a critical issue, but it's a standard Python practice to wrap the main execution logic within an `if __name__ == "__main__":` block. This prevents the code from running automatically if the file is imported as a module into another script.
    *   **Correction:**
        ```python
        def main():
            # All your existing code goes here
            pass
        if __name__ == "__main__":
            main()
        ```
8.  **Limited Evaluation Metrics (Minor Issue/Improvement)**
    *   **Problem:** Only the R2 score is used for evaluation.
    *   **Explanation:** While R2 is a good metric, it doesn't tell the whole story. Other metrics like Mean Absolute Error (MAE), Mean Squared Error (MSE), or Root Mean Squared Error (RMSE) provide different perspectives on model performance and error magnitude.
    *   **Correction:** Consider reporting additional relevant regression metrics.
9.  **Potential for Imbalanced Data (Not an issue here, but a general consideration)**
    *   **Explanation:** For classification problems, `stratify` in `train_test_split` is often crucial for maintaining class proportions. For regression, it's less direct, but if the target variable `y` has a very skewed distribution, it might be beneficial to ensure representative samples in train/test sets, possibly through custom splitting or analysis. The current code does not address this, but it's not a direct bug for regression.
---
### Revised Code (Addressing Key Issues):
```python
import pandas as pd
from sklearn.preprocessing import MinMaxScaler
from sklearn.model_selection import train_test_split, GridSearchCV
from sklearn.svm import SVR
from sklearn.metrics import r2_score, mean_absolute_error, mean_squared_error
import numpy as np # For handling potential NaNs
def run_energy_prediction(
    data_path="energy.csv",
    features=["temperature", "humidity", "wind_speed", "pressure"],
    target="energy_consumption",
    test_size=0.25,
    random_state=7
):
    """
    Predicts energy consumption using SVR with data loading, scaling, splitting,
    hyperparameter tuning, and evaluation.
    Args:
        data_path (str): Path to the CSV file containing the data.
        features (list): List of feature column names.
        target (str): Name of the target variable column.
        test_size (float): Proportion of the dataset to include in the test split.
        random_state (int): Controls the shuffling applied to the data before splitting.
    """
    print(f"--- Running Energy Prediction for '{data_path}' ---")
    # 1. Load Data with Error Handling
    try:
        df = pd.read_csv(data_path)
        print(f"Successfully loaded data from '{data_path}'. Shape: {df.shape}")
    except FileNotFoundError:
        print(f"Error: The file '{data_path}' was not found.")
        return
    except Exception as e:
        print(f"An error occurred while loading the CSV: {e}")
        return
    # 2. Data Cleaning and Preprocessing (Enhanced)
    # Check for missing values and handle them
    if df.isnull().sum().any():
        print("Warning: Missing values detected. Dropping rows with NaNs.")
        initial_rows = df.shape[0]
        df.dropna(inplace=True)
        print(f"Dropped {initial_rows - df.shape[0]} rows with missing values.")
    # Verify feature and target columns exist
    for col in features + [target]:
        if col not in df.columns:
            print(f"Error: Column '{col}' not found in the dataset.")
            return
    X = df[features]
    y = df[target]
    # Ensure data types are numeric
    X = X.apply(pd.to_numeric, errors='coerce')
    y = pd.to_numeric(y, errors='coerce')
    # Drop any rows that became NaN due to coercion
    initial_rows = X.shape[0]
    df_cleaned = pd.concat([X, y], axis=1).dropna()
    X = df_cleaned[features]
    y = df_cleaned[target]
    if X.shape[0] &lt; initial_rows:
        print(f"Dropped {initial_rows - X.shape[0]} rows due to non-numeric values.")
    # 3. Data Splitting (BEFORE scaling to prevent leakage)
    X_train, X_test, y_train, y_test = train_test_split(
        X, y, test_size=test_size, random_state=random_state
    )
    print(f"Data split into training ({len(X_train)} samples) and testing ({len(X_test)} samples).")
    # 4. Feature Scaling (Fit only on training data)
    scaler = MinMaxScaler()
    X_train_scaled = scaler.fit_transform(X_train) # Fit ONLY on training data
    X_test_scaled = scaler.transform(X_test)     # Transform test data using the SAME scaler
    # 5. Model Training with Hyperparameter Tuning
    print("Starting SVR hyperparameter tuning (GridSearchCV)...")
    param_grid = {
        'C': [0.1, 1, 10, 100],
        'gamma': ['scale', 'auto', 0.1, 1],
        'kernel': ['rbf'] # keeping rbf as specified
    }
    svr_model = SVR()
    grid_search = GridSearchCV(svr_model, param_grid, cv=3, scoring='r2', n_jobs=-1, verbose=1)
    grid_search.fit(X_train_scaled, y_train)
    best_model = grid_search.best_estimator_
    print(f"Best SVR parameters found: {grid_search.best_params_}")
    print(f"Best cross-validation R2 score: {grid_search.best_score_:.4f}")
    # 6. Prediction
    y_pred = best_model.predict(X_test_scaled)
    # 7. Evaluation (Multiple Metrics)
    r2 = r2_score(y_test, y_pred)
    mae = mean_absolute_error(y_test, y_pred)
    mse = mean_squared_error(y_test, y_pred)
    rmse = np.sqrt(mse)
    print("\n--- Model Evaluation ---")
    print(f"R2 Score: {r2:.4f}")
    print(f"Mean Absolute Error (MAE): {mae:.4f}")
    print(f"Mean Squared Error (MSE): {mse:.4f}")
    print(f"Root Mean Squared Error (RMSE): {rmse:.4f}")
    print("------------------------")
    return best_model, scaler, r2, mae, mse, rmse
if __name__ == "__main__":
    # Example usage:
    trained_model, data_scaler, r2_score_val, mae_val, mse_val, rmse_val = run_energy_prediction()
    # You can now use the 'trained_model' for new predictions
    # Example: If you had new data (new_X_df)
    # new_X_scaled = data_scaler.transform(new_X_df[features])
    # new_predictions = trained_model.predict(new_X_scaled)
```</t>
  </si>
  <si>
    <t>The provided Python code does contain a form of data leakage. The issue arises from the way data normalization is applied before the train-test split.
### Data Leakage Issue:
1. **Normalization before Splitting:**
   - The `MinMaxScaler` is fitted on the entire dataset `X` before the train-test split. This means that the scaling parameters (minimum and maximum values) are calculated using all the data, including the test set.
   - Consequently, the test set information is inadvertently used during the scaling process. This exposes the model to information from the test set when it should only be using the training set for scaling parameters.
### Why It Is a Problem:
- **Data Leakage Impact:**
  - Using the entire dataset statistics (min/max values) leaks information from the test set into the training phase. This could result in overly optimistic performance estimates, as the model indirectly "sees" some information from the test data during training.
  - In a real-world scenario, you wouldn't have access to the test set (future/unseen data) when fitting scalers, so using future information violates the principle of keeping the training and testing processes separate.
### Solution:
To resolve this leakage, ensure that the `MinMaxScaler` is fitted only with the training data, and then apply the transformation to both the training and test datasets separately: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Split the data into training and test sets first
X_train, X_test, y_train, y_test = train_test_split(
    X, y, test_size=0.25, random_state=7
)
# Fit the scaler on the training data only
scaler = MinMaxScaler()
X_train_normalized = scaler.fit_transform(X_train)
# Apply the transformation to the test data
X_test_normalized = scaler.transform(X_test)
model = SVR(kernel="rbf")
model.fit(X_train_normalized, y_train)
y_pred = model.predict(X_test_normalized)
print(f"R2 Score: {r2_score(y_test, y_pred):.4f}")
```
By doing this, we ensure that scaling parameters reflect only the training data, which helps to maintain the integrity of the train-test separation.</t>
  </si>
  <si>
    <t>The provided Python machine learning pipeline code does indeed contain a form of data leakage. Here's where it occurs and why it's a problem:
### Location of Data Leakage
The data leakage occurs in the following line of code:
```python
X_normalized = scaler.fit_transform(X)
```
In this line, the `MinMaxScaler` is being fitted to the entire dataset `X` before the split into training and test sets. This means that the scaling parameters (minimum and maximum values of each feature) are computed using all the data, including the test set.
### Reason Why It's a Problem
The main issue here is that using the full dataset to fit the scaler incorporates information from the test set into the training process. When the model is trained with data that has been scaled using parameters obtained from the entire dataset — which includes future (test) data — it can lead to overly optimistic performance estimates. Thus, when the model makes predictions on the test set, it may perform significantly better than it would in real-world scenarios where future data is not known, leading to misleading evaluation metrics.
### Correct Approach to Avoid Data Leakage
To avoid this type of data leakage, the data preprocessing (like scaling) should be done after the train-test split. Here’s how you could refactor the code to prevent leakage: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Split the data first
X_train, X_test, y_train, y_test = train_test_split(
    X, y, test_size=0.25, random_state=7
)
# Now fit the scaler only on the training data
scaler = MinMaxScaler()
X_train_normalized = scaler.fit_transform(X_train)
# Transform the test set with the same scaler
X_test_normalized = scaler.transform(X_test)
# Train the model on the normalized training set
model = SVR(kernel="rbf")
model.fit(X_train_normalized, y_train)
# Predict on the normalized test set
y_pred = model.predict(X_test_normalized)
print(f"R2 Score: {r2_score(y_test, y_pred):.4f}")
```
In this version of the code, the scaler is fitted only on the training data, and then the same scaler is used to transform the test data. This approach ensures that no information from the test set leaks into the training set, leading to a more accurate evaluation of model performance.</t>
  </si>
  <si>
    <t>## Data Leakage Analysis
**The code contains data leakage.** It occurs in the normalization step, specifically in the order of operations between scaling and splitting.
---
### Where the Leakage Occurs
```python
# ❌ PROBLEM: Scaler is fit on the ENTIRE dataset before splitting
scaler = MinMaxScaler()
X_normalized = scaler.fit_transform(X)  # Sees all rows, including future "test" data
# Split happens AFTER scaling — too late
X_train, X_test, y_train, y_test = train_test_split(
    X_normalized, y, test_size=0.25, random_state=7
)
```
---
### Why This Is a Problem
`MinMaxScaler` computes the **minimum and maximum of each feature** across all rows it is fit on, then uses those values to scale every point:
$$x' = \frac{x - x_{\min}}{x_{\max} - x_{\min}}$$
By calling `fit_transform(X)` on the full dataset **before** the split:
- The scaler's `min_` and `max_` values are derived from **both training and test rows**
- Test set statistics (e.g., the global maximum of `temperature`) **leak into the transformation applied to training data**
- The model is therefore trained on data shaped by information it should never have seen
In a real deployment scenario, you would only ever have access to training data statistics when fitting the scaler. Using test-set extremes during training produces an **optimistically biased R² score** — the model appears to generalize better than it actually does.
---
### Corrected Code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 Split BEFORE any fitting on the data
X_train, X_test, y_train, y_test = train_test_split(
    X, y, test_size=0.25, random_state=7
)
scaler = MinMaxScaler()
# ✅ Fit ONLY on training data, then apply the learned transformation to both sets
X_train_normalized = scaler.fit_transform(X_train)  # Learns min/max from train only
X_test_normalized = scaler.transform(X_test)         # Applies train statistics to test
model = SVR(kernel="rbf")
model.fit(X_train_normalized, y_train)
y_pred = model.predict(X_test_normalized)
print(f"R2 Score: {r2_score(y_test, y_pred):.4f}")
```
---
### Summary
| | Leaky Version | Corrected Version |
|---|---|---|
| Scaler fit on | Entire dataset | Training set only |
| Test set influence on training | ✅ Yes (leakage) | ❌ No |
| Evaluation bias | Optimistic | Realistic |
| `transform` on test set | Same call | Separate `.transform()` |
**The golden rule:** `fit` (or `fit_transform`) must only ever be called on training data. The test set must be treated as entirely unseen, using only parameters learned from training.</t>
  </si>
  <si>
    <t># Data Leakage Review
**CRITICAL DATA LEAKAGE DETECTED** ⚠️
## The Problem
The scaler is **fit on the entire dataset** before the train-test split:
```python
scaler = MinMaxScaler()
X_normalized = scaler.fit_transform(X)  # ← Uses ALL data (train + test)
X_train, X_test, y_train, y_test = train_test_split(...)
```
## Why This Is Leakage
`MinMaxScaler.fit_transform()` computes the minimum and maximum values across the entire dataset. This means:
- **Min/max statistics are calculated using test set data**
- The scaler "learns" that the test set's feature ranges exist
- Test data implicitly influences the normalization applied to training data
- At prediction time with truly new data, those new observations may fall outside the learned min/max range, causing inconsistent scaling
## Impact
The test set performance will be **artificially inflated** because:
1. The training data is normalized using bounds derived from test data
2. This gives the model implicit information about the test set's feature distributions
3. Real-world predictions on new data will be normalized differently, degrading performance
## Corrected Code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X_train, X_test, y_train, y_test = train_test_split(
    X, y, test_size=0.25, random_state=7
)
scaler = MinMaxScaler()
X_train_normalized = scaler.fit_transform(X_train)  # ← Fit ONLY on training data
X_test_normalized = scaler.transform(X_test)        # ← Transform test data using training statistics
model = SVR(kernel="rbf")
model.fit(X_train_normalized, y_train)
y_pred = model.predict(X_test_normalized)
print(f"R2 Score: {r2_score(y_test, y_pred):.4f}")
```
**Key change:** Split first, then fit the scaler only on training data, and use `.transform()` (not `.fit_transform()`) on the test set.</t>
  </si>
  <si>
    <t>Yes, this code **does contain data leakage**.
### Explanation of Data Leakage
The data leakage occurs in this line:
```python
X_normalized = scaler.fit_transform(X)
```
**Why it's a problem:**
1.  **`scaler.fit_transform(X)`:** The `MinMaxScaler` is fitted on the **entire dataset `X`** *before* the data is split into training and testing sets.
2.  **What `fit` does:** When you `fit` a `MinMaxScaler`, it calculates the minimum and maximum values for each feature from the data it's given. These min/max values are then used to scale the data.
3.  **The Leak:** By fitting the scaler on the entire `X` (which includes both future training *and* testing data), the scaler learns the min/max range of features from the test set as well. This means the scaling parameters that are later applied to the training data (`X_train`) have implicitly seen information (the range of values) from the test set.
**Consequence:**
In a real-world scenario, when your model is deployed, you would receive new, unseen data points one by one or in batches. You would *not* have access to the entire range of future data to determine the scaling parameters. You would only be able to use the scaling parameters learned from your *training data*.
Because the current code uses scaling parameters influenced by the test set, the `X_train` data is scaled in a way that gives it an unfair advantage. It essentially "peeks" at the distribution of the test set, leading to:
*   **Overly optimistic performance metrics:** The R2 score you get will likely be higher than what the model would achieve on truly unseen, independently scaled data in a production environment.
*   **Reduced generalizability:** The model's performance on genuinely new data might be worse than indicated by your reported R2 score.
### Corrected Code (Addressing Data Leakage)
To prevent this data leakage, the scaler should only be `fit` on the training data. Then, both the training and test sets should be `transform`ed using the parameters learned *solely* from the training data.
```python
import pandas as pd
from sklearn.preprocessing import MinMaxScaler
from sklearn.model_selection import train_test_split
from sklearn.svm import SVR
from sklearn.metrics import r2_score
df = pd.read_csv("energy.csv")
X = df[["temperature", "humidity", "wind_speed", "pressure"]]
y = df["energy_consumption"]
# CORRECTED: Split the data BEFORE fitting the scaler
X_train_raw, X_test_raw, y_train, y_test = train_test_split(
    X, y, test_size=0.25, random_state=7
)
scaler = MinMaxScaler()
# CORRECTED: Fit the scaler ONLY on the training data
X_train = scaler.fit_transform(X_train_raw)
# CORRECTED: Transform the test data using the scaler fitted on the training data
X_test = scaler.transform(X_test_raw)
model = SVR(kernel="rbf")
model.fit(X_train, y_train)
y_pred = model.predict(X_test)
print(f"R2 Score: {r2_score(y_test, y_pred):.4f}")
```</t>
  </si>
  <si>
    <t>The provided Python code contains a few potential issues and areas where improvements can be made:
1. **No Handling for Missing or NaN Values**: 
   - Issue: The code does not check for or handle missing values in the dataset. If `energy.csv` contains any NaN or missing values, this could lead to errors or inaccurate model training.
   - Recommendation: Inspect the dataset for missing values using `df.isnull().sum()` and handle them appropriately (e.g., using imputation techniques or removing rows/columns with missing values).
2. **No Feature/Target Distribution Inspection**:
   - Issue: There is no examination of the data distribution, which can help understand potential outliers or skewness in the feature or target variable.
   - Recommendation: Use plots like histograms or box plots to visualize the distribution of data, particularly for `energy_consumption`, and consider transforming variables if needed (e.g., log transformation for skewness).
3. **Scaling the Entire Feature Set**:
   - Issue: The code applies MinMaxScaler to all input features, which is fine for many applications, but certain algorithms or domain-specific situations might need different treatments.
   - Recommendation: Verify whether all features are on the same scale in your domain context and if necessary, scale them appropriately.
4. **Hyperparameter Tuning**:
   - Issue: The SVR model is using default hyperparameters, which might not be optimal.
   - Recommendation: Perform hyperparameter tuning using approaches such as grid search (`GridSearchCV`) or random search (`RandomizedSearchCV`) to find the best hyperparameters.
5. **No Training/Testing Set Visualization**:
   - Issue: Though not strictly necessary, visualizing the split of data can be beneficial in understanding the characteristics of the training and testing datasets.
   - Recommendation: Consider visualizing key features in both the training and testing sets to ensure they have similar distributions, using a tool like seaborn.
6. **Use of a Fixed Random State**:
   - Note: Using a fixed random state ensures reproducibility, which is appropriate in experimental settings or when results must be consistent. However, it’s worth noting that results may be influenced by the choice of random state.
   - Recommendation: While keeping a fixed random state is usually okay, consider experimenting without a fixed random state to understand the model's sensitivity to data shuffling.
By addressing these areas, you can make the code more robust and ensure it handles different data scenarios effectively. Additionally, considering exploratory data analysis (EDA) before modeling can provide insights and help in addressing the aforementioned issues.</t>
  </si>
  <si>
    <t>The provided Python code generally follows good practices for data preprocessing and model training using a Support Vector Regressor (SVR). However, there are several issues, potential improvements, and bad practices worth mentioning:
1. **Hardcoding the Random State**:
   - Issue: The random seed is set to `7`, which may limit the ability to reproduce results if someone else runs the code. While it can be useful for consistency during development, it’s generally better to either leave it out (to leverage the default randomness) or use more descriptive comments.
   - Improvement: Consider using a configurable seed. For example, use a variable for the random state that can easily be adjusted.
   ```python
   RANDOM_STATE = 42  # or another clearly meaningful value
   X_train, X_test, y_train, y_test = train_test_split(X, y, test_size=0.25, random_state=RANDOM_STATE)
   ```
2. **Data Quality Checks**:
   - Issue: There's no exploration or validation of the dataset before using it for model training, such as checking for missing values or understanding data distribution.
   - Improvement: Before splitting the data, performing exploratory data analysis (EDA) or necessary checks to ensure data quality is important.
   ```python
   print(df.info())
   print(df.describe())
   print(df.isnull().sum())  # Check for missing values
   ```
3. **Normalization Without Understanding Data**:
   - Issue: The code uses `MinMaxScaler` without checking if the data is normally distributed or if scaling is indeed necessary. Some models perform better with standardization (`StandardScaler`) especially in the case of SVR.
   - Improvement: Consider evaluating whether MinMax scaling is the best choice for your specific dataset or context. You may want to test both scalers to see which performs better.
4. **Scaling Should Include Target Variable**:
   - Note: Although the target variable `y` does not need to be scaled in regression tasks, it's important to investigate it, especially if it has a large range.
   - Improvement: Consider printing the range of `y` and ensuring that it is on a reasonable scale.
5. **Model Evaluation Without Cross-Validation**:
   - Issue: The model evaluation is done through a single train/test split, which might not generalize well. This could give an unfair estimate of model performance due to sampling bias.
   - Improvement: Utilize cross-validation for more robust evaluation.
   ```python
   from sklearn.model_selection import cross_val_score
   cv_scores = cross_val_score(model, X_train, y_train, cv=5, scoring='r2')
   print(f"Cross-validated R2 Score: {cv_scores.mean():.4f} ± {cv_scores.std():.4f}")
   ```
6. **Lack of Hyperparameter Tuning**:
   - Issue: The default hyperparameters of the SVR model are used, which may not yield the best performance.
   - Improvement: Consider using techniques such as Grid Search or Random Search for hyperparameter tuning.
   ```python
   from sklearn.model_selection import GridSearchCV
   param_grid = {'C': [0.1, 1, 10], 'epsilon': [0.01, 0.1, 1]}
   grid_search = GridSearchCV(SVR(kernel='rbf'), param_grid, scoring='r2')
   grid_search.fit(X_train, y_train)
   print(f"Best parameters: {grid_search.best_params_}")
   ```
7. **Result Reporting**:
   - Issue: The script reports the R² score but does not provide context or compare against a baseline model. 
   - Improvement: It would be useful to compare the performance of the SVR model against a simple model (like a mean predictor) and include additional metrics such as RMSE or MAE for better evaluation.
8. **Import Statements Organization**:
   - Note: The code imports several libraries that could be organized or commented on for clarity.
   - Improvement: Group similar imports together and optionally add comments for clarity.
By addressing these issues and incorporating the suggested improvements, the code will be more robust, maintainable, and potentially yield better model performance.</t>
  </si>
  <si>
    <t>## Code Review
The code is generally well-structured, but has several issues ranging from critical bugs to best practices violations.
---
### 1. No Error Handling for File Loading
```python
# Current - will crash with unhelpful error if file is missing
df = pd.read_csv("energy.csv")
# Better
import sys
try:
    df = pd.read_csv("energy.csv")
except FileNotFoundError:
    sys.exit("Error: 'energy.csv' not found. Check the file path.")
except pd.errors.EmptyDataError:
    sys.exit("Error: 'energy.csv' is empty.")
```
**Problem:** If the file is missing or malformed, the program crashes with a cryptic traceback rather than a helpful message.
---
### 2. No Validation That Expected Columns Exist
```python
# Current - KeyError if any column is missing
X = df[["temperature", "humidity", "wind_speed", "pressure"]]
y = df["energy_consumption"]
# Better
required_columns = ["temperature", "humidity", "wind_speed", "pressure", "energy_consumption"]
missing = [col for col in required_columns if col not in df.columns]
if missing:
    raise ValueError(f"Missing required columns: {missing}")
```
**Problem:** If the CSV has different column names or is missing columns, you get a `KeyError` with no context about what went wrong or how to fix it.
---
### 3. Missing Values Are Silently Ignored ⚠️
```python
# Current - NaNs passed silently to the scaler and model
X = df[["temperature", "humidity", "wind_speed", "pressure"]]
# Better - explicit handling
if X.isnull().any().any() or y.isnull().any():
    print("Warning: Missing values detected.")
    print(X.isnull().sum())
    # Then choose a strategy:
    X = X.dropna()        # Option 1: drop rows
    X = X.fillna(X.mean()) # Option 2: impute with mean
```
**Problem:** `SVR` does not handle `NaN` values and will raise a `ValueError` during `fit()`. Worse, `MinMaxScaler` may silently propagate `NaN`s in some versions. Missing values should be detected and handled explicitly before preprocessing.
---
### 4. Target Variable (`y`) Is Not Scaled
```python
# Current - y is unscaled, X is scaled
model = SVR(kernel="rbf")
model.fit(X_train, y_train)
# Better - scale y as well
y_scaler = MinMaxScaler()
y_train_scaled = y_scaler.fit_transform(y_train.values.reshape(-1, 1)).ravel()
y_test_scaled  = y_scaler.transform(y_test.values.reshape(-1, 1)).ravel()
model.fit(X_train, y_train_scaled)
y_pred_scaled = model.predict(X_test)
# Inverse transform predictions for interpretable metrics
y_pred = y_scaler.inverse_transform(y_pred_scaled.reshape(-1, 1)).ravel()
```
**Problem:** SVR uses distance-based calculations and is sensitive to the scale of both inputs **and** the target. An unscaled `y` with a large range (e.g., megawatts) forces the model to learn enormous coefficients, degrading performance. The epsilon and C hyperparameters also implicitly assume a normalized target range.
---
### 5. Default Hyperparameters Are Rarely Optimal
```python
# Current - default C=1.0, epsilon=0.1 are almost never optimal
model = SVR(kernel="rbf")
# Better - use cross-validated search
from sklearn.model_selection import GridSearchCV
param_grid = {
    "C":       [0.1, 1, 10, 100],
    "epsilon": [0.01, 0.1, 0.5],
    "gamma":   ["scale", "auto"]
}
grid_search = GridSearchCV(SVR(kernel="rbf"), param_grid, cv=5,
                           scoring="r2", n_jobs=-1)
grid_search.fit(X_train, y_train)
model = grid_search.best_estimator_
print("Best params:", grid_search.best_params_)
```
**Problem:** SVR is highly sensitive to `C`, `epsilon`, and `gamma`. Using defaults without tuning typically produces a significantly underperforming model, potentially making the approach appear unsuitable when it isn't.
---
### 6. No Cross-Validation — Single Split Is Unreliable
```python
# Current - one split, results depend heavily on random_state=7
X_train, X_test, y_train, y_test = train_test_split(..., random_state=7)
# Better - k-fold cross-validation
from sklearn.model_selection import cross_val_score
import numpy as np
scores = cross_val_score(model, X_scaled, y, cv=5, scoring="r2")
print(f"CV R2: {scores.mean():.4f} ± {scores.std():.4f}")
```
**Problem:** A single train/test split can be misleadingly good or bad depending on which samples land where. Cross-validation gives a statistically reliable estimate of generalization performance.
---
### 7. R² Alone Is an Insufficient Metric
```python
# Current - only R2
print(f"R2 Score: {r2_score(y_test, y_pred):.4f}")
# Better - report multiple metrics
from sklearn.metrics import mean_absolute_error, mean_squared_error
import numpy as np
print(f"R²:   {r2_score(y_test, y_pred):.4f}")
print(f"MAE:  {mean_absolute_error(y_test, y_pred):.4f}")
print(f"RMSE: {np.sqrt(mean_squared_error(y_test, y_pred)):.4f}")
```
**Problem:** R² doesn't convey prediction error in the target's units. MAE and RMSE tell you whether errors are practically significant (e.g., "off by 50 kWh on average").
---
### 8. Scaler State Is Not Persisted
```python
# Current - scaler is created but never saved
scaler = MinMaxScaler()
X_train = scaler.fit_transform(X_train)
# Better - save for later use
import joblib
joblib.dump(scaler, "scaler.pkl")
joblib.dump(model, "svr_model.pkl")
```
**Problem:** In any real application you'll need to scale new inference data identically. Without saving the fitted scaler, it's impossible to correctly preprocess data after the script ends.
---
### Summary Table
| # | Issue | Severity |
|---|-------|----------|
| 1 | No file loading error handling | Medium |
| 2 | No column existence validation | Medium |
| 3 | Missing values not checked | **High** |
| 4 | Target variable not scaled | **High** |
| 5 | Default hyperparameters used | **High** |
| 6 | Single train/test split only | Medium |
| 7 | Only R² reported | Low |
| 8 | Scaler/model not persisted | Medium |</t>
  </si>
  <si>
    <t># Code Review: Issues and Bugs
## 1. **No Error Handling for File I/O** ⚠️
```python
df = pd.read_csv("energy.csv")
```
**Issue**: The code assumes the file exists and is readable. If the file is missing or corrupted, the program crashes without a helpful error message.
**Fix**:
```python
try:
    df = pd.read_csv("energy.csv")
except FileNotFoundError:
    print("Error: energy.csv not found")
    exit(1)
except pd.errors.ParserError:
    print("Error: Invalid CSV format")
    exit(1)
```
---
## 2. **No Data Validation** ⚠️
```python
X = df[["temperature", "humidity", "wind_speed", "pressure"]]
y = df["energy_consumption"]
```
**Issue**: No checks for:
- Missing columns
- NaN/null values
- Data type mismatches
- Empty dataframe
**Fix**:
```python
required_cols = ["temperature", "humidity", "wind_speed", "pressure", "energy_consumption"]
if not all(col in df.columns for col in required_cols):
    raise ValueError(f"Missing required columns: {required_cols}")
if df.isnull().any().any():
    df = df.dropna()  # or df.fillna(method='ffill')
```
---
## 3. **Hard-coded Magic Numbers** 🔴
```python
train_test_split(X, y, test_size=0.25, random_state=7)
```
**Issue**: Values like `0.25` and `7` should be configurable constants, not hard-coded.
**Fix**:
```python
TEST_SIZE = 0.25
RANDOM_STATE = 7
X_train, X_test, y_train, y_test = train_test_split(
    X, y, test_size=TEST_SIZE, random_state=RANDOM_STATE
)
```
---
## 4. **No Model Hyperparameter Tuning** ⚠️
```python
model = SVR(kernel="rbf")
```
**Issue**: Default hyperparameters (`C`, `gamma`, `epsilon`) are often suboptimal. No cross-validation or grid search performed.
**Fix**:
```python
from sklearn.model_selection import GridSearchCV
params = {'C': [0.1, 1, 10], 'gamma': ['scale', 'auto'], 'epsilon': [0.01, 0.1]}
grid = GridSearchCV(SVR(kernel="rbf"), params, cv=5)
grid.fit(X_train, y_train)
model = grid.best_estimator_
```
---
## 5. **Insufficient Model Evaluation** 🔴
```python
print(f"R2 Score: {r2_score(y_test, y_pred):.4f}")
```
**Issue**: Only R² is reported. Missing critical metrics:
- MAE (Mean Absolute Error)
- RMSE (Root Mean Squared Error)
- Training vs. test scores (to detect overfitting)
**Fix**:
```python
from sklearn.metrics import mean_absolute_error, mean_squared_error
import numpy as np
r2_train = r2_score(y_train, model.predict(X_train))
r2_test = r2_score(y_test, y_pred)
mae = mean_absolute_error(y_test, y_pred)
rmse = np.sqrt(mean_squared_error(y_test, y_pred))
print(f"R² Train: {r2_train:.4f} | R² Test: {r2_test:.4f}")
print(f"MAE: {mae:.4f} | RMSE: {rmse:.4f}")
```
---
## 6. **Scaler Fitted on Training Data Only** ✅
```python
scaler = MinMaxScaler()
X_train = scaler.fit_transform(X_train)
X_test = scaler.transform(X_test)
```
**Status**: This is actually **correct** (no data leakage), but easy to get wrong. Good job! However, consider scaling `y` as well if values vary widely.
---
## 7. **No Handling of Missing Values in Features** ⚠️
```python
X = df[["temperature", "humidity", "wind_speed", "pressure"]]
```
**Issue**: If any feature column has missing values, scaling will fail or produce NaN.
**Fix**:
```python
X = df[["temperature", "humidity", "wind_speed", "pressure"]].fillna(df.mean())
```
---
## 8. **No Reproducibility Documentation** 📝
**Issue**: Dependencies, versions, and environment setup are not documented.
**Fix**: Create a `requirements.txt`:
```
pandas==1.5.0
scikit-learn==1.2.0
numpy==1.23.0
```
---
## Summary Table
| Issue | Severity | Type |
|-------|----------|------|
| No file error handling | High | Bug |
| No data validation | High | Bug |
| Hard-coded values | Medium | Bad Practice |
| No hyperparameter tuning | Medium | Bad Practice |
| Insufficient evaluation metrics | High | Bad Practice |
| Missing NaN handling | High | Bug |
| No documentation | Low | Bad Practice |</t>
  </si>
  <si>
    <t>The provided Python code implements a basic machine learning workflow for a regression problem using Support Vector Regression (SVR). While functional as a minimal example, it has several issues, bugs, and bad practices that would hinder its robustness, maintainability, and effectiveness in a real-world scenario.
Here's a detailed breakdown of the problems:
### 1. Data Loading and Initial Handling
*   **Hardcoded Filename (`"energy.csv"`):**
    *   **Problem:** The filename is directly embedded in the code. If the file is renamed, moved, or a different dataset needs to be used, the code must be manually edited.
    *   **Bad Practice:** Makes the code less flexible and harder to reuse.
    *   **Improvement:** Use a configuration variable, command-line argument, or environment variable for the filename.
*   **No Error Handling for File Loading:**
    *   **Problem:** If `energy.csv` doesn't exist, is corrupted, or permissions are wrong, `pd.read_csv()` will raise an error, crashing the script.
    *   **Bad Practice:** Lacks resilience to common I/O issues.
    *   **Improvement:** Wrap `pd.read_csv()` in a `try-except` block to catch `FileNotFoundError` or other `IOError` exceptions.
*   **Lack of Data Exploration/Validation:**
    *   **Problem:** The code immediately proceeds with feature selection and modeling without checking the data's structure, types, missing values, outliers, or distributions.
    *   **Bad Practice:** This is a critical step in any ML project. You might be feeding bad data into your model.
    *   **Improvement:** Add `df.head()`, `df.info()`, `df.describe()`, `df.isnull().sum()` to understand the data before processing. Handle missing values (impute, drop) or outliers as necessary.
*   **Hardcoded Feature and Target Column Names:**
    *   **Problem:** Similar to the filename, `["temperature", "humidity", "wind_speed", "pressure"]` and `"energy_consumption"` are magic strings. If column names change in the CSV, the code breaks.
    *   **Bad Practice:** Reduces maintainability and flexibility.
    *   **Improvement:** Define these as constants or configuration variables. Consider more dynamic feature selection if appropriate (e.g., all columns except the target).
### 2. Data Splitting and Preprocessing
*   **Magic Number for `random_state` (7):**
    *   **Problem:** While using `random_state` is good for reproducibility, `7` is just an arbitrary number.
    *   **Bad Practice:** Could be clearer as a named constant.
    *   **Improvement:** Define `RANDOM_SEED = 7` at the top of the script.
*   **`MinMaxScaler` Output Type:**
    *   **Problem:** `scaler.fit_transform()` and `scaler.transform()` return NumPy arrays, not Pandas DataFrames. This means column names are lost. While `SVR` can handle NumPy arrays, for later analysis or debugging, keeping column names can be beneficial.
    *   **Minor Issue:** Not a bug, but a common point of confusion or loss of information.
    *   **Improvement:** If desired, convert back to DataFrame: `X_train = pd.DataFrame(scaler.fit_transform(X_train), columns=X.columns)`.
### 3. Model Training and Evaluation
*   **No Hyperparameter Tuning for SVR:**
    *   **Problem:** The SVR model is initialized with default parameters (`kernel="rbf"` is the default, but `C` and `gamma` are also critical for RBF kernel). These are unlikely to be optimal for the given dataset.
    *   **Bad Practice:** Leads to suboptimal model performance.
    *   **Improvement:** Implement hyperparameter tuning using techniques like `GridSearchCV` or `RandomizedSearchCV` from `sklearn.model_selection` to find the best `C` and `gamma` values (and potentially `epsilon`).
*   **Lack of Cross-Validation:**
    *   **Problem:** The model is trained and evaluated on a single train-test split. The reported R2 score might be specific to this particular split and not generalize well. A single split can lead to high variance in the performance estimate.
    *   **Bad Practice:** An unreliable estimate of model performance.
    *   **Improvement:** Use K-Fold cross-validation (e.g., `KFold` or `cross_val_score`) for more robust model evaluation and hyperparameter tuning.
*   **Only One Evaluation Metric (R2 Score):**
    *   **Problem:** R2 score indicates how well the variance in the target variable is explained by the features, but it doesn't tell you the magnitude of the errors.
    *   **Bad Practice:** Provides an incomplete picture of model performance. For regression, it's crucial to understand the scale of errors.
    *   **Improvement:** Add other regression metrics like Mean Absolute Error (MAE) and Root Mean Squared Error (RMSE) to get a comprehensive view of the model's predictive accuracy.
### 4. Code Structure and Best Practices
*   **Monolithic Script:**
    *   **Problem:** The entire workflow is written as a single block of sequential code. As the project grows, this becomes hard to read, maintain, and test.
    *   **Bad Practice:** Lack of modularity.
    *   **Improvement:** Refactor the code into functions (e.g., `load_data()`, `preprocess_data()`, `train_model()`, `evaluate_model()`) to improve readability, reusability, and testability.
*   **No Model Persistence:**
    *   **Problem:** After training, the model object is lost once the script finishes. If this model were valuable, it would need to be retrained every time it's used.
    *   **Bad Practice:** Inefficient for deployment or repeated use.
    *   **Improvement:** Save the trained model (and scaler) using `joblib` or `pickle` for later loading and prediction without retraining.
*   **No Logging:**
    *   **Problem:** For a production system or even a more complex script, there's no way to track what the script is doing, intermediate results, or potential warnings/errors unless they crash the script.
    *   **Bad Practice:** Makes debugging and monitoring harder.
    *   **Improvement:** Implement a logging system (e.g., Python's `logging` module) to record steps, parameters, and results.
### Summary of Key Problems:
The most significant issues are the **lack of data exploration, absence of hyperparameter tuning, and reliance on a single train-test split without cross-validation.** These directly impact the reliability and optimality of the model. Additionally, the hardcoded values and monolithic structure make the code inflexible and difficult to maintain.
### Example of Improved Structure (Conceptual):
```python
import pandas as pd
from sklearn.preprocessing import MinMaxScaler
from sklearn.model_selection import train_test_split, GridSearchCV
from sklearn.svm import SVR
from sklearn.metrics import r2_score, mean_absolute_error, mean_squared_error
import joblib # For model persistence
import logging # For logging
# --- Configuration ---
DATA_FILE = "energy.csv"
FEATURES = ["temperature", "humidity", "wind_speed", "pressure"]
TARGET = "energy_consumption"
TEST_SIZE = 0.25
RANDOM_SEED = 7
MODEL_PATH = "svr_model.joblib"
SCALER_PATH = "minmax_scaler.joblib"
# --- Setup Logging ---
logging.basicConfig(level=logging.INFO, format='%(asctime)s - %(levelname)s - %(message)s')
def load_data(filepath):
    """Loads data from a CSV file."""
    try:
        df = pd.read_csv(filepath)
        logging.info(f"Successfully loaded data from {filepath}")
        logging.info(f"Data shape: {df.shape}")
        # Basic data exploration/validation
        logging.info("\n" + df.head().to_string())
        logging.info(f"Missing values:\n{df.isnull().sum().to_string()}")
        return df
    except FileNotFoundError:
        logging.error(f"Error: Data file not found at {filepath}")
        exit()
    except Exception as e:
        logging.error(f"An error occurred while loading data: {e}")
        exit()
def preprocess_data(df, features, target):
    """Splits data into features and target, then scales features."""
    X = df[features]
    y = df[target]
    X_train, X_test, y_train, y_test = train_test_split(
        X, y, test_size=TEST_SIZE, random_state=RANDOM_SEED
    )
    logging.info(f"Data split into training ({len(X_train)} samples) and testing ({len(X_test)} samples).")
    scaler = MinMaxScaler()
    X_train_scaled = scaler.fit_transform(X_train)
    X_test_scaled = scaler.transform(X_test)
    logging.info("Features scaled using MinMaxScaler.")
    # Save scaler for future predictions
    joblib.dump(scaler, SCALER_PATH)
    logging.info(f"Scaler saved to {SCALER_PATH}")
    return X_train_scaled, X_test_scaled, y_train, y_test
def train_model(X_train, y_train):
    """Trains an SVR model with hyperparameter tuning."""
    svr = SVR()
    param_grid = {
        'kernel': ['rbf'], # Can add 'linear', 'poly' if desired
        'C': [0.1, 1, 10, 100],
        'gamma': ['scale', 'auto', 0.1, 1]
    }
    grid_search = GridSearchCV(svr, param_grid, cv=5, scoring='r2', n_jobs=-1, verbose=1)
    grid_search.fit(X_train, y_train)
    best_model = grid_search.best_estimator_
    logging.info(f"Best SVR parameters found: {grid_search.best_params_}")
    logging.info(f"Best cross-validation R2 score: {grid_search.best_score_:.4f}")
    # Save the trained model
    joblib.dump(best_model, MODEL_PATH)
    logging.info(f"Trained model saved to {MODEL_PATH}")
    return best_model
def evaluate_model(model, X_test, y_test):
    """Evaluates the trained model on the test set."""
    y_pred = model.predict(X_test)
    r2 = r2_score(y_test, y_pred)
    mae = mean_absolute_error(y_test, y_pred)
    rmse = mean_squared_error(y_test, y_pred, squared=False) # squared=False for RMSE
    logging.info(f"--- Model Evaluation on Test Set ---")
    logging.info(f"R2 Score: {r2:.4f}")
    logging.info(f"Mean Absolute Error (MAE): {mae:.4f}")
    logging.info(f"Root Mean Squared Error (RMSE): {rmse:.4f}")
    return r2, mae, rmse
if __name__ == "__main__":
    df = load_data(DATA_FILE)
    # Example of further data cleaning if necessary
    # df.dropna(inplace=True) 
    X_train_scaled, X_test_scaled, y_train, y_test = preprocess_data(df, FEATURES, TARGET)
    model = train_model(X_train_scaled, y_train)
    evaluate_model(model, X_test_scaled, y_test)
```</t>
  </si>
  <si>
    <t>The provided Python code is a machine learning pipeline that involves data preprocessing, model training, and evaluation. Let's review it for potential data leakage issues.
1. **Data Splitting**: 
   - `train_test_split` is used to divide the data into training and testing sets. This is correctly done before any preprocessing steps, which prevents information from the test set from leaking into the training process.
2. **Feature Scaling**:
   - A `MinMaxScaler` is employed to scale the features. The `fit_transform` method is applied to the training data (`X_train`), and then the same scaler is used to transform the test data (`X_test`) using the `transform` method. This is the correct procedure, as it ensures the scaler parameters (min and max in this case) are learned only from the training data and then applied consistently to the test data, maintaining isolation of the test set during training.
3. **Model Training and Evaluation**:
   - The model (Support Vector Regressor) is trained exclusively on the `X_train` and `y_train`, without peeking at the test set (`X_test`, `y_test`), and then evaluated on the test set. This is appropriate and ensures that no data leakage occurs from the test set into the training process.
4. **Feature and Target Variables**:
   - The selected features (`temperature`, `humidity`, `wind_speed`, `pressure`) do not seem to include any information about the target variable (`energy_consumption`) that would not be available in a real prediction scenario. Based on the given code snippet, they appear to be independent features typically known in advance, meaning they do not encode future information or summary statistics that might lead to leakage.
Overall, the code is free of data leakage. All steps are appropriately structured to ensure that the model training process remains isolated from the influence of the test data until the evaluation phase.</t>
  </si>
  <si>
    <t>The provided Python machine learning pipeline code does not contain any form of data leakage. Let's break down the components of the code to clarify why it is free of data leakage.
1. **Data Reading and Preparation**:
   - The code reads a dataset from a CSV file called "energy.csv" and prepares feature (`X`) and target (`y`) variables which seem appropriate for a regression task.
2. **Train-Test Split**:
   - The data is split into a training set and a test set using `train_test_split`, with 25% of the data set aside for testing. The `random_state=7` ensures reproducibility, but it does not introduce any data leakage.
3. **Feature Scaling**:
   - A `MinMaxScaler` is instantiated, and `fit_transform` is called on the training set (`X_train`). Importantly, the `transform` method is then appropriately applied to the test set (`X_test`). This is a critical point where data leakage often occurs, but the code correctly avoids it:
     - By fitting the `MinMaxScaler` only on the training data, the scaler's parameters (i.e., min and max values) are derived solely from `X_train`.
     - The test set (`X_test`) is scaled using these parameters, ensuring no information from the test set influences the scaling of the training set.
4. **Model Training and Prediction**:
   - The `SVR` model is trained using the scaled training data and then used to make predictions on the scaled test data. 
5. **Evaluation**:
   - The R² score is calculated using the true test set labels and the predictions.
### Why Data Leakage is a Problem:
If data leakage occurs, the model may learn patterns from the test set that would not be available during actual predictions, leading to overly optimistic evaluation metrics. This undermines the model's effectiveness in real-world situations and fails to generalize to unseen data, potentially leading to poor performance when the model is deployed.
### Conclusion:
Overall, the pipeline correctly implements the steps needed to avoid data leakage, including proper handling of the train-test split and scaling. Thus, it is confirmed that the code is free of data leakage.</t>
  </si>
  <si>
    <t>## Data Leakage Review
### Verdict: **No Data Leakage Detected**
This pipeline is correctly structured. Here is a systematic breakdown of each decision point and why it is sound.
---
### 1. Train/Test Split — Correct
```python
X_train, X_test, y_train, y_test = train_test_split(
    X, y, test_size=0.25, random_state=7
)
```
The split happens **before** any data-dependent transformation. This is the critical ordering requirement, and it is satisfied here.
---
### 2. Scaling — Correct
```python
scaler = MinMaxScaler()
X_train = scaler.fit_transform(X_train)  # learns min/max from training data ONLY
X_test = scaler.transform(X_test)        # applies those same parameters to test data
```
This is the correct pattern. The scaler learns the `min` and `max` (or `mean`/`std` for `StandardScaler`, etc.) **exclusively from training data**. The test set is only transformed using those pre-learned parameters, meaning no test-set information influences the scaling.
**The common mistake that is NOT present here** would be:
```python
# WRONG — fit_transform on the full dataset before splitting
X_scaled = scaler.fit_transform(X)  # leaks test statistics into training
X_train, X_test, ... = train_test_split(X_scaled, ...)
```
---
### 3. Model Training — Correct
```python
model.fit(X_train, y_train)  # trained on training data only
```
The model only sees `X_train` and `y_train` during fitting.
---
### 4. Feature Selection — Correct
```python
X = df[["temperature", "humidity", "wind_speed", "pressure"]]
```
All four features are **raw sensor/environmental measurements** that would plausibly be available at prediction time. There are no features that encode future information or are derived from the target variable (`energy_consumption`).
**An example of a leaky feature that is NOT present** would be something like:
```python
df["rolling_avg_energy"] = df["energy_consumption"].rolling(3).mean()
```
---
### Summary Table
| Step | Practice Used | Leakage Risk |
|---|---|---|
| Split before scaling | ✅ Yes | None |
| `fit_transform` on train only | ✅ Yes | None |
| `transform` on test only | ✅ Yes | None |
| Features are exogenous | ✅ Yes | None |
| Model fit on train only | ✅ Yes | None |
---
### One Practical Recommendation
Consider wrapping the scaler and model in a `Pipeline` object. It is **not required for correctness here**, but it makes leakage prevention more robust and automatic, especially if cross-validation is introduced later:
```python
from sklearn.pipeline import Pipeline
pipeline = Pipeline([
    ("scaler", MinMaxScaler()),
    ("model", SVR(kernel="rbf"))
])
pipeline.fit(X_train, y_train)
y_pred = pipeline.predict(X_test)
```
With `Pipeline`, scikit-learn guarantees correct fit/transform sequencing internally, even inside `cross_val_score`.</t>
  </si>
  <si>
    <t># Data Leakage Review
## Verdict: **No data leakage detected**
This code follows the correct best practices for preventing data leakage. Here's why it's safe:
### Correct Practices:
1. **Train-test split happens first** (line 10-13)
   - The data is partitioned before any preprocessing
   - This ensures test data is completely isolated
2. **Scaler is fit only on training data** (line 15)
   - `scaler.fit_transform(X_train)` computes min/max statistics exclusively from training data
   - These statistics are then applied to test data via `scaler.transform(X_test)`
3. **Features are appropriate** (line 6-7)
   - All features (temperature, humidity, wind_speed, pressure) would be available at prediction time
   - None encode information that would only exist after observing the target
4. **Model evaluation is proper** (line 20)
   - Evaluation occurs on held-out test data using statistics never seen during training
### Why This Matters:
If the scaler were instead fit on the combined dataset *before* splitting:
```python
# ❌ WRONG - causes leakage
scaler.fit_transform(X)  # Uses min/max from entire dataset (including test)
X_train, X_test, ... = train_test_split(X, y, ...)
```
This would allow test set statistics to influence the scaling of training data, inflating performance metrics and creating an overly optimistic model.
**This code correctly avoids that pitfall.** ✓</t>
  </si>
  <si>
    <t>This Python machine learning pipeline code is **free of data leakage**.
Here's why:
1.  **Data Splitting:** The data is split into training and testing sets *before* any preprocessing or model training. This is the most crucial step to prevent leakage from the test set.
    ```python
    X_train, X_test, y_train, y_test = train_test_split(
        X, y, test_size=0.25, random_state=7
    )
    ```
2.  **Feature Scaling (MinMaxScaler):**
    *   The `MinMaxScaler` is `fit` *only* on the training data (`X_train`):
        ```python
        X_train = scaler.fit_transform(X_train)
        ```
        This means the min and max values used for scaling are derived solely from the training set, not from the test set or the entire dataset.
    *   The *same* scaler (with parameters learned from `X_train`) is then used to `transform` the test data:
        ```python
        X_test = scaler.transform(X_test)
        ```
        This correctly applies the transformation without allowing any information from the test set to influence the scaling parameters.
3.  **Model Training:** The `SVR` model is trained exclusively on the `X_train` and `y_train` data.
    ```python
    model.fit(X_train, y_train)
    ```
    The test set remains completely unseen during the training phase.
4.  **Feature Selection (Target Leakage):** The chosen features (`temperature`, `humidity`, `wind_speed`, `pressure`) are all common meteorological or environmental variables. They are generally independent predictors of `energy_consumption` and would be available at the time of making a prediction (e.g., historical weather data or forecasts). There's no indication that any of these features directly encode information about `energy_consumption` that wouldn't be known *before* the energy consumption occurs.
In summary, the pipeline correctly isolates the test set and ensures that all learning (feature scaling parameters, model weights) happens exclusively on the training data, preventing any accidental transfer of information from the test set to the training phase or the use of target-dependent features that wouldn't be available in a real-world prediction scenario.</t>
  </si>
  <si>
    <t>This Python code, in general, seems to perform a basic machine learning workflow: loading a dataset, feature selection, splitting data into training and testing sets, training a Random Forest classifier, and evaluating its accuracy. However, there are several potential issues, bugs, and bad practices that should be addressed:
1. **Hardcoded File Path**:
   - The code uses a hardcoded string `"medical.csv"` to read the data. This approach assumes the file is located in the current working directory, which may not always be the case. It is better to include error handling to notify the user if the file path is incorrect or the file does not exist.
2. **No Data Preprocessing**:
   - The code does not check for missing values or handle categorical data. If any columns in the dataset contain non-numeric data or NaN values, this will cause issues, especially with feature selection and model training.
3. **No Feature Scaling**:
   - While not strictly necessary for decision tree-based models like Random Forest, proper feature scaling (e.g., using `StandardScaler` or `MinMaxScaler`) can be important for other machine learning models and ensures consistency if the model type changes.
4. **Potential Overfitting**:
   - With `k=10` in `SelectKBest`, the code selects the top 10 features, but does not validate whether this is optimal. It's a good practice to test multiple values of `k` and use cross-validation to find the best feature set.
5. **Missing Validation and Hyperparameter Tuning**:
   - The code does not perform cross-validation, nor does it explore hyperparameter tuning for the Random Forest model. Techniques like Grid Search or Random Search with cross-validation should be used to improve and validate the model's performance.
6. **Lack of Commenting and Documentation**:
   - While the code is relatively simple, it could benefit from comments explaining each major step. For someone maintaining the code or revisiting it after some time, comments can improve readability and understanding.
7. **Metrics Limitation**:
   - The model evaluation is based solely on accuracy, which isn't always the best metric, especially if the classes in the target variable are imbalanced. Other metrics like `precision`, `recall`, or `F1-score` should be considered.
Here's a refined version with some of these issues addressed:
```python
import pandas as pd
from sklearn.feature_selection import SelectKBest, f_classif
from sklearn.model_selection import train_test_split
from sklearn.ensemble import RandomForestClassifier
from sklearn.preprocessing import StandardScaler
from sklearn.metrics import accuracy_score, precision_score, recall_score, f1_score
# Load data
try:
    df = pd.read_csv("medical.csv")
except FileNotFoundError:
    raise ValueError("The specified file was not found. Please check the file path.")
# Check for missing values
if df.isnull().sum().any():
    df = df.dropna()  # Simple approach; consider more sophisticated imputation if needed
# Encode categorical variables if any
# Example: df = pd.get_dummies(df)
# Separate features and target variable
X = df.drop("diagnosis", axis=1)
y = df["diagnosis"]
# Feature selection
selector = SelectKBest(score_func=f_classif, k=10)
X_selected = selector.fit_transform(X, y)
# Split the dataset
X_train, X_test, y_train, y_test = train_test_split(
    X_selected, y, test_size=0.2, random_state=42
)
# Feature scaling
scaler = StandardScaler()
X_train = scaler.fit_transform(X_train)
X_test = scaler.transform(X_test)
# Train the model
model = RandomForestClassifier(n_estimators=100, random_state=42)
model.fit(X_train, y_train)
# Prediction
y_pred = model.predict(X_test)
# Evaluation
print(f"Accuracy: {accuracy_score(y_test, y_pred):.4f}")
print(f"Precision: {precision_score(y_test, y_pred, average='binary'):.4f}")
print(f"Recall: {recall_score(y_test, y_pred, average='binary'):.4f}")
print(f"F1 Score: {f1_score(y_test, y_pred, average='binary'):.4f}")
# Consider hyperparameter tuning and cross-validation for improvement
```
Note that I've added basic error checking, outlined preprocessing steps, included more evaluation metrics, and suggested areas for potential improvement. Adjustments for specific use cases, such as handling categorical data, should be made based on the dataset specifics.</t>
  </si>
  <si>
    <t>The provided Python code is generally well-structured, but there are several issues, potential bugs, and bad practices that could be improved upon. Below is a detailed review of the problems identified:
1. **Missing Error Handling for File Loading**:
   - The code does not handle the case where the CSV file ("medical.csv") might not be found or not accessible. If the file does not exist, `pd.read_csv` will raise a `FileNotFoundError`. It's good practice to wrap file operations in a try-except block.
   ```python
   try:
       df = pd.read_csv("medical.csv")
   except FileNotFoundError:
       print("The file medical.csv was not found.")
       exit()
   ```
2. **Lack of Input Data Validation**:
   - There's no check to ensure that the 'diagnosis' column exists in the DataFrame after loading it. This can lead to issues if the column is missing or has a different name.
   ```python
   if "diagnosis" not in df.columns:
       raise ValueError("The required 'diagnosis' column is missing from the data.")
   ```
3. **Hardcoding the Number of Features (k=10)**:
   - The use of a hardcoded value for `k` in `SelectKBest` may not be suitable for all datasets. It may be beneficial to either make this a parameter or compute it dynamically based on the structure of `X` (e.g., `min(X.shape[1], 10)`).
   ```python
   k = min(10, X.shape[1])  # Only if there are at least 10 features
   selector = SelectKBest(score_func=f_classif, k=k)
   ```
4. **Assumption of Sufficient Features**:
   - The code does not account for cases where there might be fewer than `k` features in `X`. If `len(X.columns) &lt; k`, `SelectKBest` would raise an error. This should be validated before applying the selection.
   ```python
   k = min(k, X.shape[1])  # Ensures k does not exceed number of features
   ```
5. **Lack of Standardization/Normalization**:
   - It is often important to standardize or normalize features before training a model, especially when the features have different scales. This is not addressed in the code. Consider using `StandardScaler` or `MinMaxScaler` from `sklearn.preprocessing`.
   ```python
   from sklearn.preprocessing import StandardScaler
   scaler = StandardScaler()
   X = scaler.fit_transform(X)
   ```
6. **Hardcoded Random State**:
   - The random state is hardcoded to `42`. While using a fixed random state can help with reproducibility, consider allowing it to be a parameter, or at the very least, provide a comment explaining this choice.
7. **Potential Overfitting Without Validation**:
   - The model is evaluated on the test set without any form of cross-validation which can lead to overfitting on the training set. Incorporating k-fold cross-validation could enhance model evaluation.
   ```python
   from sklearn.model_selection import cross_val_score
   scores = cross_val_score(model, X_selected, y, cv=5)  # Example with 5-fold
   print(f"Cross-validated accuracy: {scores.mean():.4f}")
   ```
8. **Unused Features After Feature Selection**:
   - The code doesn’t display or inform the user which features were selected. It might be useful for understanding the model better to check which features have been selected after feature selection.
   ```python
   selected_features = pd.Series(selector.get_support(indices=True), index=X.columns)
   print(f"Selected features: {X.columns[selected_features].tolist()}")
   ```
9. **Print Statement Formatting**:
   - The print statement for accuracy can be more verbose or improved upon by showing not just the accuracy but potentially other metrics (like precision, recall, or F1-score) for better model evaluation.
10. **Type of `diagnosis`**:
    - Depending on the dataset, it's important to check if the target variable `y` is encoded correctly. If it's categorical, it may need to be label-encoded.
    ```python
    from sklearn.preprocessing import LabelEncoder
    le = LabelEncoder()
    y = le.fit_transform(y)
    ```
Overall, while the code accomplishes its intended goal, implementing these suggested improvements would lead to more robust, user-friendly, and maintainable code.</t>
  </si>
  <si>
    <t>## Code Review
The code is functional and readable, but has several issues ranging from data leakage bugs to maintainability concerns. Here's a thorough breakdown:
---
### 1. **Data Leakage (Critical Bug)**
```python
# WRONG - Feature selection uses entire dataset before splitting
selector = SelectKBest(score_func=f_classif, k=10)
X_selected = selector.fit_transform(X, y)  # Sees test data during fitting
X_train, X_test, y_train, y_test = train_test_split(X_selected, y, ...)
```
`SelectKBest` is fitted on all data including what becomes the test set. This leaks information about the test set into feature selection, producing **optimistically biased accuracy** that won't reflect real-world performance.
```python
# CORRECT - Split first, then fit selector only on training data
X_train, X_test, y_train, y_test = train_test_split(X, y, test_size=0.2, random_state=42)
selector = SelectKBest(score_func=f_classif, k=10)
X_train_selected = selector.fit_transform(X_train, y_train)  # Fit on train only
X_test_selected = selector.transform(X_test)                 # Apply to test
```
---
### 2. **No Validation That k=10 Is Appropriate**
```python
selector = SelectKBest(score_func=f_classif, k=10)
```
If the dataset has fewer than 10 features, this raises a `ValueError`. There is no guard against this.
```python
# Safer approach
n_features = X_train.shape[1]
k = min(10, n_features)
selector = SelectKBest(score_func=f_classif, k=k)
```
---
### 3. **No Handling of Missing Values**
```python
df = pd.read_csv("medical.csv")
X = df.drop("diagnosis", axis=1)
```
Medical datasets frequently contain missing values. Neither `SelectKBest` (via ANOVA F-test) nor `RandomForestClassifier` handle `NaN` values gracefully — both will raise errors or silently produce invalid results.
```python
# At minimum, inspect and handle missing values
print(df.isnull().sum())
# Simple strategy (choose based on domain knowledge):
from sklearn.impute import SimpleImputer
imputer = SimpleImputer(strategy="median")
X_train = imputer.fit_transform(X_train)  # Fit on train only
X_test = imputer.transform(X_test)
```
---
### 4. **No Validation That the Target Column Exists**
```python
X = df.drop("diagnosis", axis=1)
y = df["diagnosis"]
```
If the column name is wrong or the CSV lacks it, this raises a `KeyError` with no helpful context. A simple check improves debuggability significantly.
```python
target_col = "diagnosis"
if target_col not in df.columns:
    raise ValueError(f"Target column '{target_col}' not found. Available: {df.columns.tolist()}")
```
---
### 5. **No Validation That the CSV Loaded Successfully**
```python
df = pd.read_csv("medical.csv")
```
If the file is empty, malformed, or contains only a header row, subsequent steps will fail with confusing errors.
```python
df = pd.read_csv("medical.csv")
if df.empty:
    raise ValueError("Loaded DataFrame is empty. Check the source file.")
print(f"Loaded dataset: {df.shape[0]} rows, {df.shape[1]} columns")
```
---
### 6. **Accuracy Is a Misleading Metric for Medical Data**
```python
print(f"Accuracy: {accuracy_score(y_test, y_pred):.4f}")
```
Medical datasets are often **class-imbalanced** (e.g., far more "benign" than "malignant" cases). Accuracy can be misleadingly high even when the model fails to detect the minority class, which is typically the clinically critical one.
```python
from sklearn.metrics import classification_report, roc_auc_score
print(classification_report(y_test, y_pred))
# Also consider ROC-AUC, sensitivity, specificity for medical contexts
```
---
### 7. **No Pipeline — Makes Reproducibility and Deployment Fragile**
The sequential manual steps are error-prone and hard to serialize for deployment.
```python
from sklearn.pipeline import Pipeline
# Encapsulates preprocessing + model in one reproducible, serializable object
pipeline = Pipeline([
    ("selector", SelectKBest(score_func=f_classif, k=10)),
    ("classifier", RandomForestClassifier(n_estimators=100, random_state=42))
])
pipeline.fit(X_train, y_train)
y_pred = pipeline.predict(X_test)
```
---
### Summary Table
| # | Issue | Severity |
|---|-------|----------|
| 1 | Data leakage from feature selection before splitting | 🔴 Critical |
| 2 | k=10 not validated against actual feature count | 🟠 High |
| 3 | No missing value handling | 🟠 High |
| 4 | No check for target column existence | 🟡 Medium |
| 5 | No validation of CSV load result | 🟡 Medium |
| 6 | Accuracy-only metric inappropriate for medical data | 🟠 High |
| 7 | No pipeline — fragile preprocessing chain | 🟡 Medium |
The data leakage issue (#1) is by far the most important to fix, as it silently corrupts your evaluation results.</t>
  </si>
  <si>
    <t># Code Review: Issues and Problems
## 1. **No Error Handling for File I/O** ⚠️
```python
df = pd.read_csv("medical.csv")
```
**Problem:** If the file doesn't exist or can't be read, the program crashes without a meaningful error message.
**Fix:**
```python
try:
    df = pd.read_csv("medical.csv")
except FileNotFoundError:
    print("Error: medical.csv not found")
    exit(1)
except Exception as e:
    print(f"Error reading file: {e}")
    exit(1)
```
---
## 2. **No Data Validation** ⚠️
```python
X = df.drop("diagnosis", axis=1)
y = df["diagnosis"]
```
**Problem:** No checks for:
- Missing values in X or y
- Whether "diagnosis" column exists
- Empty dataset
- Data type mismatches
**Fix:**
```python
if "diagnosis" not in df.columns:
    raise ValueError("'diagnosis' column not found")
if df.empty:
    raise ValueError("Dataset is empty")
if df.isnull().any().any():
    df = df.dropna()  # or use .fillna()
```
---
## 3. **Data Leakage Risk** 🔴 **CRITICAL**
```python
selector = SelectKBest(score_func=f_classif, k=10)
X_selected = selector.fit_transform(X, y)
X_train, X_test, y_train, y_test = train_test_split(
    X_selected, y, test_size=0.2, random_state=42
)
```
**Problem:** Feature selection is performed on the **entire dataset** before splitting. This leaks information from the test set into training, inflating performance metrics.
**Fix:**
```python
X_train, X_test, y_train, y_test = train_test_split(
    X, y, test_size=0.2, random_state=42
)
selector = SelectKBest(score_func=f_classif, k=10)
X_train_selected = selector.fit_transform(X_train, y_train)
X_test_selected = selector.transform(X_test)
model = RandomForestClassifier(n_estimators=100, random_state=42)
model.fit(X_train_selected, y_train)
y_pred = model.predict(X_test_selected)
```
---
## 4. **No Cross-Validation** ⚠️
**Problem:** Single train/test split can give unreliable performance estimates, especially with small datasets.
**Fix:**
```python
from sklearn.model_selection import cross_val_score
scores = cross_val_score(model, X_selected, y, cv=5, scoring='accuracy')
print(f"Mean Accuracy: {scores.mean():.4f} (+/- {scores.std():.4f})")
```
---
## 5. **Hardcoded k=10 Without Justification** ⚠️
```python
selector = SelectKBest(score_func=f_classif, k=10)
```
**Problem:** Why 10 features? What if the dataset has fewer features? No validation.
**Fix:**
```python
n_features = X_train.shape[1]
k = min(10, n_features)
selector = SelectKBest(score_func=f_classif, k=k)
```
---
## 6. **Incomplete Model Evaluation** ⚠️
```python
print(f"Accuracy: {accuracy_score(y_test, y_pred):.4f}")
```
**Problem:** Only accuracy is reported. For imbalanced datasets, this is misleading. Missing:
- Precision, Recall, F1-score
- Confusion matrix
- ROC-AUC
**Fix:**
```python
from sklearn.metrics import classification_report, confusion_matrix
print(classification_report(y_test, y_pred))
print(f"Confusion Matrix:\n{confusion_matrix(y_test, y_pred)}")
```
---
## 7. **No Feature Scaling** ⚠️
**Problem:** While RandomForest doesn't require scaling, it's unclear if features are on different scales. SelectKBest with f_classif can be biased toward larger-scale features.
**Fix:**
```python
from sklearn.preprocessing import StandardScaler
scaler = StandardScaler()
X_train_scaled = scaler.fit_transform(X_train)
X_test_scaled = scaler.transform(X_test)
```
---
## 8. **Unused Features Not Tracked** ⚠️
```python
X_selected = selector.fit_transform(X, y)
```
**Problem:** No record of which features were selected or their importance scores.
**Fix:**
```python
selected_features = X.columns[selector.get_support()].tolist()
print(f"Selected features: {selected_features}")
```
---
## Summary Table
| Issue | Severity | Type |
|-------|----------|------|
| No file error handling | Medium | Robustness |
| No data validation | High | Robustness |
| Data leakage in feature selection | **Critical** | Correctness |
| No cross-validation | High | Evaluation |
| Hardcoded k without validation | Medium | Robustness |
| Incomplete metrics | Medium | Evaluation |
| No feature scaling | Low | Best Practice |
| Features not tracked | Low | Debugging |</t>
  </si>
  <si>
    <t>This Python code snippet demonstrates a basic machine learning pipeline. While it executes, it contains several issues, ranging from critical bugs (data leakage) to bad practices and areas for significant improvement.
Here's a breakdown of the problems:
---
### Critical Issues / Bugs
1.  **Data Leakage during Feature Selection**
    *   **Problem:** The most critical issue is that `SelectKBest` is fit on the *entire dataset* (`X`, `y`) before the `train_test_split`.
        ```python
        selector = SelectKBest(score_func=f_classif, k=10)
        X_selected = selector.fit_transform(X, y) # &lt;-- Data leakage happens here
        ```
    *   **Explanation:** By fitting `selector` on `X` and `y` (which includes both training and testing data), the feature selection process learns information from the test set. When the data is then split (`X_selected`, `y`), the features for the test set have already been "selected" based on information from the test set itself. This gives an unfair advantage to the model, leading to an overly optimistic and unrealiable accuracy score.
    *   **Impact:** The reported accuracy (`accuracy_score`) will be inflated and not representative of how the model would perform on truly unseen data.
    *   **Solution:** Feature selection (and any other data preprocessing steps that learn from the data, such as scaling, imputation, PCA, etc.) *must* be fit *only* on the training data. The recommended way to handle this in scikit-learn is by using a `Pipeline`.
---
### Major Issues / Bad Practices
2.  **Lack of Data Preprocessing for Missing Values**
    *   **Problem:** The code directly uses `df.drop("diagnosis", axis=1)` and `df["diagnosis"]` without any check for missing values in either `X` or `y`.
    *   **Explanation:**
        *   `f_classif` (used by `SelectKBest`) will likely raise an error or produce incorrect results if there are `NaN` values in `X`.
        *   `RandomForestClassifier` can handle some forms of missing data implicitly but generally performs better with properly imputed or handled missing values.
        *   Missing values in `y` would also cause issues.
    *   **Impact:** Potential errors during execution or training on incomplete/corrupted data, leading to poor model performance.
    *   **Solution:** Before feature selection or model training, inspect for and handle missing values (e.g., imputation with `SimpleImputer`, dropping rows/columns, etc.). This should also be part of the `Pipeline` to prevent leakage.
3.  **Lack of Data Preprocessing for Categorical Features**
    *   **Problem:** The code assumes all features in `X` are numerical. If "medical.csv" contains categorical (string or object type) features, the code will break or produce incorrect results.
    *   **Explanation:**
        *   `f_classif` expects numerical input.
        *   `RandomForestClassifier` generally works with numerical data, though some implementations can handle categorical features directly if specified. Standard scikit-learn practice is to encode them.
    *   **Impact:** `TypeError` or `ValueError` during `fit_transform` or `fit`, or incorrect model behavior.
    *   **Solution:** Inspect data types (`df.info()`, `df.select_dtypes()`). If categorical features exist, encode them using techniques like One-Hot Encoding (`OneHotEncoder`) or Label Encoding (`LabelEncoder`). This also needs to be handled within a `Pipeline`.
4.  **Limited Model Evaluation Metrics**
    *   **Problem:** Only `accuracy_score` is used to evaluate the model.
    *   **Explanation:** Accuracy can be misleading, especially in classification problems with imbalanced datasets (e.g., if one diagnosis is much more common than others). A model that predicts the majority class every time could have high accuracy but be useless.
    *   **Impact:** Misleading assessment of model performance, potentially deploying a model that doesn't perform well on minority classes or critical scenarios.
    *   **Solution:** For classification tasks, consider a broader set of metrics:
        *   **Confusion Matrix:** To see true positives, true negatives, false positives, false negatives.
        *   **Precision, Recall, F1-score:** Especially important for imbalanced datasets.
        *   **ROC AUC score:** For probabilistic models.
        *   **Classification Report:** Combines precision, recall, f1-score, and support for each class.
5.  **No Cross-Validation**
    *   **Problem:** The model is evaluated on a single train-test split.
    *   **Explanation:** A single split can be susceptible to the particular random split. The reported accuracy might be overly optimistic or pessimistic depending on which samples ended up in the test set.
    *   **Impact:** The performance estimate is less robust and might not generalize well.
    *   **Solution:** Use k-fold cross-validation (`KFold`, `StratifiedKFold`) to get a more reliable estimate of model performance and its variance. This is often done with `cross_val_score` or `GridSearchCV`/`RandomizedSearchCV`.
6.  **No Hyperparameter Tuning**
    *   **Problem:** The `RandomForestClassifier` is used with default or arbitrarily chosen hyperparameters (`n_estimators=100`).
    *   **Explanation:** While `n_estimators=100` is a reasonable starting point, hyperparameters like `max_depth`, `min_samples_split`, `min_samples_leaf`, etc., can significantly impact model performance.
    *   **Impact:** The model might not be performing optimally for the given dataset, leaving potential performance gains on the table.
    *   **Solution:** Employ hyperparameter tuning techniques like Grid Search (`GridSearchCV`) or Randomized Search (`RandomizedSearchCV`) to find the best combination of parameters for the specific problem. This should be done within a cross-validation framework.
---
### Minor Issues / Best Practices
7.  **Hardcoded Filename and Column Name**
    *   **Problem:** The filename ("medical.csv") and the target column name ("diagnosis") are hardcoded directly into the script.
    *   **Explanation:** This makes the script less flexible. If the file name changes or the target column has a different name, the code needs to be manually edited.
    *   **Impact:** Reduced reusability and increased maintenance effort.
    *   **Solution:** Pass these as arguments to a function, use configuration variables, or define them at the top of the script as constants.
8.  **Lack of Encapsulation/Modularity (No Functions)**
    *   **Problem:** The entire script is written as a linear sequence of operations in the global scope.
    *   **Explanation:** For anything beyond a trivial script, grouping related logic into functions improves readability, reusability, and makes the code easier to test and maintain.
    *   **Impact:** Harder to manage, reuse parts, and debug as the codebase grows.
    *   **Solution:** Wrap the pipeline steps into functions (e.g., `load_data`, `preprocess_data`, `train_model`, `evaluate_model`) and use a `if __name__ == "__main__":` block.
9.  **No Error Handling**
    *   **Problem:** The code assumes `medical.csv` exists and is correctly formatted.
    *   **Explanation:** If the file doesn't exist, `pd.read_csv` will raise a `FileNotFoundError`. If columns are missing, subsequent `.drop()` or indexing operations will fail.
    *   **Impact:** Script crashes unexpectedly.
    *   **Solution:** Add `try-except` blocks for file operations and data loading.
10. **Choice of `k` for `SelectKBest` is Arbitrary**
    *   **Problem:** `k=10` is an arbitrary choice for the number of features to select.
    *   **Explanation:** There's no justification provided for why 10 features are optimal. The best `k` often depends on the dataset and the problem.
    *   **Impact:** Suboptimal feature set, potentially leading to lower model performance or increased complexity.
    *   **Solution:** Treat `k` as a hyperparameter and optimize it using cross-validation (e.g., with `GridSearchCV` on a `Pipeline` that includes `SelectKBest`).
---
### Example of Addressing Critical Issues (Data Leakage &amp; Basic Preprocessing with Pipeline)
```python
import pandas as pd
from sklearn.feature_selection import SelectKBest, f_classif
from sklearn.model_selection import train_test_split, cross_val_score
from sklearn.ensemble import RandomForestClassifier
from sklearn.metrics import accuracy_score, classification_report
from sklearn.pipeline import Pipeline
from sklearn.preprocessing import StandardScaler, OneHotEncoder
from sklearn.compose import ColumnTransformer
from sklearn.impute import SimpleImputer
import numpy as np # For numerical operations, especially with missing data
# --- Configuration ---
DATA_FILE = "medical.csv"
TARGET_COLUMN = "diagnosis"
RANDOM_SEED = 42
TEST_SIZE = 0.2
# --- 1. Load Data ---
try:
    df = pd.read_csv(DATA_FILE)
except FileNotFoundError:
    print(f"Error: The file '{DATA_FILE}' was not found. Please ensure it's in the correct directory.")
    exit()
# --- 2. Separate Features (X) and Target (y) ---
if TARGET_COLUMN not in df.columns:
    print(f"Error: The target column '{TARGET_COLUMN}' was not found in the DataFrame.")
    exit()
X = df.drop(TARGET_COLUMN, axis=1)
y = df[TARGET_COLUMN]
# --- 3. Identify Column Types for Preprocessing ---
# This is crucial for building a robust pipeline
numerical_features = X.select_dtypes(include=np.number).columns.tolist()
categorical_features = X.select_dtypes(include='object').columns.tolist()
print(f"Numerical features: {numerical_features}")
print(f"Categorical features: {categorical_features}")
# --- 4. Define Preprocessing Steps (within a Pipeline to prevent leakage) ---
# Preprocessor for numerical features: impute missing values, then scale
numerical_transformer = Pipeline(steps=[
    ('imputer', SimpleImputer(strategy='mean')), # Impute missing numerical values
    ('scaler', StandardScaler())                 # Scale numerical features
])
# Preprocessor for categorical features: impute missing values, then one-hot encode
# Handle_unknown='ignore' prevents errors during transform if a category unseen in training appears in test
categorical_transformer = Pipeline(steps=[
    ('imputer', SimpleImputer(strategy='most_frequent')), # Impute missing categorical values
    ('onehot', OneHotEncoder(handle_unknown='ignore'))     # One-hot encode categorical features
])
# Create a preprocessor that applies different transformations to different column types
preprocessor = ColumnTransformer(
    transformers=[
        ('num', numerical_transformer, numerical_features),
        ('cat', categorical_transformer, categorical_features)
    ],
    remainder='passthrough' # Keep any other columns not specified (e.g., if any unexpected types)
)
# --- 5. Build the Full Machine Learning Pipeline ---
# This pipeline now includes preprocessing, feature selection, and the model
model_pipeline = Pipeline(steps=[
    ('preprocessor', preprocessor),
    ('feature_selection', SelectKBest(score_func=f_classif, k=10)), # k is still arbitrary here, but can be tuned
    ('classifier', RandomForestClassifier(n_estimators=100, random_state=RANDOM_SEED))
])
# --- 6. Train-Test Split (after defining the pipeline, but before fitting it) ---
X_train, X_test, y_train, y_test = train_test_split(
    X, y, test_size=TEST_SIZE, random_state=RANDOM_SEED, stratify=y # stratify helps with imbalanced targets
)
# --- 7. Fit the Pipeline (on training data only) ---
# All steps (imputation, scaling, one-hot encoding, feature selection) are fit ONLY on X_train
model_pipeline.fit(X_train, y_train)
# --- 8. Make Predictions ---
y_pred = model_pipeline.predict(X_test)
# --- 9. Evaluate the Model (more comprehensive) ---
print("\n--- Model Evaluation ---")
print(f"Accuracy: {accuracy_score(y_test, y_pred):.4f}")
print("\nClassification Report:")
print(classification_report(y_test, y_pred))
# --- 10. (Optional) Cross-Validation for a more robust performance estimate ---
print("\n--- Cross-Validation Results (Accuracy) ---")
# Use the full pipeline within cross_val_score
cv_scores = cross_val_score(model_pipeline, X, y, cv=5, scoring='accuracy') # 5-fold CV
print(f"Cross-validation accuracy scores: {cv_scores}")
print(f"Mean CV Accuracy: {cv_scores.mean():.4f} (+/- {cv_scores.std() * 2:.4f})") # +/- 2 standard deviations
# --- 11. (Optional) Hyperparameter Tuning Example (requires more computational power) ---
# from sklearn.model_selection import GridSearchCV
# param_grid = {
#     'feature_selection__k': [5, 10, 15], # Tune k for SelectKBest
#     'classifier__n_estimators': [50, 100, 200],
#     'classifier__max_depth': [None, 10, 20]
# }
# grid_search = GridSearchCV(model_pipeline, param_grid, cv=3, scoring='accuracy', n_jobs=-1)
# grid_search.fit(X_train, y_train)
# print("\n--- Hyperparameter Tuning Results ---")
# print(f"Best parameters: {grid_search.best_params_}")
# print(f"Best cross-validation accuracy: {grid_search.best_score_:.4f}")
# # Evaluate on test set with best model
# best_model = grid_search.best_estimator_
# y_pred_tuned = best_model.predict(X_test)
# print(f"Test Accuracy with best model: {accuracy_score(y_test, y_pred_tuned):.4f}")
```</t>
  </si>
  <si>
    <t>The given code contains a form of data leakage due to how the feature selection is performed. Let's break down why this is a problem:
1. **Feature Selection Before Train-Test Split**:
   - The code performs feature selection using `SelectKBest` on the entire dataset (`X`) before splitting it into training and test sets. This means that the selection of features is based on the entire dataset, including the test set, which exposes the model to information from the test data during the feature selection process.
   - Ideally, feature selection should only be based on the training data, allowing the test data to remain completely unseen during model training and feature selection. This ensures that the test set is a true unseen dataset to assess the model's performance.
   To prevent this form of data leakage, `SelectKBest` should be applied after splitting the dataset into training and test sets. Here's how you can fix it:
   ```python
   import pandas as pd
   from sklearn.feature_selection import SelectKBest, f_classif
   from sklearn.model_selection import train_test_split
   from sklearn.ensemble import RandomForestClassifier
   from sklearn.metrics import accuracy_score
   # Load data
   df = pd.read_csv("medical.csv")
   X = df.drop("diagnosis", axis=1)
   y = df["diagnosis"]
   # Split data into train and test sets
   X_train, X_test, y_train, y_test = train_test_split(
       X, y, test_size=0.2, random_state=42
   )
   # Perform feature selection on the training data only
   selector = SelectKBest(score_func=f_classif, k=10)
   X_train_selected = selector.fit_transform(X_train, y_train)
   # Transform the test data using the same features
   X_test_selected = selector.transform(X_test)
   # Train a RandomForestClassifier
   model = RandomForestClassifier(n_estimators=100, random_state=42)
   model.fit(X_train_selected, y_train)
   # Predict and evaluate the model
   y_pred = model.predict(X_test_selected)
   print(f"Accuracy: {accuracy_score(y_test, y_pred):.4f}")
   ```
By applying feature selection only to the training dataset and not to the entire dataset, we remove the data leakage problem and ensure that the test data is not used in the training process, providing a more accurate evaluation of model performance.</t>
  </si>
  <si>
    <t>The provided Python machine learning pipeline code does contain data leakage. Here's where and why it occurs:
### Location of Data Leakage
The data leakage happens in the use of the `SelectKBest` feature selection process. Specifically, the code executes the following line before the dataset is split into training and test sets:
```python
X_selected = selector.fit_transform(X, y)
```
In this line, `selector.fit_transform(X, y)` fits the feature selection to the entire dataset (`X` and `y`) before the split into training and test sets occurs. As a result, the feature selection process has access to the target variable `y` for all data — including both the training and testing sets.
### Why It Is a Problem
The primary concern with this approach is that it allows information from the test set to influence the feature selection process. During model evaluation, the model’s performance is tested against data that has effects (in this case, feature selection criteria) based on the entire dataset rather than just the training data. This can lead to overly optimistic performance estimates, as the features selected may be biased towards patterns that include information from the test set, which would not be available in real-world predictions.
### Fixing the Leakage
To prevent data leakage, the feature selection step should be conducted only on the training data. Here’s how to modify the code to fix the leakage:
1. Split the dataset into training and test sets first.
2. Apply `SelectKBest` to the training set only, then transform both the training and test sets based on the features selected from the training set.
Here's the corrected version: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X_train, X_test, y_train, y_test = train_test_split(
    X, y, test_size=0.2, random_state=42
)
# Now apply SelectKBest only to the training data
selector = SelectKBest(score_func=f_classif, k=10)
X_train_selected = selector.fit_transform(X_train, y_train)
# Transform the test set using the same selected features
X_test_selected = selector.transform(X_test)
model = RandomForestClassifier(n_estimators=100, random_state=42)
model.fit(X_train_selected, y_train)
y_pred = model.predict(X_test_selected)
print(f"Accuracy: {accuracy_score(y_test, y_pred):.4f}")
```
This modification ensures that the feature selection does not leverage information from the test dataset, thus mitigating the risk of data leakage.</t>
  </si>
  <si>
    <t>## Data Leakage Analysis
### Verdict: **Data Leakage Is Present**
---
### Where the Leakage Occurs
The leakage is on this line:
```python
# PROBLEM: fit_transform uses ALL data (including future test samples)
selector = SelectKBest(score_func=f_classif, k=10)
X_selected = selector.fit_transform(X, y)  # ← entire dataset used here
# Split happens AFTER selection — too late
X_train, X_test, y_train, y_test = train_test_split(
    X_selected, y, test_size=0.2, random_state=42
)
```
`SelectKBest` is **fit on the entire dataset** before the train/test split. The split happens afterward, meaning the feature selection step has already "seen" the labels and feature values of what will become the test set.
---
### Why This Is a Problem
`f_classif` computes ANOVA F-statistics between each feature and the target `y`. When called on the full dataset:
- It uses the correlation structure between features and `y` **across all rows**, including test rows
- The selected features are therefore those most correlated with `y` **globally**, which is information the model should never have access to during training
- The test set is no longer a true held-out sample — it influenced which features were kept
This inflates accuracy because the model is evaluated on data that **indirectly shaped its input representation**.
---
### Corrected Code
Feature selection must be fit **only on training data**, then applied (transform-only) to the test data:
```python
import pandas as pd
from sklearn.feature_selection import SelectKBest, f_classif
from sklearn.model_selection import train_test_split
from sklearn.ensemble import RandomForestClassifier
from sklearn.metrics import accuracy_score
from sklearn.pipeline import Pipeline
df = pd.read_csv("medical.csv")
X = df.drop("diagnosis", axis=1)
y = df["diagnosis"]
# ✅ Split FIRST, before any fitting
X_train, X_test, y_train, y_test = train_test_split(
    X, y, test_size=0.2, random_state=42
)
# ✅ Use a Pipeline to enforce correct fit/transform boundaries
pipeline = Pipeline([
    ("selector", SelectKBest(score_func=f_classif, k=10)),
    ("model", RandomForestClassifier(n_estimators=100, random_state=42))
])
# fit() on pipeline only sees training data
pipeline.fit(X_train, y_train)
# transform() on test data uses parameters learned from training data only
y_pred = pipeline.predict(X_test)
print(f"Accuracy: {accuracy_score(y_test, y_pred):.4f}")
```
---
### Why a Pipeline Is the Preferred Fix
| Approach | Safe? | Reason |
|---|---|---|
| `fit_transform(X, y)` then split | ❌ | Selector sees test labels |
| Split then manual `fit`/`transform` | ✅ | Correct, but error-prone |
| `Pipeline` + split | ✅✅ | Enforces correct boundary automatically, also safe inside `cross_val_score` |
The `Pipeline` approach is strongly preferred because it remains correct even when used inside cross-validation — sklearn will correctly call `fit_transform` only on each fold's training portion and `transform` only on the validation portion.</t>
  </si>
  <si>
    <t># Data Leakage Review: **CRITICAL ISSUE FOUND**
## The Problem
This code contains **severe data leakage** in the feature selection step.
### Where It Occurs
```python
selector = SelectKBest(score_func=f_classif, k=10)
X_selected = selector.fit_transform(X, y)  # ← LEAKAGE HERE
X_train, X_test, y_train, y_test = train_test_split(
    X_selected, y, test_size=0.2, random_state=42
)
```
The `SelectKBest` selector is **fit on the entire dataset** (X and y) *before* the train-test split occurs.
### Why This Is a Problem
1. **Information leakage from test set**: The feature selector sees the target values (`y`) for all samples, including those that will later become the test set.
2. **Biased feature selection**: The selector chooses the k=10 "best" features based on their correlation with *the entire dataset*, including test samples. It may select features that happen to correlate well with the test set specifically.
3. **Inflated performance metrics**: The reported accuracy is artificially high because the model is tested on data whose most informative features were selected *with knowledge of the test set's labels*.
4. **Poor generalization**: In production, when predicting on truly unseen data, performance will likely be much worse because features were selected with information the model won't have in real deployment.
---
## The Fix
Fit the feature selector **only on training data**:
```python
X_train, X_test, y_train, y_test = train_test_split(
    X, y, test_size=0.2, random_state=42
)
selector = SelectKBest(score_func=f_classif, k=10)
X_train_selected = selector.fit_transform(X_train, y_train)  # Fit only on train
X_test_selected = selector.transform(X_test)                 # Transform test
model = RandomForestClassifier(n_estimators=100, random_state=42)
model.fit(X_train_selected, y_train)
y_pred = model.predict(X_test_selected)
print(f"Accuracy: {accuracy_score(y_test, y_pred):.4f}")
```
**Key principle**: Any operation that uses the target variable (`y`) or learns parameters from data must be fit exclusively on the training set, then applied to the test set.</t>
  </si>
  <si>
    <t>Yes, this code contains a form of **data leakage**.
### Explanation of Data Leakage
The data leakage occurs in this line:
```python
X_selected = selector.fit_transform(X, y)
```
**Why it's a problem:**
1.  **Feature Selection on Full Dataset:** The `SelectKBest` object (`selector`) is fitted on the *entire* dataset (`X` and `y`) *before* the data is split into training and testing sets.
2.  **Using Test Set Information:** During the `fit` step of `SelectKBest`, the algorithm analyzes the relationship between each feature in `X` and the target variable `y` to determine the "best" `k` features. Since `X` and `y` at this stage include data that will eventually become the test set (`X_test` and `y_test`), the feature selection process effectively "sees" the target variable of the test set.
3.  **Overly Optimistic Performance:** This means that the chosen features are, in part, selected because they work well with the specific `y_test` values. When the model is later evaluated on this `X_test`, the performance metric (accuracy in this case) might be artificially inflated. The model appears to perform better than it would in a real-world scenario where the target labels for unseen data are truly unknown during feature selection.
4.  **Violation of Real-World Scenario:** In a production environment, you would not have access to the target variable (`y`) for new, unseen data when you need to select features or make predictions. Therefore, any step that uses the target variable to learn parameters (like feature importance, scaling parameters, imputation values, etc.) should only be performed on the training data.
### How to Fix It
To prevent data leakage, the feature selection step (and any other preprocessing step that learns parameters from the data) must be applied *after* the train-test split, and only fit on the training data. The *fitted* transformer/selector is then used to transform both the training and test sets.
Here's the corrected version of your code:
```python
import pandas as pd
from sklearn.feature_selection import SelectKBest, f_classif
from sklearn.model_selection import train_test_split
from sklearn.ensemble import RandomForestClassifier
from sklearn.metrics import accuracy_score
df = pd.read_csv("medical.csv")
X = df.drop("diagnosis", axis=1)
y = df["diagnosis"]
# 1. Split the data FIRST
X_train, X_test, y_train, y_test = train_test_split(
    X, y, test_size=0.2, random_state=42
)
# 2. Initialize the selector
selector = SelectKBest(score_func=f_classif, k=10)
# 3. Fit the selector ONLY on the training data
selector.fit(X_train, y_train)
# 4. Transform both training and test data using the fitted selector
X_train_selected = selector.transform(X_train)
X_test_selected = selector.transform(X_test) # Use the selector fitted on training data
model = RandomForestClassifier(n_estimators=100, random_state=42)
model.fit(X_train_selected, y_train) # Train with selected features
y_pred = model.predict(X_test_selected) # Predict with selected features
print(f"Accuracy: {accuracy_score(y_test, y_pred):.4f}")
```
By making this change, the feature selection process only learns from the training data, ensuring that the evaluation on the test set provides a more realistic estimate of the model's performance on truly unseen data.</t>
  </si>
  <si>
    <t>The provided Python code has a few potential issues and areas for improvement. Here's a detailed review:
1. **Reading CSV without error handling**:
   - The `pd.read_csv("medical.csv")` statement assumes that the file exists and is correctly formatted. It would be a good practice to add error handling to manage scenarios where the file might be missing or improperly formatted.
2. **Hardcoding of file name**:
   - The filename "medical.csv" is hardcoded. It would be better to make it a parameter of the script or function, allowing for more flexibility if you need to process different datasets.
3. **Assumption of column existence**:
   - The code assumes that the "diagnosis" column exists in the CSV file. There should be a check to confirm its presence, and handle cases where it might be missing.
4. **No feature scaling**:
   - Often in machine learning, particularly with algorithms like Random Forests, feature scaling is beneficial. Although Random Forests do not strictly require scaling, it might still be a good practice to ensure uniform ranges, especially if the feature values vary greatly, or are going to be compared to models that do need scaling.
5. **Fixed number of features with SelectKBest**:
   - The code uses `SelectKBest` with `k=10`, assuming that the dataset has an appropriate number of features to select. It would be better to parameterize `k` or determine it through cross-validation to find the best value dynamically.
6. **Potential data leakage**:
   - The feature selection (`SelectKBest`) is fit on the entire training set and then applied to the test set. This is correct in this script as written, but if any pre-processing (like scaling based on training data statistics) were to occur before this step, it should always be fit on the training data to avoid future data leakage.
7. **No model evaluation other than accuracy**:
   - The script evaluates model performance using only accuracy. Depending on the dataset, accuracy may not be the best metric, particularly if there's class imbalance. Consider using other metrics like precision, recall, F1-score, or ROC-AUC.
8. **No random_state for train_test_split consistency**:
   - The random state for `train_test_split` is fixed to 42, which is fine for reproducibility but not ideal if you want to ensure generalizability across different runs. For a more robust model evaluation, consider using cross-validation.
9. **Lack of comments and documentation**:
   - It is always beneficial to include comments or documentation strings that help anyone reviewing or maintaining the code understand each step of the process.
By addressing these concerns, the code can become more robust, flexible, and readable, as well as provide better insights into model performance and data quality.</t>
  </si>
  <si>
    <t>The provided Python code snippet performs feature selection and trains a RandomForest classifier on a dataset. Below are several issues, potential bugs, and bad practices identified in the code, along with explanations for each:
1. **Assumption of Column Existence**:
   - The code assumes that the `diagnosis` column exists in the `medical.csv` file. If this column is missing, it will raise a `KeyError`. Always validate that input files contain expected columns.
   - **Solution**: Check for the existence of the required column before proceeding with operations on it.
2. **Ignoring the Released Data Types**:
   - It's important to check and ensure that the features in `X` are of the correct data types (e.g., numeric) suitable for machine learning. If there are any categorical features, they must be appropriately encoded.
   - **Solution**: Include checks to convert categorical variables to numerical representations using encoding techniques like one-hot encoding or label encoding.
3. **SelectKBest on Train Only**:
   - While the code correctly fits `SelectKBest` on the training data, it directly transforms the test data afterward using the same selector. This should generally work fine here, but be cautious when using techniques like this in other contexts, as some selectors may change based on the training data.
   - **Solution**: Ensure that any changes made to `X_train` either do not inherently change how `SelectKBest` operates or check the validity of transforming test data post-fitting.
4. **Hard-Coding `k` in SelectKBest**:
   - The number of features `k` is hard-coded to `10`, which may not be optimal for every dataset. The best number of features can depend on the specific dataset or problem and could often involve cross-validation, grid search, or other hyperparameter tuning methods.
   - **Solution**: Consider using a more dynamic way of selecting `k`, either through cross-validation or based on an exploratory analysis of feature importance.
5. **Lack of Data Preprocessing**:
   - There is no mention of any data preprocessing steps, such as handling missing values, scaling features, or normalizing the dataset. Depending on the dataset used, these steps can critically affect model performance.
   - **Solution**: Always include preprocessing steps based on the needs of the dataset, which could involve imputation for missing values and scaling of continuous features. 
6. **Model Evaluation Measures**:
   - The code only prints accuracy as the evaluation metric. While accuracy is a useful measure, it can be misleading, especially in cases of class imbalance. Other metrics such as precision, recall, F1-score, and ROC-AUC score should be computed for a more holistic model evaluation.
   - **Solution**: Include additional evaluation metrics based on the problem context, especially if the dataset exhibits class imbalance.
7. **Error Handling**:
   - The current code does not have any error handling mechanisms. If the CSV file is not found or is corrupted, or if there are issues during modeling, the program will crash.
   - **Solution**: Implement try-except blocks to gracefully handle potential exceptions, providing meaningful error messages to the user.
### Revised Code Snippet
A modified version of the given code could look like this:
```python
import pandas as pd
from sklearn.feature_selection import SelectKBest, f_classif
from sklearn.model_selection import train_test_split
from sklearn.ensemble import RandomForestClassifier
from sklearn.metrics import accuracy_score, classification_report
from sklearn.preprocessing import StandardScaler
# Load dataset with error handling
try:
    df = pd.read_csv("medical.csv")
except FileNotFoundError:
    print("The file medical.csv was not found.")
    raise
# Check if 'diagnosis' column exists
if "diagnosis" not in df.columns:
    raise ValueError("The 'diagnosis' column is missing from the dataset.")
X = df.drop("diagnosis", axis=1)
y = df["diagnosis"]
# Data preprocessing (scale features)
if X.isnull().values.any():
    print("Missing values found, consider handling them appropriately.")
X.fillna(X.mean(), inplace=True)  # Simple imputation; adjust as needed.
# Optional: Encoding for categorical variables can be added here
# Split data
X_train, X_test, y_train, y_test = train_test_split(
    X, y, test_size=0.2, random_state=42
)
# Feature selection, consider automating selection of k
selector = SelectKBest(score_func=f_classif, k='all')  # or some chosen value
X_train = selector.fit_transform(X_train, y_train)
X_test = selector.transform(X_test)
# Scale features
scaler = StandardScaler()
X_train = scaler.fit_transform(X_train)
X_test = scaler.transform(X_test)
# Train model
model = RandomForestClassifier(n_estimators=100, random_state=42)
model.fit(X_train, y_train)
y_pred = model.predict(X_test)
# Evaluation
print(f"Accuracy: {accuracy_score(y_test, y_pred):.4f}")
print(classification_report(y_test, y_pred))  # Adds precision, recall, f1-score
```
In this revised code:
- Checks for the existence of necessary columns and manages file loading errors.
- Includes basic preprocessing for missing values and ensures features are scaled.
- Provides a more informative evaluation of the model's performance.</t>
  </si>
  <si>
    <t>## Code Review
The code is functional at a surface level but contains several significant issues ranging from data integrity problems to poor practices for a medical context.
---
### Issue 1: No Data Validation or Error Handling
```python
# Current code - fails silently or crashes unexpectedly
df = pd.read_csv("medical.csv")
X = df.drop("diagnosis", axis=1)
y = df["diagnosis"]
```
**Problems:**
- No check that the file exists or loaded correctly
- No verification that the "diagnosis" column is present
- No handling of an empty DataFrame
```python
# Better approach
import os
from pathlib import Path
if not Path("medical.csv").exists():
    raise FileNotFoundError("medical.csv not found")
df = pd.read_csv("medical.csv")
if df.empty:
    raise ValueError("DataFrame is empty")
if "diagnosis" not in df.columns:
    raise ValueError("Target column 'diagnosis' not found")
```
---
### Issue 2: Missing Data Not Handled
```python
# Current code - silently passes missing values to the model
X = df.drop("diagnosis", axis=1)
```
**Problem:** No check for or handling of null values. RandomForest in scikit-learn will raise an error on NaN values, but the error message will be cryptic.
```python
# Better approach
print(f"Missing values per column:\n{X.isnull().sum()}")
# Option A: drop rows with missing values
X = X.dropna()
y = y[X.index]  # keep labels aligned
# Option B: impute missing values
from sklearn.impute import SimpleImputer
imputer = SimpleImputer(strategy="median")
X_train = imputer.fit_transform(X_train)
X_test = imputer.transform(X_test)
```
---
### Issue 3: Non-Numeric Columns Not Handled
```python
# Current code - f_classif requires numeric input
selector = SelectKBest(score_func=f_classif, k=10)
X_train = selector.fit_transform(X_train, y_train)
```
**Problem:** If any feature columns are categorical or strings, `f_classif` will raise a `TypeError`. There is no encoding step.
```python
# Better approach
from sklearn.preprocessing import LabelEncoder
# Identify and encode categorical columns
categorical_cols = X.select_dtypes(include=["object", "category"]).columns
for col in categorical_cols:
    le = LabelEncoder()
    X[col] = le.fit_transform(X[col].astype(str))
```
---
### Issue 4: Hardcoded `k=10` in SelectKBest
```python
# Current code - will crash if fewer than 10 features exist
selector = SelectKBest(score_func=f_classif, k=10)
```
**Problem:** If the dataset has fewer than 10 features, this raises a `ValueError`. The value 10 is also arbitrary with no justification.
```python
# Better approach
n_features = X_train.shape[1]
k = min(10, n_features)  # safe upper bound
# Even better: treat k as a hyperparameter to tune
from sklearn.model_selection import GridSearchCV
param_grid = {"k": [5, 10, 15, "all"]}
```
---
### Issue 5: Data Leakage via SelectKBest After Split (Subtle But Real)
```python
# Current code - this is actually correct, but brittle
X_train, X_test, y_train, y_test = train_test_split(...)
selector = SelectKBest(...)
X_train = selector.fit_transform(X_train, y_train)  # fit only on train ✓
X_test = selector.transform(X_test)                 # transform test ✓
```
**Problem:** While the fit/transform split is correct here, this pattern breaks the moment someone wraps it in a cross-validation loop. The selector and model should be in a `Pipeline` to make leakage prevention automatic and robust.
```python
# Better approach - use a Pipeline
from sklearn.pipeline import Pipeline
pipeline = Pipeline([
    ("selector", SelectKBest(score_func=f_classif, k=10)),
    ("classifier", RandomForestClassifier(n_estimators=100, random_state=42))
])
pipeline.fit(X_train, y_train)
y_pred = pipeline.predict(X_test)
```
---
### Issue 6: Accuracy Is a Poor Metric for Medical Data
```python
# Current code - misleading in imbalanced medical datasets
print(f"Accuracy: {accuracy_score(y_test, y_pred):.4f}")
```
**Problem:** Medical datasets are frequently imbalanced (e.g., 95% negative diagnoses). A model predicting all-negative achieves 95% accuracy while being clinically useless. Missing a positive diagnosis (false negative) is far more costly than a false positive.
```python
# Better approach
from sklearn.metrics import (
    classification_report,
    confusion_matrix,
    roc_auc_score,
    recall_score
)
print(classification_report(y_test, y_pred))
print(f"Confusion Matrix:\n{confusion_matrix(y_test, y_pred)}")
print(f"ROC-AUC: {roc_auc_score(y_test, y_pred):.4f}")
# Recall (sensitivity) is critical in medical diagnosis
print(f"Recall (Sensitivity): {recall_score(y_test, y_pred):.4f}")
```
---
### Issue 7: No Class Imbalance Handling
```python
# Current code - ignores class distribution entirely
model = RandomForestClassifier(n_estimators=100, random_state=42)
```
**Problem:** Medical datasets are typically imbalanced. Without addressing this, the model will be biased toward the majority class.
```python
# Better approach
model = RandomForestClassifier(
    n_estimators=100,
    random_state=42,
    class_weight="balanced"  # adjusts weights inversely proportional to class frequency
)
# Also use stratified splitting
X_train, X_test, y_train, y_test = train_test_split(
    X, y, test_size=0.2, random_state=42, stratify=y  # preserves class ratio
)
```
---
### Issue 8: No Cross-Validation
```python
# Current code - evaluation on a single test split is unreliable
model.fit(X_train, y_train)
y_pred = model.predict(X_test)
```
**Problem:** A single 80/20 split produces high-variance performance estimates. The result could be lucky or unlucky depending on which samples ended up in the test set.
```python
# Better approach
from sklearn.model_selection import StratifiedKFold, cross_val_score
cv = StratifiedKFold(n_splits=5, shuffle=True, random_state=42)
scores = cross_val_score(pipeline, X, y, cv=cv, scoring="roc_auc")
print(f"CV ROC-AUC: {scores.mean():.4f} (+/- {scores.std():.4f})")
```
---
### Issue 9: No Feature Scaling
```python
# Current code - no normalization before feature selection
selector = SelectKBest(score_func=f_classif, k=10)
```
**Problem:** While `f_classif` and `RandomForest` are not strictly sensitive to feature scale, including scaling is a best practice — especially if this code is later adapted to use distance-based or regularized models.
```python
# Better approach - add to pipeline
from sklearn.preprocessing import StandardScaler
pipeline = Pipeline([
    ("scaler", StandardScaler()),
    ("selector", SelectKBest(score_func=f_classif, k=10)),
    ("classifier", RandomForestClassifier(n_estimators=100, random_state=42))
])
```
---
### Issue 10: No Model Persistence
```python
# Current code - model is lost after script ends
model.fit(X_train, y_train)</t>
  </si>
  <si>
    <t># Code Review: Issues and Problems
## 1. **Data Leakage (CRITICAL)**
```python
selector = SelectKBest(score_func=f_classif, k=10)
X_train = selector.fit_transform(X_train, y_train)
X_test = selector.transform(X_test)
```
**Problem:** Feature selection is fit on the training data, which is correct, but this still represents a form of data leakage because the test set statistics influence the final model indirectly through feature selection.
**Better practice:** Fit the selector on training data only (which is done correctly), but be aware that k=10 is arbitrary and should be validated.
---
## 2. **No Input Validation**
```python
df = pd.read_csv("medical.csv")
X = df.drop("diagnosis", axis=1)
y = df["diagnosis"]
```
**Problems:**
- No check if the file exists or is readable
- No check if "diagnosis" column exists
- No handling of missing values
- No check for empty DataFrame
**Fix:**
```python
if not os.path.exists("medical.csv"):
    raise FileNotFoundError("medical.csv not found")
df = pd.read_csv("medical.csv")
if "diagnosis" not in df.columns:
    raise ValueError("diagnosis column not found")
if df.isnull().any():
    print(f"Missing values found:\n{df.isnull().sum()}")
```
---
## 3. **No Feature Scaling**
```python
X_train = selector.fit_transform(X_train, y_train)
```
**Problem:** While RandomForest doesn't require scaling, features with different ranges might cause issues. The SelectKBest with f_classif can be biased toward features with larger scales.
**Fix:**
```python
from sklearn.preprocessing import StandardScaler
scaler = StandardScaler()
X_train = scaler.fit_transform(X_train)
X_test = scaler.transform(X_test)
```
---
## 4. **Arbitrary k Value**
```python
selector = SelectKBest(score_func=f_classif, k=10)
```
**Problem:** k=10 is hardcoded without justification. What if there are fewer than 10 features? What if 10 isn't optimal?
**Fix:**
```python
k = min(10, X_train.shape[1])  # Safety check
# Or use cross-validation to find optimal k
```
---
## 5. **No Model Evaluation**
```python
print(f"Accuracy: {accuracy_score(y_test, y_pred):.4f}")
```
**Problems:**
- Only accuracy reported (problematic for imbalanced datasets)
- No precision, recall, F1-score, or confusion matrix
- No cross-validation
- No baseline comparison
**Fix:**
```python
from sklearn.metrics import classification_report, confusion_matrix
print(classification_report(y_test, y_pred))
print(f"Confusion Matrix:\n{confusion_matrix(y_test, y_pred)}")
```
---
## 6. **No Error Handling**
**Problem:** Code will crash ungracefully if any step fails.
**Fix:**
```python
try:
    df = pd.read_csv("medical.csv")
    # ... rest of code
except FileNotFoundError:
    print("Error: File not found")
except Exception as e:
    print(f"Error: {e}")
```
---
## 7. **Hard-coded File Path**
```python
df = pd.read_csv("medical.csv")
```
**Problem:** Not flexible for different environments or datasets.
**Fix:**
```python
import sys
csv_file = sys.argv[1] if len(sys.argv) &gt; 1 else "medical.csv"
df = pd.read_csv(csv_file)
```
---
## 8. **No Data Exploration**
**Problem:** No check for data quality, distribution, or class imbalance.
**Fix:**
```python
print(f"Dataset shape: {df.shape}")
print(f"Target distribution:\n{y.value_counts()}")
print(f"Missing values:\n{df.isnull().sum()}")
```
---
## Summary Table
| Issue | Severity | Impact |
|-------|----------|--------|
| No input validation | High | Runtime crashes |
| No feature scaling | Medium | Biased feature selection |
| Arbitrary k value | Medium | Suboptimal features |
| Limited evaluation metrics | High | Incomplete model assessment |
| No error handling | High | Poor user experience |
| Hard-coded paths | Low | Inflexibility |
| No data exploration | Medium | Hidden data problems |</t>
  </si>
  <si>
    <t>This Python code provides a basic machine learning pipeline for classification. While it functions, it has several issues, bugs, and bad practices that reduce its robustness, reliability, and interpretability.
Here's a breakdown of the problems:
---
### Issues, Bugs, and Bad Practices
1.  **Lack of Data Validation and Exploration (Major Omission)**
    *   **Problem:** The code immediately loads the CSV and proceeds without any inspection of the data.
    *   **Explanation:** This is a critical bad practice in any data science project. Without `df.head()`, `df.info()`, `df.describe()`, `df.isnull().sum()`, etc., you don't know:
        *   If the file loaded correctly.
        *   Data types of columns (e.g., if "diagnosis" is categorical or numeric).
        *   Presence of missing values (`NaN`s) which can crash or bias models/feature selectors.
        *   Presence of categorical features that need encoding (e.g., one-hot encoding).
        *   Outliers or inconsistent data formats.
    *   **Consequences:**
        *   `pd.read_csv()` could fail if the file is malformed.
        *   `df.drop()` could fail if "diagnosis" column doesn't exist.
        *   `SelectKBest(score_func=f_classif)` will fail with non-numeric data or NaNs.
        *   `RandomForestClassifier` might perform poorly or error if data isn't clean.
2.  **Hardcoded Filename and Target Column (Magic Strings)**
    *   **Problem:** `"medical.csv"` and `"diagnosis"` are hardcoded directly into the script.
    *   **Explanation:** These are "magic strings" – arbitrary values whose meaning isn't immediately clear without context, and they make the code inflexible. If the dataset name changes or the target column is different, you have to modify the script directly.
    *   **Solution:** Define these as constants at the top of the script or pass them as arguments if this were a function/class.
    ```python
    DATA_FILE = "medical.csv"
    TARGET_COLUMN = "diagnosis"
    # ...
    df = pd.read_csv(DATA_FILE)
    X = df.drop(TARGET_COLUMN, axis=1)
    y = df[TARGET_COLUMN]
    ```
3.  **No Error Handling for File I/O**
    *   **Problem:** If `medical.csv` does not exist or cannot be read, the script will crash with a `FileNotFoundError` or similar.
    *   **Explanation:** Robust applications should anticipate common failure points.
    *   **Solution:** Use a `try-except` block for loading the data.
    ```python
    try:
        df = pd.read_csv(DATA_FILE)
    except FileNotFoundError:
        print(f"Error: The file '{DATA_FILE}' was not found. Please ensure it's in the correct directory.")
        exit() # Or raise a more specific exception
    except pd.errors.EmptyDataError:
        print(f"Error: The file '{DATA_FILE}' is empty or malformed.")
        exit()
    except Exception as e:
        print(f"An unexpected error occurred while loading the data: {e}")
        exit()
    ```
4.  **Lack of Preprocessing for Missing Values and Categorical Features**
    *   **Problem:** The code assumes the input features `X` are perfectly clean, numeric, and without missing values.
    *   **Explanation:**
        *   **Missing Values:** `f_classif` (used in `SelectKBest`) generally expects no `NaN`s in the features or target. If present, it will likely raise a `ValueError`. `RandomForestClassifier` can handle some missing values but often benefits from explicit imputation.
        *   **Categorical Features:** If `X` contains non-numeric (object/string) columns (e.g., 'gender', 'city'), `f_classif` will fail or produce meaningless results. These need to be encoded (e.g., One-Hot Encoding, Label Encoding) *before* feature selection and model training.
    *   **Solution:** Implement steps for handling missing values (imputation, dropping rows/columns) and encoding categorical features (e.g., using `pd.get_dummies` or `sklearn.preprocessing` transformers) *before* the `train_test_split` or as part of a `Pipeline`.
5.  **No Stratification in `train_test_split`**
    *   **Problem:** For classification tasks, especially when classes are imbalanced (common in medical data), a simple random split might result in train and test sets having very different class distributions.
    *   **Explanation:** If, for example, the "diagnosis" column has 95% negative and 5% positive cases, a purely random split could put all 5% positive cases in the training set, leaving none for testing, or vice-versa, leading to unreliable model evaluation.
    *   **Solution:** Use the `stratify` parameter in `train_test_split`.
    ```python
    X_train, X_test, y_train, y_test = train_test_split(
        X, y, test_size=0.2, random_state=42, stratify=y # Add stratify=y
    )
    ```
6.  **Arbitrary Hyperparameter Choices (Magic Numbers for `k` and `n_estimators`)**
    *   **Problem:** `k=10` for `SelectKBest` and `n_estimators=100` for `RandomForestClassifier` are chosen without explanation or optimization.
    *   **Explanation:** These are hyperparameters that significantly impact model performance. Arbitrarily picking them rarely leads to the best model.
    *   **Solution:** These parameters should be tuned using techniques like Grid Search, Random Search, or Bayesian Optimization, often within a cross-validation framework.
7.  **Limited Model Evaluation (Only Accuracy)**
    *   **Problem:** The model is only evaluated using `accuracy_score`.
    *   **Explanation:** Accuracy can be a misleading metric, especially with imbalanced datasets. A model that predicts the majority class every time can achieve high accuracy while being useless.
    *   **Solution:** For classification tasks, consider additional metrics like:
        *   **Precision, Recall, F1-score:** Provide a more nuanced view, especially per class.
        *   **Confusion Matrix:** Shows types of errors (false positives, false negatives).
        *   **ROC AUC:** Useful for understanding classifier performance across various thresholds.
        *   **Classification Report:** (from `sklearn.metrics`) conveniently summarizes precision, recall, f1-score, and support for each class.
    ```python
    from sklearn.metrics import accuracy_score, classification_report, confusion_matrix
    # ...
    y_pred = model.predict(X_test)
    print(f"Accuracy: {accuracy_score(y_test, y_pred):.4f}")
    print("\nClassification Report:")
    print(classification_report(y_test, y_pred))
    print("\nConfusion Matrix:")
    print(confusion_matrix(y_test, y_pred))
    ```
8.  **No Cross-Validation for Robust Evaluation**
    *   **Problem:** The model is evaluated on a single train-test split.
    *   **Explanation:** A single split can lead to an optimistic or pessimistic estimate of the model's true performance due to the specific random sampling. The reported accuracy might not generalize well to unseen data.
    *   **Solution:** Use K-fold cross-validation (`sklearn.model_selection.KFold` or `cross_val_score`) to get a more robust estimate of model performance and its variance. This is also crucial when performing hyperparameter tuning.
9.  **Lack of Comments**
    *   **Problem:** The code has no comments explaining the purpose of different sections or complex logic.
    *   **Explanation:** While this specific script is relatively straightforward for an ML practitioner, good commenting practice improves readability, maintainability, and understanding for others (or your future self).
    *   **Solution:** Add comments where necessary, especially for non-obvious steps or design choices.
10. **Potential Data Leakage from Feature Selection without a Pipeline (Minor but important consideration)**
    *   **Problem:** While `fit_transform` on `X_train` and `transform` on `X_test` correctly prevents target leakage *from the test set*, if the feature selection step (or any preprocessing step) involves statistics calculated across the *entire* dataset *before* the train-test split, then there could be leakage.
    *   **Explanation:** In this specific code, the `SelectKBest` is applied *after* the `train_test_split`, so this particular form of leakage isn't happening here. However, it's a common pitfall. The best practice for complex pipelines is to use `sklearn.pipeline.Pipeline`.
    *   **Solution:** For more complex scenarios, wrapping preprocessing and modeling steps in an `sklearn.pipeline.Pipeline` ensures that each step is correctly applied only to the training data during `fit` and then transforms both training and test data during `transform`/`predict`, preventing common leakage issues.
    ```python
    from sklearn.pipeline import Pipeline
    from sklearn.preprocessing import StandardScaler # Example additional preprocessor
    # Example: If you had scaling or other steps
    # preprocessor = StandardScaler()
    pipeline = Pipeline([
        # ('preprocessor', preprocessor), # Add if needed
        ('feature_selector', SelectKBest(score_func=f_classif, k=10)),
        ('classifier', RandomForestClassifier(n_estimators=100, random_state=42))
    ])
    pipeline.fit(X_train, y_train)
    y_pred = pipeline.predict(X_test)
    ```
---
### Summary and Recommendations
The code demonstrates a basic functional ML pipeline, which is a good starting point. However, it lacks the robustness, data awareness, and best practices expected in a production or serious analytical context.
To improve it, prioritize:
1.  **Thorough Data Exploration and Cleaning:** Understand your data, handle missing values, and encode categorical features.
2.  **Robust Error Handling:** Anticipate and gracefully handle file I/O errors.
3.  **Use `stratify` in `train_test_split`:** Ensure representative splits for classification.
4.  **Hyperparameter Tuning with Cross-Validation:** Don't guess hyperparameters; optimize them using techniques like GridSearch or RandomSearch combined with cross-validation.
5.  **Comprehensive Model Evaluation:** Use multiple metrics beyond accuracy to get a complete picture of model performance.
6.  **Use `Pipeline`:** For cleaner and more robust workflow, especially with multiple preprocessing steps.
7.  **Constants for Magic Strings:** Improve readability and maintainability.
8.  **Comments:** Explain complex or non-obvious parts of the code.</t>
  </si>
  <si>
    <t>The given Python machine learning pipeline code appears to be free of data leakage. Here's a breakdown of the steps:
1. **Data Splitting**: The data is split into training and testing sets using `train_test_split` with `test_size=0.2`. This ensures that 20% of the data is held out as the test set, which is an appropriate step to evaluate the model's performance on unseen data.
2. **Feature Selection**: The feature selection with `SelectKBest` using ANOVA F-statistic (`f_classif`) is performed after the split. The feature selection is fitted only on the training set (`X_train, y_train`), and then the same transformation is applied to both `X_train` and `X_test` without using any information from the test labels (`y_test`). This is a correct practice as it prevents any data leakage from the test set during feature selection.
3. **Model Training and Testing**: The model, `RandomForestClassifier`, is trained using the features from the training set and the corresponding labels (`X_train, y_train`). It is then used to predict outcomes on the test set (`X_test`), which is correctly carried out without any influence from the test set labels during the training phase.
Overall, the pipeline follows appropriate procedures to ensure that no test data is used during training or feature selection, and no information about the target variable is included in feature selection that wouldn't be available at prediction time. Therefore, the code is free of data leakage.</t>
  </si>
  <si>
    <t>The provided Python machine learning pipeline code is largely structured correctly in terms of operations and the splitting of datasets into training and testing subsets. However, there is a potential area of concern that could lead to data leakage.
### Potential Data Leakage
The possible data leakage arises from the usage of `SelectKBest` with the `fit_transform` method on the training data before applying it to the testing data. While this implementation is typical, it is crucial to clarify how the feature selection procedure is carried out since it could indirectly introduce information from the test set during the feature selection process.
### Explanation of the Problem
1. **Feature Selection (`SelectKBest`)**:
   - The `.fit_transform(X_train, y_train)` method is correctly applied to `X_train`. However, when fitting the selector, it calculates the feature scores based on both the training data and the corresponding labels.
   - After fitting, the transformed training data is then created. This part is fine. The concern comes in when you apply the `.transform(X_test)` method on `X_test`. 
   - If, for any reason, the feature selection is influenced by global statistics rather than being strictly based on the training data, information from the test data could inadvertently affect model training if the selector is improperly applied.
### How to Fix It
To avoid potential data leakage during feature selection, you should ensure that any selection or preprocessing steps are strictly confined to the training data. One way to do this is to include the selection and transformation steps within a pipeline. Here’s how you can implement it:
```python
from sklearn.pipeline import Pipeline
from sklearn.compose import ColumnTransformer
# Assuming categorical features are not included in numeric features
numeric_features = X.select_dtypes(include=['int64', 'float64']).columns
# Assume that all features in this case are numeric.
preprocessor = ColumnTransformer(
    transformers=[
        ('num', 'passthrough', numeric_features)
    ],
    remainder='drop'  # Drop categorical or other features if needed
)
pipeline = Pipeline(steps=[
    ('selector', SelectKBest(score_func=f_classif, k=10)),
    ('classifier', RandomForestClassifier(n_estimators=100, random_state=42))
])
pipeline.fit(X_train, y_train)
y_pred = pipeline.predict(X_test)
print(f"Accuracy: {accuracy_score(y_test, y_pred):.4f}")
```
### Summary
In conclusion, the original structure has the potential for data leakage through the fitting of `SelectKBest`. Proper implementation of preprocessing steps within a pipeline ensures that all transformations are done correctly, maintaining the integrity of the training and testing data separation. Thus, while the code is not explicitly leaking information, care should be taken with feature selection, and a robust method to pipeline operations is recommended to avoid any indirect leakage.</t>
  </si>
  <si>
    <t>## Code Review: Data Leakage Analysis
### Verdict: **No Data Leakage Found**
This pipeline correctly handles the major sources of data leakage. Here's a detailed breakdown of why each step is sound.
---
### What the Code Gets Right
#### 1. Train/Test Split Happens First
```python
X_train, X_test, y_train, y_test = train_test_split(
    X, y, test_size=0.2, random_state=42
)
```
The split occurs **before** any data-dependent transformation, which is the most fundamental requirement. Test data has no influence on anything that follows.
#### 2. Feature Selection is Fit Only on Training Data
```python
selector = SelectKBest(score_func=f_classif, k=10)
X_train = selector.fit_transform(X_train, y_train)  # fit on train only
X_test = selector.transform(X_test)                  # only applied to test
```
This is the **most common mistake** in pipelines using feature selection, and this code handles it correctly:
- `fit_transform` on training data — feature scores are computed using only training samples and their labels
- `transform` on test data — the **same** pre-selected features are applied, but test data did not influence *which* features were chosen
#### 3. Model is Fit Only on Training Data
```python
model.fit(X_train, y_train)
y_pred = model.predict(X_test)
```
Standard and correct. The model never sees `y_test` during training.
---
### Potential Concerns Worth Noting
While not data leakage in the strict sense, consider these in a production context:
| Concern | Description |
|---|---|
| **No cross-validation** | A single 80/20 split gives a high-variance accuracy estimate. Consider `cross_val_score` for more reliable evaluation. |
| **No scaling** | Random Forests don't require it, but if a scaler were added later, it would need the same `fit`/`transform` discipline. |
| **No preprocessing pipeline** | Using `sklearn.pipeline.Pipeline` would make the correct fit/transform separation *structurally enforced*, reducing human error risk. |
---
### Recommended Refactor (Defensive Best Practice)
Using a `Pipeline` object makes leakage structurally impossible for the contained steps:
```python
from sklearn.pipeline import Pipeline
pipe = Pipeline([
    ('selector', SelectKBest(score_func=f_classif, k=10)),
    ('model', RandomForestClassifier(n_estimators=100, random_state=42))
])
pipe.fit(X_train, y_train)
y_pred = pipe.predict(X_test)
print(f"Accuracy: {accuracy_score(y_test, y_pred):.4f}")
```
This produces identical results but makes it **impossible** to accidentally call `fit` on test data, and integrates cleanly with `GridSearchCV` or `cross_val_score` without introducing leakage.
---
### Summary
The code as written is **methodologically correct**. The critical discipline of fitting transformers only on training data and applying them to test data is properly followed.</t>
  </si>
  <si>
    <t># Data Leakage Review
## ✅ **This code is FREE of data leakage.**
The pipeline correctly implements proper train/test separation. Here's why it's done right:
### Correct Practices:
1. **Train/Test Split First**
   ```python
   X_train, X_test, y_train, y_test = train_test_split(X, y, test_size=0.2, random_state=42)
   ```
   Data is split *before* any feature engineering or selection.
2. **Feature Selection Fit Only on Training Data**
   ```python
   selector = SelectKBest(score_func=f_classif, k=10)
   X_train = selector.fit_transform(X_train, y_train)  # ✓ Fit on training only
   X_test = selector.transform(X_test)                 # ✓ Transform test with training parameters
   ```
   The selector learns which features are most important using *only* the training set. The test set is then transformed using these pre-learned parameters—simulating the real-world scenario where you don't know anything about test data when building your feature selector.
3. **Model Training on Properly Processed Data**
   ```python
   model.fit(X_train, y_train)  # ✓ Trained on training data only
   y_pred = model.predict(X_test)
   ```
### Why This Matters:
If you had done `selector.fit_transform(X, y)` on the *full* dataset before splitting, the feature selector would have seen statistics from the test set, giving it unfair information about which features are most predictive. This would artificially inflate your accuracy score.
**Conclusion:** This is a properly constructed pipeline with correct data separation practices.</t>
  </si>
  <si>
    <t>After reviewing the provided Python machine learning pipeline code, I can confidently state that **this code is free of data leakage.**
Here's a breakdown of why, step-by-step:
1.  **Data Splitting (`train_test_split`):**
    *   `X_train, X_test, y_train, y_test = train_test_split(X, y, test_size=0.2, random_state=42)`
    *   This is the critical first step to prevent leakage. The data is explicitly split into training and testing sets *before* any model training or feature engineering steps that rely on the target variable. This ensures that the test set remains completely unseen during the learning process.
2.  **Feature Selection (`SelectKBest`):**
    *   `selector = SelectKBest(score_func=f_classif, k=10)`
    *   `X_train = selector.fit_transform(X_train, y_train)`
    *   `X_test = selector.transform(X_test)`
    *   The `SelectKBest` object is `fit` *only* on `X_train` and `y_train`. This means that the statistical scores (`f_classif`) used to determine the "best" features are calculated using information *only* from the training data. The decision of which 10 features to keep is made solely based on the training set's relationship between features and the target.
    *   Crucially, `selector.transform(X_test)` then applies *the exact same feature selection* (i.e., it selects the same 10 features that were identified from the training set) to the test set. It does *not* re-calculate feature importance using `y_test`. This is the correct way to handle feature selection to avoid leakage. If `selector.fit_transform(X_test, y_test)` had been called, that would have been a form of leakage.
3.  **Model Training (`RandomForestClassifier`):**
    *   `model = RandomForestClassifier(n_estimators=100, random_state=42)`
    *   `model.fit(X_train, y_train)`
    *   The `RandomForestClassifier` is trained *only* on the `X_train` and `y_train` data (which has already undergone feature selection based on training data). This ensures that the model learns its patterns and parameters exclusively from the training set.
4.  **Prediction and Evaluation:**
    *   `y_pred = model.predict(X_test)`
    *   `print(f"Accuracy: {accuracy_score(y_test, y_pred):.4f}")`
    *   Predictions are made on the unseen `X_test` data, and the model's performance is evaluated against the true `y_test` values. This is the standard, non-leaking way to assess a model's generalization ability.
In summary, the sequential steps of splitting data, fitting preprocessors (like feature selectors) *only* on the training data, transforming both training and test data using the fitted preprocessor, and then training the model *only* on the processed training data, correctly prevent any information from the test set from influencing the learning process.</t>
  </si>
  <si>
    <t>The provided Python code is a basic implementation of a machine learning model, using Logistic Regression to predict the "readmitted" status from a dataset. However, there are several issues or potential improvements in terms of bugs, performance, and Python best practices:
1. **Missing Data Imputation and Data Leakage**:
   - Imputing missing values using the mean or median of the entire dataset before splitting into training and testing sets might lead to data leakage. It's better to calculate the mean or median from the training set (`X_train`) only and then apply it to both `X_train` and `X_test`. This ensures the model doesn't get a peep at the testing data indirectly.
2. **Handling Categorical Variables**:
   - The code doesn't account for the presence of categorical variables in the dataset, which could lead to errors when trying to fit the Logistic Regression model. If there are any categorical features, they need to be encoded using techniques like one-hot encoding prior to model fitting.
3. **Feature Scaling**:
   - Logistic Regression might perform better with normalized or standardized data, especially when age, blood pressure, and cholesterol have different scales. Applying `StandardScaler` from `sklearn.preprocessing` could improve model performance.
4. **Check for Multicollinearity**:
   - Although this isn't a direct issue in the code, checking for multicollinearity among features and possibly removing/transforming one of the correlated features might be beneficial for model interpretability and performance.
5. **No Validation Set**:
   - While not strictly necessary, having a separate validation set can help in tuning hyperparameters or validating the selected model. Alternatively, using cross-validation can give a better estimate of model performance.
6. **Hardcoded File Path**:
   - The CSV file path "patients.csv" assumes the file is in the script's current working directory, which might not always be the case. It's often helpful to use command-line arguments, environment variables, or configuration files to handle file paths.
7. **Potential Imbalance in the Dataset**:
   - The `readmitted` outcome could be imbalanced. Evaluating the distribution before modeling and using metrics beyond accuracy (like precision, recall, F1-score, or AUC-ROC) would provide a more comprehensive overview of model performance.
8. **Using Print Statements for Logging**:
   - Instead of using `print` statements, consider utilizing the Python `logging` module for better control over logging levels and output formats.
9. **No Hyperparameter Tuning**:
   - The choice of `max_iter=1000` may not be optimal without testing other values. Using `GridSearchCV` or `RandomizedSearchCV` from `sklearn.model_selection` allows you to find the best hyperparameters for your model.
By addressing these issues, the code can be made more robust, interpretable, and performant.</t>
  </si>
  <si>
    <t>The provided Python code is mostly correct in its structure and functionality, but there are several potential issues, bugs, and bad practices to address. Below is a review, including explanations for each identified problem:
1. **Handling Missing Values Without Checking**:
    - **Problem**: The code uses the mean and median to fill missing values without first checking if any columns contain missing values.
    - **Explanation**: If there are no missing values, calling `fillna` is unnecessary and could lead to confusion about the data. It is a good practice to check for missing values before filling them:
      ```python
      print(X.isnull().sum())  # To check for missing values
      ```
2. **Modifying DataFrame Directly**:
    - **Problem**: The code modifies the DataFrame `X` directly (using `inplace=True`).
    - **Explanation**: Directly modifying the DataFrame can lead to unintended side effects and can make debugging more difficult. It might be safer to create a copy of the DataFrame or return a new DataFrame with filled values. For example:
      ```python
      X["age"] = X["age"].fillna(X["age"].mean())
      ```
3. **Misinterpretation of Categorical Data**:
    - **Problem**: The code does not handle categorical variables, which may cause the `LogisticRegression` model to fail or produce incorrect results.
    - **Explanation**: If `readmitted` or any other features are categorical, they need to be encoded properly (e.g., using one-hot encoding or label encoding) before training the model. Sklearn's `LogisticRegression` does not handle non-numeric data directly.
4. **Split Before Preprocessing**:
    - **Problem**: The train-test split is done before preprocessing the data (filling missing values).
    - **Explanation**: It is generally better practice to perform preprocessing on the entire dataset before splitting. This ensures that information from the test set does not leak into the training process, and also keeps the preprocessing steps consistent across both sets.
5. **Lack of Pipeline Implementation**:
    - **Problem**: The code does not utilize a machine learning pipeline.
    - **Explanation**: Using `Pipeline` from `sklearn.pipeline` is recommended because it encapsulates the process of data preprocessing, feature transformation, and model training in a single object, making the code cleaner and more maintainable.
6. **Hard-coded CSV Filename**:
    - **Problem**: The filename "patients.csv" is hard-coded.
    - **Explanation**: This makes the code less flexible. Consider passing the filename as an argument to the script or using a configuration file. This allows for easier testing and modifications.
7. **Potential for Overfitting**:
    - **Problem**: The model is trained without any validation or hyperparameter tuning.
    - **Explanation**: While the implementation runs, it doesn’t use methods to select optimal model parameters or perform validation (such as cross-validation), which can lead to overfitting or poor generalization.
8. **Lack of Exception Handling**:
    - **Problem**: The code does not include error handling when reading the CSV file.
    - **Explanation**: If the file does not exist or is in the wrong format, it will raise an unhandled exception. You can improve robustness by adding try-except blocks:
      ```python
      try:
          df = pd.read_csv("patients.csv")
      except FileNotFoundError:
          print("File not found.")
          # Handle appropriately
      ```
By addressing these issues, the code will become more robust, maintainable, and better suited for production-level work in machine learning.</t>
  </si>
  <si>
    <t>## Code Review: Patient Readmission Classifier
### Summary of Issues Found
This code has several significant problems spanning data leakage, deprecated API usage, robustness, and evaluation correctness. Here's a thorough breakdown:
---
### 1. Data Leakage — Imputation Before Splitting (Critical)
```python
# PROBLEM: Imputing on full dataset before splitting
X["age"].fillna(X["age"].mean(), inplace=True)
X["blood_pressure"].fillna(X["blood_pressure"].median(), inplace=True)
X["cholesterol"].fillna(X["cholesterol"].mean(), inplace=True)
X_train, X_test, y_train, y_test = train_test_split(...)
```
**Why it's wrong:** Computing the mean/median on the entire dataset (including test rows) and using those statistics to fill missing values leaks test set information into training. The model indirectly "sees" the test data during training, producing optimistically biased evaluation metrics.
```python
# CORRECT: Split first, then impute using only training statistics
from sklearn.impute import SimpleImputer
from sklearn.pipeline import Pipeline
from sklearn.preprocessing import StandardScaler
X_train, X_test, y_train, y_test = train_test_split(
    X, y, test_size=0.2, random_state=42, stratify=y
)
# Fit imputer ONLY on training data, then transform both sets
imputer = SimpleImputer(strategy="mean")
X_train_imputed = imputer.fit_transform(X_train)
X_test_imputed = imputer.transform(X_test)  # uses training statistics only
```
---
### 2. Deprecated `inplace=True` with Chained Indexing (Bug Risk)
```python
# PROBLEM: May trigger SettingWithCopyWarning or silently fail
X["age"].fillna(X["age"].mean(), inplace=True)
```
**Why it's wrong:** `X` was created via `df.drop(...)`, which may return a view or a copy depending on pandas internals. Using `inplace=True` on a potentially copied DataFrame is unreliable. Additionally, `fillna(..., inplace=True)` is deprecated in newer pandas versions.
```python
# CORRECT: Explicit reassignment (clear and future-proof)
X["age"] = X["age"].fillna(X["age"].mean())
# Or better yet, use a pipeline (see fix #1)
```
---
### 3. Missing `stratify` Parameter — Class Imbalance Risk
```python
# PROBLEM: No stratification
X_train, X_test, y_train, y_test = train_test_split(
    X, y, test_size=0.2, random_state=42
)
```
**Why it's wrong:** Medical datasets commonly have imbalanced classes (e.g., far fewer readmitted patients). Without `stratify=y`, the class distribution in train and test sets may differ significantly, causing unreliable evaluation.
```python
# CORRECT: Preserve class distribution in both splits
X_train, X_test, y_train, y_test = train_test_split(
    X, y, test_size=0.2, random_state=42, stratify=y
)
```
---
### 4. Accuracy Is a Misleading Metric for Medical/Imbalanced Data
```python
# PROBLEM: Accuracy alone is insufficient
print(f"Accuracy: {accuracy_score(y_test, y_pred):.4f}")
```
**Why it's wrong:** If only 10% of patients are readmitted, a model predicting "never readmitted" achieves 90% accuracy while being clinically useless. In healthcare, false negatives (missing actual readmissions) are especially costly.
```python
# CORRECT: Use a comprehensive set of metrics
from sklearn.metrics import (
    classification_report,
    roc_auc_score,
    confusion_matrix,
    ConfusionMatrixDisplay
)
print(classification_report(y_test, y_pred))
print(f"ROC-AUC: {roc_auc_score(y_test, model.predict_proba(X_test)[:, 1]):.4f}")
cm = confusion_matrix(y_test, y_pred)
ConfusionMatrixDisplay(cm).plot()
```
---
### 5. No Feature Scaling for Logistic Regression
```python
# PROBLEM: No scaling applied before logistic regression
model = LogisticRegression(max_iter=1000)
model.fit(X_train, y_train)
```
**Why it's wrong:** Logistic Regression uses gradient-based optimization that is sensitive to feature magnitude. Features like `age` (0–100) and `blood_pressure` (60–180) on different scales cause slow convergence or suboptimal coefficients.
```python
# CORRECT: Scale features (ideally inside a pipeline to prevent leakage)
from sklearn.pipeline import Pipeline
from sklearn.preprocessing import StandardScaler
pipeline = Pipeline([
    ("imputer", SimpleImputer(strategy="mean")),
    ("scaler", StandardScaler()),
    ("classifier", LogisticRegression(max_iter=1000))
])
pipeline.fit(X_train, y_train)
y_pred = pipeline.predict(X_test)
```
---
### 6. No Handling of Non-Numeric Features
```python
# PROBLEM: Assumes all columns are numeric
X = df.drop("readmitted", axis=1)
```
**Why it's wrong:** A patient dataset likely contains categorical columns like `gender`, `diagnosis_code`, or `admission_type`. Passing these directly to `LogisticRegression` will raise a `ValueError`.
```python
# CORRECT: Encode categoricals explicitly
from sklearn.compose import ColumnTransformer
from sklearn.preprocessing import OneHotEncoder
numeric_features = ["age", "blood_pressure", "cholesterol"]
categorical_features = ["gender", "admission_type"]
preprocessor = ColumnTransformer([
    ("num", SimpleImputer(strategy="mean"), numeric_features),
    ("cat", OneHotEncoder(handle_unknown="ignore"), categorical_features),
])
```
---
### 7. No Error Handling for File Loading
```python
# PROBLEM: Crashes with an unhelpful traceback if file is missing
df = pd.read_csv("patients.csv")
```
```python
# CORRECT: Fail with a clear, actionable message
import sys
try:
    df = pd.read_csv("patients.csv")
except FileNotFoundError:
    sys.exit("Error: 'patients.csv' not found. Check the file path.")
except pd.errors.EmptyDataError:
    sys.exit("Error: 'patients.csv' is empty.")
```
---
### Recommended Refactored Version
```python
import sys
import pandas as pd
from sklearn.model_selection import train_test_split
from sklearn.linear_model import LogisticRegression
from sklearn.metrics import classification_report, roc_auc_score
from sklearn.impute import SimpleImputer
from sklearn.preprocessing import StandardScaler
from sklearn.pipeline import Pipeline
# 1. Safe data loading
try:
    df = pd.read_csv("patients.csv")
except FileNotFoundError:
    sys.exit("Error: 'patients.csv' not found.")
X = df.drop("readmitted", axis=1)
y = df["readmitted"]
# 2. Split BEFORE any fitting — stratify to handle imbalance
X_train, X_test, y_train, y_test = train_test_split(
    X, y, test_size=0.2, random_state=42, stratify=y
)
# 3. Pipeline prevents leakage, handles scaling and imputation cleanly
pipeline = Pipeline([
    ("imputer", SimpleImputer(strategy="mean")),
    ("scaler", StandardScaler()),
    ("classifier", LogisticRegression(max_iter=1000)),
])
pipeline.fit(X_train, y_train)
y_pred = pipeline.predict(X_test)
# 4. Comprehensive evaluation
print(classification_report(y_test</t>
  </si>
  <si>
    <t># Code Review: Issues and Problems
## 1. **Data Leakage (Critical)**
```python
X["age"].fillna(X["age"].mean(), inplace=True)
```
**Problem:** Imputation statistics are calculated on the entire dataset before splitting. This means the test set influences the training data, causing data leakage.
**Fix:** Fit the imputer only on training data, then apply to both sets:
```python
from sklearn.impute import SimpleImputer
imputer = SimpleImputer(strategy='mean')
X_train = imputer.fit_transform(X_train)
X_test = imputer.transform(X_test)
```
---
## 2. **Inconsistent Imputation Strategies**
```python
X["age"].fillna(X["age"].mean(), inplace=True)
X["blood_pressure"].fillna(X["blood_pressure"].median(), inplace=True)
X["cholesterol"].fillna(X["cholesterol"].mean(), inplace=True)
```
**Problem:** Using `mean()` for some columns and `median()` for others without justification. This is inconsistent and unmaintainable.
**Fix:** Use consistent strategies or document why they differ.
---
## 3. **No Categorical Variable Handling**
**Problem:** If the CSV contains categorical features (likely in medical data), they won't be encoded. LogisticRegression requires numerical input.
**Fix:** Add encoding:
```python
from sklearn.preprocessing import LabelEncoder
# Or use OneHotEncoder for nominal variables
```
---
## 4. **No Feature Scaling**
**Problem:** LogisticRegression uses regularization by default, which is affected by feature scale. Unscaled features can lead to suboptimal results.
**Fix:**
```python
from sklearn.preprocessing import StandardScaler
scaler = StandardScaler()
X_train = scaler.fit_transform(X_train)
X_test = scaler.transform(X_test)
```
---
## 5. **Insufficient Evaluation Metrics**
```python
print(f"Accuracy: {accuracy_score(y_test, y_pred):.4f}")
```
**Problem:** Accuracy alone is insufficient, especially for imbalanced datasets. No precision, recall, F1-score, or confusion matrix.
**Fix:**
```python
from sklearn.metrics import classification_report, confusion_matrix
print(classification_report(y_test, y_pred))
print(confusion_matrix(y_test, y_pred))
```
---
## 6. **No Input Validation**
**Problem:** No checks for file existence, missing columns, or data quality issues before processing.
**Fix:**
```python
if not os.path.exists("patients.csv"):
    raise FileNotFoundError("patients.csv not found")
required_columns = ["readmitted", "age", "blood_pressure", "cholesterol"]
if not all(col in df.columns for col in required_columns):
    raise ValueError("Missing required columns")
```
---
## 7. **Magic String/Number**
**Problem:** Hardcoded filenames and parameters without explanation:
```python
df = pd.read_csv("patients.csv")
test_size=0.2
max_iter=1000
```
**Fix:**
```python
DATA_FILE = "patients.csv"
TEST_SIZE = 0.2
MAX_ITERATIONS = 1000
```
---
## 8. **Unused Imports (Minor)**
**Problem:** All imports are used, so this is acceptable.
---
## Corrected Code Example:
```python
import pandas as pd
from sklearn.model_selection import train_test_split
from sklearn.linear_model import LogisticRegression
from sklearn.preprocessing import StandardScaler, LabelEncoder
from sklearn.metrics import accuracy_score, classification_report
import os
DATA_FILE = "patients.csv"
TEST_SIZE = 0.2
RANDOM_STATE = 42
# Load and validate
if not os.path.exists(DATA_FILE):
    raise FileNotFoundError(f"{DATA_FILE} not found")
df = pd.read_csv(DATA_FILE)
X = df.drop("readmitted", axis=1)
y = df["readmitted"]
# Split BEFORE preprocessing
X_train, X_test, y_train, y_test = train_test_split(
    X, y, test_size=TEST_SIZE, random_state=RANDOM_STATE
)
# Impute on training data only
from sklearn.impute import SimpleImputer
imputer = SimpleImputer(strategy='mean')
X_train = imputer.fit_transform(X_train)
X_test = imputer.transform(X_test)
# Scale on training data only
scaler = StandardScaler()
X_train = scaler.fit_transform(X_train)
X_test = scaler.transform(X_test)
# Train and evaluate
model = LogisticRegression(max_iter=1000, random_state=RANDOM_STATE)
model.fit(X_train, y_train)
y_pred = model.predict(X_test)
print(f"Accuracy: {accuracy_score(y_test, y_pred):.4f}")
print(classification_report(y_test, y_pred))
```</t>
  </si>
  <si>
    <t>This Python code provides a basic machine learning workflow, but it has several significant issues, bugs, and bad practices, particularly concerning data preprocessing and evaluation.
Here's a breakdown of the problems:
### Critical Issues &amp; Bugs
1.  **Data Leakage during Imputation:**
    *   **Problem:** The missing value imputation (`fillna`) is performed on the *entire dataset* (`X`) *before* the train-test split. This means that the mean/median values calculated for "age", "blood_pressure", and "cholesterol" include information from the data that will eventually become the test set.
    *   **Why it's a problem:** This leaks information from the test set into the training process, giving the model an unfair advantage and leading to an optimistically biased performance estimate on the test set. The model's real-world performance will likely be worse than what's reported.
    *   **Solution:** Imputation (and any other preprocessing like scaling) should be fitted *only* on the training data and then applied to both the training and test data. The best practice is to use a `Pipeline` from scikit-learn.
    ```python
    # BAD:
    # X["age"].fillna(X["age"].mean(), inplace=True)
    # X["blood_pressure"].fillna(X["blood_pressure"].median(), inplace=True)
    # X["cholesterol"].fillna(X["cholesterol"].mean(), inplace=True)
    # X_train, X_test, y_train, y_test = train_test_split(X, y, test_size=0.2, random_state=42)
    # GOOD (Manual way):
    X_train, X_test, y_train, y_test = train_test_split(X, y, test_size=0.2, random_state=42)
    # Calculate imputation values ONLY on X_train
    age_mean = X_train["age"].mean()
    bp_median = X_train["blood_pressure"].median()
    chol_mean = X_train["cholesterol"].mean()
    # Apply imputation to both X_train and X_test
    X_train["age"].fillna(age_mean, inplace=True)
    X_train["blood_pressure"].fillna(bp_median, inplace=True)
    X_train["cholesterol"].fillna(chol_mean, inplace=True)
    X_test["age"].fillna(age_mean, inplace=True)
    X_test["blood_pressure"].fillna(bp_median, inplace=True)
    X_test["cholesterol"].fillna(chol_mean, inplace=True)
    # EVEN BETTER (Using Pipeline - see "Best Practices" section below)
    ```
2.  **Inappropriate Evaluation Metric for Potentially Imbalanced Data:**
    *   **Problem:** The code solely uses `accuracy_score`. While accuracy is intuitive, it can be highly misleading, especially in classification problems where one class significantly outnumbers the other (imbalanced dataset). For example, if only 5% of patients are readmitted, a model that simply predicts "not readmitted" for every patient would achieve 95% accuracy, but it would be useless for identifying actual readmissions.
    *   **Why it's a problem:** It might hide a poorly performing model, especially for the minority class, which is often the class of interest (e.g., detecting fraud, disease, or readmission).
    *   **Solution:** Consider other metrics like `precision`, `recall`, `f1_score`, `roc_auc_score`, and `confusion_matrix`. The choice of metric depends on the specific problem and the relative costs of false positives vs. false negatives.
3.  **Missing Feature Scaling:**
    *   **Problem:** Logistic Regression (like many linear models, SVMs, neural networks) is sensitive to the scale of input features. If features like "age", "blood_pressure", and "cholesterol" have vastly different ranges, the optimization algorithm might struggle to converge efficiently or might give undue importance to features with larger scales.
    *   **Why it's a problem:** Can lead to slower convergence, a less optimal model, or numerical instability.
    *   **Solution:** Features should be scaled (e.g., using `StandardScaler` or `MinMaxScaler`) *after* the train-test split and *after* imputation, as part of the preprocessing pipeline.
### Bad Practices &amp; Improvements
1.  **Hardcoded Values (Filenames, Column Names):**
    *   **Problem:** The filename ("patients.csv") and column names ("readmitted", "age", "blood_pressure", "cholesterol") are hardcoded directly in the script.
    *   **Why it's a problem:** Makes the code less flexible, harder to reuse for different datasets or if column names change, and prone to errors if the file/column doesn't exist.
    *   **Solution:** Define these as variables or configuration constants at the top of the script, or pass them as arguments to a function.
    ```python
    DATA_FILE = "patients.csv"
    TARGET_COLUMN = "readmitted"
    NUMERIC_COLS_TO_IMPUTE = ["age", "blood_pressure", "cholesterol"]
    df = pd.read_csv(DATA_FILE)
    X = df.drop(TARGET_COLUMN, axis=1)
    y = df[TARGET_COLUMN]
    # ... and use these variables throughout
    ```
2.  **Lack of Error Handling:**
    *   **Problem:** If `patients.csv` doesn't exist, `pd.read_csv` will raise a `FileNotFoundError` and crash. If `"readmitted"` column doesn't exist, `df.drop` or `df["readmitted"]` will raise a `KeyError`.
    *   **Why it's a problem:** Makes the script fragile and not robust to unexpected input.
    *   **Solution:** Use `try-except` blocks for file operations and check for column existence.
3.  **Use of `inplace=True`:**
    *   **Problem:** While often seemingly harmless, using `inplace=True` with pandas operations can sometimes lead to unexpected behavior, especially when dealing with chained assignments or views vs. copies of DataFrames (can trigger `SettingWithCopyWarning`).
    *   **Why it's a problem:** It modifies the DataFrame directly, making debugging harder and potentially causing subtle bugs if you're not absolutely sure if you're working on a copy or a view.
    *   **Solution:** It's generally safer and more explicit to assign the result of the operation back to the DataFrame.
    ```python
    # BAD:
    # X_train["age"].fillna(age_mean, inplace=True)
    # GOOD:
    X_train["age"] = X_train["age"].fillna(age_mean)
    ```
4.  **No Cross-Validation:**
    *   **Problem:** The code uses a single train-test split.
    *   **Why it's a problem:** The performance estimate obtained from a single split can be highly dependent on the particular random split of the data. It might not be representative of the model's true generalization ability and doesn't give an idea of the variance in performance.
    *   **Solution:** Implement k-fold cross-validation (`KFold` or `StratifiedKFold` from `sklearn.model_selection`) to get a more robust estimate of model performance.
5.  **No Stratification in Train-Test Split (Likely for Imbalanced Data):**
    *   **Problem:** If the `readmitted` column (the target `y`) is imbalanced, a simple `train_test_split` might result in training and testing sets with significantly different class distributions.
    *   **Why it's a problem:** This can lead to a less representative test set and a model that trains on a distribution different from what it's tested on.
    *   **Solution:** Add `stratify=y` to `train_test_split` to ensure that the proportion of samples for each class is roughly the same in both the training and test sets.
    ```python
    X_train, X_test, y_train, y_test = train_test_split(
        X, y, test_size=0.2, random_state=42, stratify=y # Add stratify
    )
    ```
6.  **No Hyperparameter Tuning:**
    *   **Problem:** Only `max_iter` is set for `LogisticRegression`. Other important hyperparameters (like `C`, `solver`, etc.) are left at their defaults.
    *   **Why it's a problem:** Default hyperparameters are not always optimal for a given dataset, potentially leading to suboptimal model performance.
    *   **Solution:** Use techniques like `GridSearchCV` or `RandomizedSearchCV` from scikit-learn to systematically search for the best hyperparameters.
### Best Practices &amp; Further Improvements
1.  **Use Scikit-learn Pipelines:**
    *   This is the recommended way to combine preprocessing steps (like imputation, scaling) and a model into a single estimator. It correctly handles data leakage by ensuring that `fit` is only called on training data, and `transform` (and `predict`) are applied consistently.
    *   **Example:**
        ```python
        from sklearn.pipeline import Pipeline
        from sklearn.impute import SimpleImputer
        from sklearn.preprocessing import StandardScaler
        # Define preprocessing steps
        numeric_transformer = Pipeline(steps=[
            ('imputer', SimpleImputer(strategy='mean')), # Or median
            ('scaler', StandardScaler())
        ])
        # Combine preprocessing and model
        model_pipeline = Pipeline(steps=[
            ('preprocessor', numeric_transformer), # For all numeric features
            ('classifier', LogisticRegression(max_iter=1000))
        ])
        # Fit the pipeline on training data
        model_pipeline.fit(X_train, y_train)
        # Make predictions
        y_pred = model_pipeline.predict(X_test)
        ```
        *Note: This example assumes all features in `X` are numeric and need the same imputation/scaling. For more complex scenarios with different types of features, you'd use `ColumnTransformer` within the `preprocessor` step.*
2.  **More Descriptive Variable Names:** `X` and `y` are standard in ML, but sometimes `features` and `target` can be more readable for newcomers.
3.  **Comments and Documentation:** Add comments to explain complex logic or design choices, especially for the mixed imputation strategies (mean vs. median).
In summary, the most critical issues are **data leakage during imputation** and the **sole reliance on accuracy as an evaluation metric**. Addressing these, along with implementing a robust preprocessing pipeline and considering cross-validation, will significantly improve the reliability and trustworthiness of the model.</t>
  </si>
  <si>
    <t>The code provided does contain a form of data leakage. The issue arises in the preprocessing step where missing values are filled before the dataset is split into training and testing sets:
```python
X["age"].fillna(X["age"].mean(), inplace=True)
X["blood_pressure"].fillna(X["blood_pressure"].median(), inplace=True)
X["cholesterol"].fillna(X["cholesterol"].mean(), inplace=True)
```
Here, the means and medians used to fill the missing values are calculated using the entire dataset (both training and test data) before the `train_test_split` operation. This means that information from the test set influences these imputation values, which should be determined solely based on the training data. As a result, characteristics of the test data are inadvertently leaked into the training process, which can lead to overly optimistic performance estimates because the model has indirect access to the test data information during training.
To avoid this data leakage, you should move the imputation process to occur after the train-test split and only use the training data to calculate the required statistics (mean and median). Here is how you can correct it:
```python
# Split the data first to avoid leakage
X_train, X_test, y_train, y_test = train_test_split(
    X, y, test_size=0.2, random_state=42
)
# Fill missing values using only the training data
X_train["age"].fillna(X_train["age"].mean(), inplace=True)
X_train["blood_pressure"].fillna(X_train["blood_pressure"].median(), inplace=True)
X_train["cholesterol"].fillna(X_train["cholesterol"].mean(), inplace=True)
# Use the same values from the training data to fill the test set
X_test["age"].fillna(X_train["age"].mean(), inplace=True)
X_test["blood_pressure"].fillna(X_train["blood_pressure"].median(), inplace=True)
X_test["cholesterol"].fillna(X_train["cholesterol"].mean(), inplace=True)
# Proceed with model fitting and evaluation
model = LogisticRegression(max_iter=1000)
model.fit(X_train, y_train)
y_pred = model.predict(X_test)
print(f"Accuracy: {accuracy_score(y_test, y_pred):.4f}")
```
By making these changes, the model's evaluation will yield a more accurate reflection of its performance on unseen data.</t>
  </si>
  <si>
    <t>The provided Python machine learning pipeline code contains data leakage due to the way in which missing values are handled before the split into training and test sets. Here’s a detailed breakdown of the issue:
### Identified Data Leakage
1. **Imputation Before Train-Test Split**:
   - In the code, the missing values in the features `age`, `blood_pressure`, and `cholesterol` are filled using the mean or median of the respective columns **before** the data is split into training and test sets:
     ```python
     X["age"].fillna(X["age"].mean(), inplace=True)
     X["blood_pressure"].fillna(X["blood_pressure"].median(), inplace=True)
     X["cholesterol"].fillna(X["cholesterol"].mean(), inplace=True)
     ```
   - Here, the mean and median of the entire dataset (which includes both training and test samples) are being used to fill in missing values. This means that information from the test set is leaking into the training set because the mean and median will be influenced by the test data.
### Why It Is a Problem
- **Test Set Integrity**: The purpose of having a test set is to evaluate the model's performance on unseen data. When information from the test set is used during the training process, it can lead to overly optimistic performance metrics that do not reflect the model’s capabilities when deployed in real-world scenarios.
- **Model Generalization**: If the model has been trained using information that it would not actually have access to when making predictions, it may not generalize well to new, unseen data, resulting in poor performance when applied outside of the training and test sample used in this pipeline.
### Suggested Solution
To avoid data leakage, imputation of missing values should be performed after the data has been split into training and test sets. Here is how you can adjust the code:
```python
X_train, X_test, y_train, y_test = train_test_split(
    X, y, test_size=0.2, random_state=42
)
# Imputation should be done after the train-test split
from sklearn.impute import SimpleImputer
# Create imputer objects for age, blood pressure, and cholesterol
imputer_age = SimpleImputer(strategy='mean')
imputer_bp = SimpleImputer(strategy='median')
imputer_chol = SimpleImputer(strategy='mean')
# Fit and transform on the training data
X_train["age"] = imputer_age.fit_transform(X_train[["age"]])
X_train["blood_pressure"] = imputer_bp.fit_transform(X_train[["blood_pressure"]])
X_train["cholesterol"] = imputer_chol.fit_transform(X_train[["cholesterol"]])
# Transform the test data using the fitted imputer
X_test["age"] = imputer_age.transform(X_test[["age"]])
X_test["blood_pressure"] = imputer_bp.transform(X_test[["blood_pressure"]])
X_test["cholesterol"] = imputer_chol.transform(X_test[["cholesterol"]])
# Train the model on the training set
model = LogisticRegression(max_iter=1000)
model.fit(X_train, y_train)
# Make predictions and evaluate
y_pred = model.predict(X_test)
print(f"Accuracy: {accuracy_score(y_test, y_pred):.4f}")
```
This adjustment ensures that the imputation process utilizes only the data from the training set when fitting, thereby preserving the integrity of the test set and mitigating the risk of data leakage.</t>
  </si>
  <si>
    <t>## Data Leakage Analysis
### ✅ Verdict: **Data Leakage Is Present**
---
### Where It Occurs
The leakage happens in these three lines, **before** the train/test split:
```python
# These three lines execute on the FULL dataset (X)
X["age"].fillna(X["age"].mean(), inplace=True)
X["blood_pressure"].fillna(X["blood_pressure"].median(), inplace=True)
X["cholesterol"].fillna(X["cholesterol"].mean(), inplace=True)
# Split happens AFTER imputation — too late
X_train, X_test, y_train, y_test = train_test_split(...)
```
---
### Why It Is a Problem
When you compute `X["age"].mean()` on the full dataset, that statistic is **calculated using values from rows that will later become the test set**. Those test-set values then influence how missing values are filled in the training set.
**Concretely:**
| Step | What Happens | Why It's Wrong |
|------|-------------|----------------|
| `X["age"].mean()` computed on all rows | Includes test-set ages | Test data "leaks" into training preprocessing |
| Training rows with missing age get filled | With a mean that includes test data | Training distribution is subtly contaminated |
| Test rows with missing age get filled | With same contaminated mean | Evaluation is no longer on truly held-out data |
In a real-world deployment, **test/future data does not exist when you train the model**. You would only have the training distribution available to compute imputation statistics. Using the full-dataset mean optimistically biases your evaluation metric — the model appears to generalize better than it actually will.
---
### Correct Fix
Compute imputation statistics **only on training data**, then apply them to both sets:
```python
from sklearn.model_selection import train_test_split
from sklearn.linear_model import LogisticRegression
from sklearn.impute import SimpleImputer
from sklearn.pipeline import Pipeline
from sklearn.metrics import accuracy_score
import pandas as pd
df = pd.read_csv("patients.csv")
X = df.drop("readmitted", axis=1)
y = df["readmitted"]
# Split BEFORE any data-dependent preprocessing
X_train, X_test, y_train, y_test = train_test_split(
    X, y, test_size=0.2, random_state=42
)
# Imputers learn statistics from training data only
age_imputer = SimpleImputer(strategy="mean")
bp_imputer = SimpleImputer(strategy="median")
chol_imputer = SimpleImputer(strategy="mean")
# fit_transform on train, transform-only on test
X_train["age"] = age_imputer.fit_transform(X_train[["age"]])
X_test["age"] = age_imputer.transform(X_test[["age"]])   # uses train mean
X_train["blood_pressure"] = bp_imputer.fit_transform(X_train[["blood_pressure"]])
X_test["blood_pressure"] = bp_imputer.transform(X_test[["blood_pressure"]])
X_train["cholesterol"] = chol_imputer.fit_transform(X_train[["cholesterol"]])
X_test["cholesterol"] = chol_imputer.transform(X_test[["cholesterol"]])
model = LogisticRegression(max_iter=1000)
model.fit(X_train, y_train)
y_pred = model.predict(X_test)
print(f"Accuracy: {accuracy_score(y_test, y_pred):.4f}")
```
### Even Better: Use a `Pipeline`
A `Pipeline` makes leakage-free preprocessing automatic and harder to get wrong, especially with cross-validation:
```python
from sklearn.pipeline import Pipeline
from sklearn.compose import ColumnTransformer
from sklearn.impute import SimpleImputer
preprocessor = ColumnTransformer(transformers=[
    ("age_imp",  SimpleImputer(strategy="mean"),   ["age"]),
    ("bp_imp",   SimpleImputer(strategy="median"),  ["blood_pressure"]),
    ("chol_imp", SimpleImputer(strategy="mean"),   ["cholesterol"]),
], remainder="passthrough")
pipeline = Pipeline([
    ("preprocessor", preprocessor),
    ("classifier",   LogisticRegression(max_iter=1000)),
])
# Split first, then fit pipeline on training data only
X_train, X_test, y_train, y_test = train_test_split(
    X, y, test_size=0.2, random_state=42
)
pipeline.fit(X_train, y_train)   # fit_transform internally on X_train only
y_pred = pipeline.predict(X_test) # transform only on X_test
print(f"Accuracy: {accuracy_score(y_test, y_pred):.4f}")
```
The `Pipeline` approach is strongly preferred because it also **prevents leakage inside cross-validation loops** automatically.</t>
  </si>
  <si>
    <t># Data Leakage Review
**CRITICAL DATA LEAKAGE FOUND** ❌
## The Problem
The code contains **severe data leakage** in the imputation step. Here's exactly where it occurs:
```python
X["age"].fillna(X["age"].mean(), inplace=True)
X["blood_pressure"].fillna(X["blood_pressure"].median(), inplace=True)
X["cholesterol"].fillna(X["cholesterol"].mean(), inplace=True)
X_train, X_test, y_train, y_test = train_test_split(X, y, ...)
```
## Why This Is a Problem
1. **Statistics computed on full dataset**: The mean/median are calculated using `X` (which contains both train AND test data) before the train-test split occurs.
2. **Test set information leaks into training**: When these pre-computed statistics fill missing values in `X_train`, they've been influenced by patterns in `X_test`. This means:
   - The training data has been implicitly informed about the test set's distribution
   - The model evaluation becomes overly optimistic because the model has "seen" patterns from the test set
3. **Unrealistic performance metrics**: The reported accuracy is artificially inflated and won't generalize to truly unseen data.
## The Fix
Compute imputation statistics **only from training data**, then apply them to both sets:
```python
import pandas as pd
from sklearn.model_selection import train_test_split
from sklearn.linear_model import LogisticRegression
from sklearn.metrics import accuracy_score
df = pd.read_csv("patients.csv")
X = df.drop("readmitted", axis=1)
y = df["readmitted"]
X_train, X_test, y_train, y_test = train_test_split(
    X, y, test_size=0.2, random_state=42
)
# Compute statistics ONLY from training data
age_mean = X_train["age"].mean()
bp_median = X_train["blood_pressure"].median()
chol_mean = X_train["cholesterol"].mean()
# Apply to both sets using the training statistics
X_train["age"].fillna(age_mean, inplace=True)
X_train["blood_pressure"].fillna(bp_median, inplace=True)
X_train["cholesterol"].fillna(chol_mean, inplace=True)
X_test["age"].fillna(age_mean, inplace=True)
X_test["blood_pressure"].fillna(bp_median, inplace=True)
X_test["cholesterol"].fillna(chol_mean, inplace=True)
model = LogisticRegression(max_iter=1000)
model.fit(X_train, y_train)
y_pred = model.predict(X_test)
print(f"Accuracy: {accuracy_score(y_test, y_pred):.4f}")
```
**Better yet**, use scikit-learn's `SimpleImputer` with a proper pipeline to enforce this constraint automatically.</t>
  </si>
  <si>
    <t>Yes, this code contains a form of **data leakage**.
### Where Data Leakage Occurs and Why It's a Problem
The data leakage occurs in the feature engineering step, specifically during the **missing value imputation**:
```python
X["age"].fillna(X["age"].mean(), inplace=True)
X["blood_pressure"].fillna(X["blood_pressure"].median(), inplace=True)
X["cholesterol"].fillna(X["cholesterol"].mean(), inplace=True)
```
**Explanation:**
1.  **Imputation before Train-Test Split:** At this point in the code, `X` represents the *entire dataset's features* (before it has been split into training and testing sets).
2.  **Calculation of Statistics:** The means and medians for imputation (`X["age"].mean()`, `X["blood_pressure"].median()`, `X["cholesterol"].mean()`) are calculated using data from *all samples*, which includes both the samples that will eventually end up in the training set and those that will end up in the test set.
3.  **Leakage:** When these statistics (which contain information derived from the test set) are used to fill missing values in `X`, and subsequently `X_train` is created from this pre-processed `X`, the training data effectively "sees" information about the test set's distribution.
4.  **Problem:** This leads to an overly optimistic evaluation of the model's performance. The model, during training, has indirectly been exposed to characteristics of the test data. Therefore, the reported accuracy score on `y_test` might be artificially inflated and not truly representative of how the model would perform on completely unseen, real-world data. The test set is no longer a true "unseen" dataset because its statistical properties influenced the training data's preparation.
### How to Fix It
To prevent this data leakage, all data preprocessing steps (like imputation, scaling, feature engineering) that rely on learned statistics must be performed *after* the train-test split, and these statistics should *only* be calculated from the **training data**. The calculated training-set statistics should then be applied to both the training and test sets.
Here's how the corrected imputation would look:
```python
import pandas as pd
from sklearn.model_selection import train_test_split
from sklearn.linear_model import LogisticRegression
from sklearn.metrics import accuracy_score
from sklearn.impute import SimpleImputer # A more robust way using sklearn
df = pd.read_csv("patients.csv")
X = df.drop("readmitted", axis=1)
y = df["readmitted"]
# --- CORRECTED PART: Perform train-test split FIRST ---
X_train, X_test, y_train, y_test = train_test_split(
    X, y, test_size=0.2, random_state=42
)
# --- Then, perform imputation using statistics calculated ONLY from X_train ---
# Option 1: Manual Imputation (as per original code style)
# Calculate means/medians ONLY from the training data
age_mean = X_train["age"].mean()
blood_pressure_median = X_train["blood_pressure"].median()
cholesterol_mean = X_train["cholesterol"].mean()
# Apply these calculated statistics to BOTH train and test sets
X_train["age"].fillna(age_mean, inplace=True)
X_train["blood_pressure"].fillna(blood_pressure_median, inplace=True)
X_train["cholesterol"].fillna(cholesterol_mean, inplace=True)
X_test["age"].fillna(age_mean, inplace=True)
X_test["blood_pressure"].fillna(blood_pressure_median, inplace=True)
X_test["cholesterol"].fillna(cholesterol_mean, inplace=True)
# Option 2: Using sklearn's SimpleImputer (Recommended for cleaner code and pipelines)
# imputer_age = SimpleImputer(strategy='mean')
# imputer_bp = SimpleImputer(strategy='median')
# imputer_cholesterol = SimpleImputer(strategy='mean')
# X_train['age'] = imputer_age.fit_transform(X_train[['age']])
# X_test['age'] = imputer_age.transform(X_test[['age']])
# X_train['blood_pressure'] = imputer_bp.fit_transform(X_train[['blood_pressure']])
# X_test['blood_pressure'] = imputer_bp.transform(X_test[['blood_pressure']])
# X_train['cholesterol'] = imputer_cholesterol.fit_transform(X_train[['cholesterol']])
# X_test['cholesterol'] = imputer_cholesterol.transform(X_test[['cholesterol']])
model = LogisticRegression(max_iter=1000)
model.fit(X_train, y_train)
y_pred = model.predict(X_test)
print(f"Accuracy: {accuracy_score(y_test, y_pred):.4f}")
```
For more complex pipelines with multiple preprocessing steps, using `sklearn.pipeline.Pipeline` and `sklearn.compose.ColumnTransformer` is the most robust and recommended way to ensure proper separation of training and testing data throughout the preprocessing stages, thereby preventing data leakage.</t>
  </si>
  <si>
    <t>The Python code you've provided is mostly functional, but there are several issues and practices that could be improved:
1. **Chained Assignment Warning**:
    - `X_train["age"].fillna(train_age_mean, inplace=True)` and similar lines are using pandas chained assignment, which can lead to unexpected results and warnings. It's better to explicitly assign the result back to the column:
      ```python
      X_train["age"] = X_train["age"].fillna(train_age_mean)
      X_train["blood_pressure"] = X_train["blood_pressure"].fillna(train_bp_median)
      X_train["cholesterol"] = X_train["cholesterol"].fillna(train_chol_mean)
      X_test["age"] = X_test["age"].fillna(train_age_mean)
      X_test["blood_pressure"] = X_test["blood_pressure"].fillna(train_bp_median)
      X_test["cholesterol"] = X_test["cholesterol"].fillna(train_chol_mean)
      ```
2. **Handling of NaN Values**:
    - The way NaN values are filled is based on the training data mean/median, which is good practice. However, you should ensure that the columns actually contain NaN values before attempting to fill them to avoid unnecessary operations.
3. **Data Leakage Check**:
    - Before filling missing values in the test set with statistics from the training set, ensure that no information from the test set leaks into the training set, which seems correct here since it uses `train_age_mean`, `train_bp_median`, and `train_chol_mean`.
4. **Input Feature Scaling**:
    - Logistic regression can benefit from feature scaling, such as standardization or normalization, especially if features have different measurement scales. Consider using `StandardScaler` or `MinMaxScaler` from `sklearn.preprocessing` to scale the input features.
5. **Assumption of Categorical/Non-Numeric Data**:
    - The code assumes all columns in `X` are numeric, which may not be the case. Non-numeric columns should be encoded before fitting the model, typically using one-hot encoding or label encoding.
6. **Error Handling**:
    - There is no exception handling for file I/O operations or model fitting/prediction, which could result in the program crashing. It's better to catch exceptions using a try-except block, especially for `pd.read_csv()` and model fitting.
7. **Model Assumptions**:
    - Logistic Regression assumes a linear relationship between features and the log-odds of the target. Check if this assumption holds for your data and if Logistic Regression is appropriate.
8. **Hardcoding the File Path**:
    - `"patients.csv"` is hardcoded. Best practice is to use a configuration file, environment variable, or user input to specify file paths.
9. **Feature and Target Variable**:
    - Ensure `"readmitted"` is indeed the target variable in your CSV file. Otherwise, it might lead to errors or logical bugs.
In summary, the code accomplishes the data processing and modeling tasks, but attention should be paid to data preprocessing, error handling, and scalability of the solution.</t>
  </si>
  <si>
    <t>The provided Python code performs data preprocessing and uses a logistic regression model to make predictions on whether patients were readmitted. While the code is largely functional, it contains several issues, bugs, and bad practices. Here’s a review of the code with explanations for each identified problem:
1. **Potential Data Leakage in Filling Missing Values**:
    - Issue: The code uses the mean and median of the training set (`X_train`) to fill missing values in both the training set and the testing set. This can lead to data leakage because the test data should not influence how you fill missing values in the training data.
    - Solution: Calculate the mean and median only from the training set and apply them to fill missing values during preprocessing. It is common for the training and testing data to be treated separately to prevent leakage.
    ```python
    # Instead of filling like this
    X_test["age"].fillna(train_age_mean, inplace=True)
    # It should generally involve application of the same process but without directly using test data structures.
    ```
2. **Chained Assignment Warning**:
    - Issue: When filling missing values using `X_train["age"].fillna(train_age_mean, inplace=True)`, it can raise a `SettingWithCopyWarning` if `X_train` is a slice of `df`. This warning indicates that the operation may not work as intended due to the possibility of creating a view rather than a copy.
    - Solution: Use `.loc` to avoid this warning explicitly or create a copy of the DataFrame before modification.
    ```python
    X_train.loc[:, "age"] = X_train["age"].fillna(train_age_mean)
    ```
3. **Hardcoding Column Names**:
   - Issue: The code directly refers to columns by name, which can lead to bugs if there are typos in those names or if the dataframe changes. It can also make maintenance harder if the column names need to be updated.
   - Solution: Define the column names as constants or use variables to make updates easier.
4. **No Handling of Categorical Variables**:
    - Issue: The code assumes all features are numeric. If `X` contains categorical variables, it will lead to errors during model training and prediction. Logistic Regression requires all features to be numeric.
    - Solution: Prior to fitting the model, you must handle categorical variables by encoding them (e.g., one-hot encoding or label encoding).
5. **Feature Scaling**:
    - Issue: Logistic regression may benefit from feature scaling since it is sensitive to the scale of input features. Without scaling, features like "age" and "blood_pressure" can dominate the optimization process.
    - Solution: Use `StandardScaler` or `MinMaxScaler` from `sklearn.preprocessing` to scale the features.
6. **Use of In-Place Modifications**:
    - Issue: Using `inplace=True` can lead to unexpected behavior, especially when working with chained assignments, as mentioned earlier. It can make debugging difficult if something goes wrong.
    - Solution: Create a new DataFrame or explicitly assign the modified DataFrame to itself after operations.
7. **Error Handling**:
    - Issue: The code lacks error handling for critical sections, such as reading the CSV file or during model fitting. If the file does not exist or the data is malformed, it will raise unhandled exceptions.
    - Solution: Use try-except blocks to catch exceptions and provide meaningful error messages.
   ```python
   try:
       df = pd.read_csv("patients.csv")
   except FileNotFoundError:
       print("Error: The file 'patients.csv' was not found.")
       raise
   ```
### Refactored Example:
Here's how you might refactor the code to avoid the significant issues highlighted:
```python
import pandas as pd
from sklearn.model_selection import train_test_split
from sklearn.linear_model import LogisticRegression
from sklearn.metrics import accuracy_score
from sklearn.preprocessing import StandardScaler
from sklearn.preprocessing import OneHotEncoder
from sklearn.compose import ColumnTransformer
from sklearn.pipeline import Pipeline
from sklearn.impute import SimpleImputer
# Load data
try:
    df = pd.read_csv("patients.csv")
except FileNotFoundError:
    print("Error: The file 'patients.csv' was not found.")
    raise
# Define features and target
X = df.drop("readmitted", axis=1)
y = df["readmitted"]
# Split data into training and test sets
X_train, X_test, y_train, y_test = train_test_split(X, y, test_size=0.2, random_state=42)
# Preprocessing pipelines
numeric_features = ["age", "blood_pressure", "cholesterol"]
numeric_transformer = Pipeline(steps=[
    ('imputer', SimpleImputer(strategy='mean')),
    ('scaler', StandardScaler())
])
# Column transformer
preprocessor = ColumnTransformer(
    transformers=[
        ('num', numeric_transformer, numeric_features)
        # Add other transformers for categorical features if needed
    ])
# Create a logistic regression pipeline
model = Pipeline(steps=[('preprocessor', preprocessor),
                         ('classifier', LogisticRegression(max_iter=1000))])
# Fit the model
model.fit(X_train, y_train)
# Predictions
y_pred = model.predict(X_test)
print(f"Accuracy: {accuracy_score(y_test, y_pred):.4f}")
```
This refactored code incorporates best practices, helping to mitigate data leakage, improve error handling, and ensure that categorical features are appropriately dealt with.</t>
  </si>
  <si>
    <t>## Code Review: Patient Readmission Classifier
---
### Issue 1: Chained Indexing Causes `SettingWithCopyWarning` (and Silent Failures)
```python
# PROBLEMATIC
X_train["age"].fillna(train_age_mean, inplace=True)
```
`X_train` is a slice of `df`, so chained indexing (`df[col][rows]`) may operate on a **copy**, meaning changes might not apply to the actual DataFrame. The `inplace=True` on a copy does nothing silently.
```python
# CORRECT - use .loc or direct column assignment
X_train["age"] = X_train["age"].fillna(train_age_mean)
X_train["blood_pressure"] = X_train["blood_pressure"].fillna(train_bp_median)
X_train["cholesterol"] = X_train["cholesterol"].fillna(train_chol_mean)
```
---
### Issue 2: No Feature Scaling for Logistic Regression
```python
# PROBLEMATIC - no scaling before fitting
model = LogisticRegression(max_iter=1000)
model.fit(X_train, y_train)
```
Logistic Regression uses gradient-based optimization and is sensitive to feature magnitude. Without scaling, features like `age` (0–100) and `cholesterol` (100–300) can cause slow convergence or poor results.
```python
from sklearn.preprocessing import StandardScaler
scaler = StandardScaler()
X_train_scaled = scaler.fit_transform(X_train)
X_test_scaled = scaler.transform(X_test)  # transform only, never fit on test
model.fit(X_train_scaled, y_train)
y_pred = model.predict(X_test_scaled)
```
---
### Issue 3: No Handling of Categorical Features
```python
X = df.drop("readmitted", axis=1)
```
Real patient datasets typically include categorical columns (e.g., gender, diagnosis codes). Passing raw string columns to `LogisticRegression` will raise a `ValueError`. These must be encoded explicitly.
```python
# Identify and encode categorical columns
categorical_cols = X.select_dtypes(include=["object", "category"]).columns
X = pd.get_dummies(X, columns=categorical_cols, drop_first=True)
```
---
### Issue 4: No Validation That the CSV Loaded Correctly
```python
df = pd.read_csv("patients.csv")
X = df.drop("readmitted", axis=1)
```
If the file is missing, malformed, or doesn't contain the expected columns, the code crashes with an unhelpful error message. The expected columns should be verified.
```python
import os
if not os.path.exists("patients.csv"):
    raise FileNotFoundError("patients.csv not found")
df = pd.read_csv("patients.csv")
required_columns = {"age", "blood_pressure", "cholesterol", "readmitted"}
missing = required_columns - set(df.columns)
if missing:
    raise ValueError(f"Missing expected columns: {missing}")
```
---
### Issue 5: Accuracy Alone Is a Misleading Metric for Medical Data
```python
print(f"Accuracy: {accuracy_score(y_test, y_pred):.4f}")
```
Medical datasets are typically **class-imbalanced** (e.g., 90% not readmitted). A model predicting "never readmitted" achieves 90% accuracy while being clinically useless. Precision, recall, and AUC-ROC are far more meaningful here.
```python
from sklearn.metrics import classification_report, roc_auc_score
print(classification_report(y_test, y_pred))
print(f"ROC-AUC: {roc_auc_score(y_test, model.predict_proba(X_test_scaled)[:, 1]):.4f}")
```
---
### Issue 6: Imputation Logic Should Be Encapsulated in a Pipeline
The manual imputation across train and test is error-prone, verbose, and hard to maintain. Scikit-learn's `Pipeline` handles this cleanly and **prevents data leakage by design**.
```python
from sklearn.pipeline import Pipeline
from sklearn.impute import SimpleImputer
from sklearn.preprocessing import StandardScaler
pipeline = Pipeline([
    ("imputer", SimpleImputer(strategy="mean")),
    ("scaler", StandardScaler()),
    ("model", LogisticRegression(max_iter=1000)),
])
pipeline.fit(X_train, y_train)
y_pred = pipeline.predict(X_test)
```
This replaces Issues 1, 2, and the imputation repetition in a single, clean structure.
---
### Issue 7: Different Imputation Strategies Applied Inconsistently
```python
train_age_mean = X_train["age"].mean()          # mean
train_bp_median = X_train["blood_pressure"].median()  # median  ← different
train_chol_mean = X_train["cholesterol"].mean() # mean
```
Using median for blood pressure but mean for the others is inconsistent and undocumented. This may or may not be intentional, but it should at minimum be explained in a comment, or standardized unless there is a statistical justification.
---
### Summary Table
| # | Issue | Severity |
|---|-------|----------|
| 1 | Chained indexing with `inplace=True` | 🔴 High |
| 2 | No feature scaling | 🔴 High |
| 3 | Categorical features not encoded | 🔴 High |
| 4 | No file/column validation | 🟡 Medium |
| 5 | Accuracy-only evaluation on medical data | 🟡 Medium |
| 6 | Manual imputation instead of Pipeline | 🟡 Medium |
| 7 | Inconsistent imputation strategies | 🟢 Low |</t>
  </si>
  <si>
    <t># Code Review: Issues and Problems
## 1. **Data Leakage (CRITICAL)** ⚠️
The code calculates imputation statistics from the training set but applies them to both training AND test sets. While this is partially correct for the test set, the real issue is that no scaling/normalization is applied, and more importantly:
```python
# This is correct for test data, but...
X_test["age"].fillna(train_age_mean, inplace=True)
# The training data should be imputed BEFORE any analysis
```
**Better approach:** Use `sklearn.impute.SimpleImputer` with `fit()` on training data only, then `transform()` both sets.
---
## 2. **No Feature Scaling**
LogisticRegression performs better with scaled features, especially when features have different units (age vs. blood pressure).
```python
# Missing:
from sklearn.preprocessing import StandardScaler
scaler = StandardScaler()
X_train_scaled = scaler.fit_transform(X_train)
X_test_scaled = scaler.transform(X_test)
```
---
## 3. **No Data Validation**
The code assumes:
- CSV file exists and is valid
- Required columns exist
- No categorical variables need encoding
- All data types are appropriate for LogisticRegression
```python
# Should add:
if "readmitted" not in df.columns:
    raise ValueError("'readmitted' column not found")
```
---
## 4. **Inplace Operations (Bad Practice)**
Using `inplace=True` is discouraged in pandas because it:
- Makes code harder to debug
- Can cause unexpected behavior with views vs. copies
```python
# Better:
X_train["age"] = X_train["age"].fillna(train_age_mean)
```
---
## 5. **No Error Handling**
Missing try-except blocks for file I/O:
```python
try:
    df = pd.read_csv("patients.csv")
except FileNotFoundError:
    print("Error: patients.csv not found")
    exit(1)
```
---
## 6. **Hardcoded Values**
Magic numbers like `test_size=0.2` and `max_iter=1000` should be configurable or documented.
---
## 7. **Missing Data Exploration**
No checks for:
- Missing values in the target variable (`y`)
- Class imbalance
- Outliers
- Data distribution
```python
print(df.isnull().sum())  # Check missing values
print(df.dtypes)          # Check data types
print(y.value_counts())   # Check class balance
```
---
## 8. **Inconsistent Imputation Statistics**
Uses different statistics for different features (mean for age, median for blood pressure) without justification. Should be consistent or explicitly documented.
---
## Corrected Version:
```python
import pandas as pd
from sklearn.model_selection import train_test_split
from sklearn.preprocessing import StandardScaler
from sklearn.impute import SimpleImputer
from sklearn.linear_model import LogisticRegression
from sklearn.metrics import accuracy_score
# Load and validate data
df = pd.read_csv("patients.csv")
if "readmitted" not in df.columns:
    raise ValueError("'readmitted' column not found")
X = df.drop("readmitted", axis=1)
y = df["readmitted"]
# Split data
X_train, X_test, y_train, y_test = train_test_split(
    X, y, test_size=0.2, random_state=42, stratify=y
)
# Impute (fit on train, apply to both)
imputer = SimpleImputer(strategy='mean')
X_train = imputer.fit_transform(X_train)
X_test = imputer.transform(X_test)
# Scale features
scaler = StandardScaler()
X_train = scaler.fit_transform(X_train)
X_test = scaler.transform(X_test)
# Train and evaluate
model = LogisticRegression(max_iter=1000, random_state=42)
model.fit(X_train, y_train)
y_pred = model.predict(X_test)
print(f"Accuracy: {accuracy_score(y_test, y_pred):.4f}")
```</t>
  </si>
  <si>
    <t>The provided Python code demonstrates a basic machine learning workflow, but it has several issues, ranging from potential bugs to bad practices, particularly in its data preprocessing steps.
Here's a breakdown of the problems:
### Major Issues / Potential Bugs
1.  **Potential `SettingWithCopyWarning` and Silent Failure of `inplace=True`**:
    *   **Problem**: When you perform operations like `X_train["age"].fillna(train_age_mean, inplace=True)`, `X_train["age"]` might return a *copy* of a slice of the DataFrame, not a *view*. If it's a copy, then `inplace=True` modifies that copy, but the changes are **not reflected** in the original `X_train` DataFrame. Pandas typically issues a `SettingWithCopyWarning` in such cases, but it's a warning, not an error, and the operation might silently fail to update the original data.
    *   **Explanation**: This is a common pitfall in Pandas. The safest way to modify a DataFrame after slicing or selecting is to explicitly assign the result back to the selection.
    *   **Impact**: Your `X_train` and `X_test` might still contain `NaN` values when passed to the model, leading to a `ValueError` during `model.fit()` or `model.predict()`, or the imputation values might not be applied as intended.
    *   **Fix**: Always assign the result back.
        ```python
        X_train["age"] = X_train["age"].fillna(train_age_mean)
        X_train["blood_pressure"] = X_train["blood_pressure"].fillna(train_bp_median)
        X_train["cholesterol"] = X_train["cholesterol"].fillna(train_chol_mean)
        # ... and similarly for X_test
        ```
2.  **Missing Feature Scaling**:
    *   **Problem**: The numerical features (`age`, `blood_pressure`, `cholesterol`) are used directly without any scaling.
    *   **Explanation**: Logistic Regression uses an optimization algorithm (like gradient descent) to find the optimal coefficients. When features have vastly different scales (e.g., age 0-100, cholesterol 100-500, blood pressure 80-200), the optimization process can be less stable and slower to converge. Features with larger ranges can disproportionately influence the cost function and regularization.
    *   **Impact**: This can lead to longer training times, slower convergence, or a sub-optimal model. While Logistic Regression is not as sensitive as some other models (e.g., SVMs, Neural Networks) to feature scaling, it's still a recommended best practice for better performance and stability.
    *   **Fix**: Apply a scaler like `StandardScaler` or `MinMaxScaler` to the numerical features after imputation and before fitting the model. This scaler should also be fit on `X_train` and then used to transform both `X_train` and `X_test`.
3.  **Lack of Categorical Feature Handling**:
    *   **Problem**: The code implicitly assumes all features in `X` are numerical or suitable for direct use by `LogisticRegression`.
    *   **Explanation**: Real-world datasets often contain categorical features (e.g., 'gender', 'ethnicity', 'smoking_status'). If such features are present in `X` and not converted into a numerical format (e.g., using One-Hot Encoding), `LogisticRegression` will typically raise an error if the feature has an `object` dtype, or it might incorrectly interpret integer-encoded categories as ordinal values, leading to poor model performance. The imputation logic also only applies to numerical features (mean/median).
    *   **Impact**: If categorical features are present, the code will likely crash or produce a model with very poor performance due to misinterpretation of data types.
    *   **Fix**: Identify categorical features and apply appropriate encoding (e.g., `pd.get_dummies` or `sklearn.preprocessing.OneHotEncoder`) before training the model.
### Minor Issues / Bad Practices
4.  **Inefficient and Non-Scalable Imputation (Hardcoded Columns)**:
    *   **Problem**: The imputation logic explicitly lists `age`, `blood_pressure`, and `cholesterol`.
    *   **Explanation**:
        *   **Not Scalable**: If you have many columns with missing values, this approach becomes tedious and error-prone to maintain.
        *   **Lack of Generality**: It doesn't automatically identify *all* numerical columns that might need imputation. Other columns with missing values would be silently ignored, leading to `NaN`s being passed to the model, which would then cause an error.
        *   **Redundancy**: The logic for `X_train` and `X_test` is nearly identical, making the code repetitive.
    *   **Fix**: Use `sklearn.impute.SimpleImputer` or a more dynamic approach (e.g., looping through `X_train.select_dtypes(include=['number']).columns` to find columns with `NaN`s) to handle missing values more robustly and scalably.
5.  **No Scikit-learn Pipeline for Preprocessing**:
    *   **Problem**: The preprocessing steps (imputation) are performed manually and separately from the model training.
    *   **Explanation**: This is a bad practice for several reasons:
        *   **Consistency Issues**: It's easy to forget to apply the *exact same* preprocessing steps (and transformations learned from the training data) to new, unseen data (e.g., the test set or production data), leading to data leakage or incorrect transformations.
        *   **Code Duplication**: Leads to repetitive code.
        *   **Deployment**: Making the model production-ready requires saving the *entire* preprocessing logic along with the model, which a `Pipeline` handles gracefully.
        *   **Cross-validation**: Manual preprocessing makes proper cross-validation much harder to implement correctly without data leakage.
    *   **Fix**: Encapsulate preprocessing steps (imputation, scaling, encoding) and the model into a `sklearn.pipeline.Pipeline`. This ensures that all transformations are applied consistently and correctly to both training and test data.
6.  **Lack of Input Validation/Error Handling**:
    *   **Problem**: The code assumes "patients.csv" exists and is correctly formatted with the expected column names ("readmitted", "age", etc.).
    *   **Explanation**: If the file doesn't exist, a `FileNotFoundError` will occur. If columns like "readmitted" are missing, a `KeyError` will be raised. In a production environment, such unhandled errors can crash the application.
    *   **Fix**: Add basic error handling using `try-except` blocks for file loading and check for the presence of expected columns.
7.  **Hardcoded File Path and Column Names**:
    *   **Problem**: The file path `"patients.csv"` and target column name `"readmitted"` are hardcoded directly into the script. The imputed column names are also hardcoded.
    *   **Explanation**: This reduces flexibility and reusability. If the file name changes or the target column is different in another dataset, the code needs to be modified directly.
    *   **Fix**: Consider passing these as arguments to a function, reading them from a configuration file, or using constants at the top of the script.
8.  **Lack of Modularity and Readability (for larger scripts)**:
    *   **Problem**: For a small script, it's acceptable, but as the complexity grows, having all logic sequentially can become hard to read and maintain.
    *   **Explanation**: The code is written as a single script without functions to encapsulate different stages of the ML workflow (data loading, preprocessing, training, evaluation).
    *   **Fix**: Wrap different logical blocks into functions (e.g., `load_data()`, `preprocess_data(df)`, `train_model(X_train, y_train)`, `evaluate_model(model, X_test, y_test)`). This improves readability, reusability, and makes the code easier to test.
### Corrected and Improved Code Structure Example:
```python
import pandas as pd
from sklearn.model_selection import train_test_split
from sklearn.linear_model import LogisticRegression
from sklearn.metrics import accuracy_score
from sklearn.impute import SimpleImputer
from sklearn.preprocessing import StandardScaler, OneHotEncoder
from sklearn.pipeline import Pipeline
from sklearn.compose import ColumnTransformer
# --- Configuration ---
DATA_FILE = "patients.csv"
TARGET_COLUMN = "readmitted"
NUMERIC_FEATURES = ["age", "blood_pressure", "cholesterol"] # Example, adjust as needed
CATEGORICAL_FEATURES = ["gender", "insurance_type"] # Example, identify actual categorical columns
# --- 1. Load Data ---
try:
    df = pd.read_csv(DATA_FILE)
except FileNotFoundError:
    print(f"Error: The file '{DATA_FILE}' was not found.")
    exit()
except Exception as e:
    print(f"Error loading CSV file: {e}")
    exit()
# --- 2. Separate Features and Target ---
if TARGET_COLUMN not in df.columns:
    print(f"Error: Target column '{TARGET_COLUMN}' not found in the dataset.")
    exit()
X = df.drop(TARGET_COLUMN, axis=1)
y = df[TARGET_COLUMN]
# Verify necessary features are present
for col in NUMERIC_FEATURES + CATEGORICAL_FEATURES:
    if col not in X.columns:
        print(f"Warning: Feature column '{col}' not found in the dataset.")
        # Decide whether to drop it or handle missing columns
        if col in NUMERIC_FEATURES: NUMERIC_FEATURES.remove(col)
        if col in CATEGORICAL_FEATURES: CATEGORICAL_FEATURES.remove(col)
# --- 3. Train-Test Split ---
X_train, X_test, y_train, y_test = train_test_split(
    X, y, test_size=0.2, random_state=42, stratify=y # stratify is good for imbalanced classes
)
# --- 4. Define Preprocessing Pipeline ---
# Preprocessing for numerical features
numeric_transformer = Pipeline(steps=[
    ('imputer', SimpleImputer(strategy='mean')), # Or 'median'
    ('scaler', StandardScaler())
])
# Preprocessing for categorical features
# Ensure to handle potential missing values in categorical features if applicable
categorical_transformer = Pipeline(steps=[
    ('imputer', SimpleImputer(strategy='most_frequent')), # Example strategy for categorical
    ('onehot', OneHotEncoder(handle_unknown='ignore')) # handle_unknown='ignore' to prevent errors on unseen categories
])
# Create a preprocessor using ColumnTransformer
preprocessor = ColumnTransformer(
    transformers=[
        ('num', numeric_transformer, NUMERIC_FEATURES),
        ('cat', categorical_transformer, CATEGORICAL_FEATURES)
    ],
    remainder='passthrough' # Keep other columns (not explicitly listed) as they are
)
# --- 5. Create and Train Model Pipeline ---
model_pipeline = Pipeline(steps=[
    ('preprocessor', preprocessor),
    ('classifier', LogisticRegression(max_iter=1000, solver='liblinear')) # 'liblinear' often good for smaller datasets and handles L1/L2
])
# Train the model
model_pipeline.fit(X_train, y_train)
# --- 6. Make Predictions and Evaluate ---
y_pred = model_pipeline.predict(X_test)
print(f"Accuracy: {accuracy_score(y_test, y_pred):.4f}")
# --- Example of how to use the model on new data ---
# new_patient_data = pd.DataFrame([...]) # A new patient's data
# prediction_new_patient = model_pipeline.predict(new_patient_data)
# print(f"Prediction for new patient: {prediction_new_patient}")
```</t>
  </si>
  <si>
    <t>The given code splits the data into training and test sets and then uses the training set statistics to impute missing values in both the training and test sets. This approach is correct because it only uses information from the training data to transform both datasets, ensuring there is no data leakage from the test set during imputation.
To verify:
1. **Train-Test Split**: The dataset is appropriately split into `X_train`, `X_test`, `y_train`, `y_test` using `train_test_split`, which is a proper way to segregate training and testing data.
2. **Imputation of Missing Values**: 
   - Calculations of `train_age_mean`, `train_bp_median`, and `train_chol_mean` are based solely on the training set.
   - These statistics are used for imputing missing data in both `X_train` and `X_test`.
   - This practice avoids leakage because no information from the test set is used in the calculation of imputation statistics.
3. **Model Fitting and Prediction**: 
   - The model is fitted only on `X_train` and `y_train`.
   - Predictions are made on `X_test`.
   - Hence, there is no leakage of label information from the test set back into the training procedure.
This pipeline is designed correctly in terms of avoiding data leakage with respect to feature transformation and imputation. There is no evidence of any features encoding information about the target in a way that would not be available at prediction time within the provided code. 
Overall, the code is free of data leakage.</t>
  </si>
  <si>
    <t>The provided machine learning pipeline code does contain a form of data leakage. Specifically, it occurs during the handling of missing values for the test set. Here's a detailed breakdown of the issue:
### Location of Data Leakage
1. **Computation of Statistics from the Training Data**: The code calculates the mean and median for the `age`, `blood_pressure`, and `cholesterol` columns using the training data:
   - `train_age_mean = X_train["age"].mean()`
   - `train_bp_median = X_train["blood_pressure"].median()`
   - `train_chol_mean = X_train["cholesterol"].mean()`
2. **Filling Missing Values in the Test Set**: The mean and median values calculated from the training set are then used to fill missing values in both the training and the test sets:
   ```python
   # Filling missing values in the training set
   X_train["age"].fillna(train_age_mean, inplace=True)
   X_train["blood_pressure"].fillna(train_bp_median, inplace=True)
   X_train["cholesterol"].fillna(train_chol_mean, inplace=True)
   # Filling missing values in the test set
   X_test["age"].fillna(train_age_mean, inplace=True)
   X_test["blood_pressure"].fillna(train_bp_median, inplace=True)
   X_test["cholesterol"].fillna(train_chol_mean, inplace=True)
   ```
### Why This is a Problem
Using statistics from the training set to fill missing values in the test set creates data leakage. This is problematic for the following reasons:
- **Inferences from the Test Set**: By using the training data's mean and median to impute missing values in the test set, you are indirectly incorporating information from the test set into the model training process. In a real-world scenario, you would not have access to the average age, blood pressure, or cholesterol levels of the entire dataset when making predictions for new, unseen data. 
- **Overfitting the Model**: This leakage can overly inflate the accuracy of the model during testing, as the model is indirectly influenced by the target variable in ways that would not occur in a production environment. As a result, the performance metrics (such as accuracy) computed on the test set may not be an honest reflection of the model's predictive power on unseen data.
### Corrective Action
To fix this problem, imputation for the test set should be performed using only the training data:
- Instead of using the means/medians calculated from the training set, you should compute these statistics **only on the training data** and apply them without referencing the test data’s distribution. However, it's best to use a method that maintains the integrity of the test set, such as imputing directly within a cross-validation framework or using a method like KNN for imputation, which takes training set characteristics into account.
In summary, the code contains data leakage when filling missing values for the test set using statistics derived from the training set, which can lead to misleading evaluation of the model's performance.</t>
  </si>
  <si>
    <t>## Data Leakage Analysis
**Verdict: No data leakage detected.** This pipeline is implemented correctly.
---
## Why This Code Is Correct
### 1. Train/Test Split Happens First
```python
X_train, X_test, y_train, y_test = train_test_split(
    X, y, test_size=0.2, random_state=42
)
```
The split is performed **before** any statistics are computed or transformations are applied. This is the critical ordering requirement.
---
### 2. Imputation Statistics Are Derived Only From Training Data
```python
train_age_mean = X_train["age"].mean()
train_bp_median = X_train["blood_pressure"].median()
train_chol_mean = X_train["cholesterol"].mean()
```
The mean and median values are computed **exclusively on `X_train`**. The test set has no influence on these statistics.
---
### 3. Test Set Is Transformed Using Training Statistics
```python
X_test["age"].fillna(train_age_mean, inplace=True)
X_test["blood_pressure"].fillna(train_bp_median, inplace=True)
X_test["cholesterol"].fillna(train_chol_mean, inplace=True)
```
The test set is imputed using the **training-derived values**, not its own. This correctly simulates the real-world scenario where future/unseen data must be processed using parameters learned only from historical (training) data.
---
## What Leakage Would Look Like Here
For contrast, leakage **would** occur in the following scenarios:
```python
# ❌ LEAKY: Computing statistics on the full dataset before splitting
global_mean = X["age"].mean()  # Incorporates test set information
# ❌ LEAKY: Computing statistics on the test set itself
test_age_mean = X_test["age"].mean()
X_test["age"].fillna(test_age_mean, inplace=True)
# ❌ LEAKY: Fitting imputer on combined data
from sklearn.impute import SimpleImputer
imputer.fit(pd.concat([X_train, X_test]))  # Test data contaminates fit
```
---
## Minor Recommendations (Not Leakage Issues)
While the code is leak-free, consider these improvements:
```python
from sklearn.impute import SimpleImputer
from sklearn.pipeline import Pipeline
# More robust and production-safe approach
pipeline = Pipeline([
    ("imputer", SimpleImputer(strategy="mean")),
    ("model", LogisticRegression(max_iter=1000))
])
pipeline.fit(X_train, y_train)   # Imputer learns only from X_train
y_pred = pipeline.predict(X_test)  # Applies train statistics to X_test
```
**Benefits of this approach:**
- Eliminates manual statistic tracking and reduces human error
- Automatically enforces correct fit/transform separation
- Integrates cleanly with `cross_val_score`, preventing leakage in CV folds
- More maintainable and deployable
---
## Summary
| Check | Status |
|---|---|
| Split before computing statistics | ✅ |
| Imputation fit on training data only | ✅ |
| Test set transformed with training statistics | ✅ |
| Target variable not encoded in features | ✅ |
| No future data used in feature construction | ✅ |</t>
  </si>
  <si>
    <t># Data Leakage Review
**This code is FREE of data leakage.** ✓
## Explanation
The code correctly handles imputation by:
1. **Computing statistics only from training data:**
   ```python
   train_age_mean = X_train["age"].mean()
   train_bp_median = X_train["blood_pressure"].median()
   train_chol_mean = X_train["cholesterol"].mean()
   ```
2. **Applying those training-derived statistics to both train and test sets:**
   ```python
   X_train["age"].fillna(train_age_mean, inplace=True)
   X_test["age"].fillna(train_age_mean, inplace=True)  # Uses TRAINING mean
   ```
This is the **correct approach**. The test set is imputed using training statistics, which mirrors real-world prediction scenarios where you'd only have training data to learn from.
## What Would Be Data Leakage
Data leakage would occur if the code instead computed statistics from the entire dataset **before** splitting:
```python
# ❌ WRONG - Data Leakage
global_age_mean = X["age"].mean()  # Computed from train + test
X_train["age"].fillna(global_age_mean, inplace=True)
X_test["age"].fillna(global_age_mean, inplace=True)
```
This would leak test information into training because test statistics influence the imputation values.
## Summary
The code demonstrates proper data leakage prevention by respecting the temporal/logical boundary between train and test sets during preprocessing.</t>
  </si>
  <si>
    <t>This Python machine learning pipeline code is **free of data leakage**.
Here's a breakdown of why, addressing both common forms of data leakage:
1.  **Information from the test set inadvertently used during training:**
    *   **Correct Splitting:** The data is split into training and testing sets (`X_train, X_test, y_train, y_test`) *before* any preprocessing or model training. This is the most crucial step to prevent leakage.
    *   **Correct Imputation Statistics:** The mean/median for imputation (`train_age_mean`, `train_bp_median`, `train_chol_mean`) are calculated *exclusively* from the `X_train` dataset.
    *   **Correct Application of Imputation:**
        *   The training set (`X_train`) is imputed using statistics derived *only from the training set*.
        *   The test set (`X_test`) is also imputed using the *same statistics derived from the training set*. This is the correct way to handle test data, treating it as unseen data for which you would only have the knowledge learned from the training phase. If test set statistics were used for test set imputation, or if statistics were derived from the full dataset before splitting, that would be leakage.
    *   **Model Training:** The `LogisticRegression` model is fitted *only* on `X_train` and `y_train`.
2.  **Features encoding information about the target that would not be available at prediction time:**
    *   The code does not perform any feature engineering that could inadvertently create a leaky feature (e.g., creating a feature directly from the target variable or a future outcome).
    *   The features mentioned ("age", "blood_pressure", "cholesterol") are typical patient characteristics that would be known *before* a patient's readmission status is determined. Assuming these are standard clinical measurements, they are appropriate features for predicting readmission.
In summary, the pipeline correctly isolates the test set and ensures that all preprocessing steps (specifically imputation in this case) and model training are based solely on information available in the training set. This is a well-structured and robust approach to avoid data leakage.</t>
  </si>
  <si>
    <t>The provided Python code works as intended, but there are several areas where improvements can be made in terms of robustness, performance, and following best practices. Here's a detailed review of the issues, bugs, or bad practices identified in the code:
1. **Missing Error Handling for File Reading**:
   - **Issue**: The code assumes that the file `credit.csv` exists and is readable. If the file is missing or there are issues with file permissions, this will cause the code to raise an error.
   - **Solution**: Introduce error handling around `pd.read_csv()` to manage exceptions like `FileNotFoundError` or `pd.errors.EmptyDataError`.
2. **Hardcoded Filename**:
   - **Issue**: The filename `credit.csv` is hardcoded, which limits the flexibility of the script.
   - **Solution**: Consider using a configuration file or command-line arguments to specify the input file path.
3. **Type Handling in Imputation**:
   - **Issue**: Using `SimpleImputer(strategy='mean')` assumes that all the columns in `X` can be imputed using the mean, which may not be appropriate for non-numeric columns.
   - **Solution**: Check the data types of columns and apply suitable imputation strategies for different types, such as using 'most_frequent' for categorical data.
4. **Lack of Data Validation**:
   - **Issue**: There's no validation on data's shape or whether it contains expected columns.
   - **Solution**: Assert the presence of expected columns and check for the shape to ensure the data is being read correctly.
5. **Potential Data Leakage**:
   - **Issue**: While not directly a problem with this code, it's important to highlight that prior data imputation before splitting can lead to data leakage, especially if certain columns are leveraged for mean that might correlate with the target.
   - **Recommendation**: Sometimes, it is better to perform imputation after the data has been split into training and testing sets to preserve the integrity of the test data set, especially if the dataset is large enough.
6. **Use of Random State**:
   - **Good Practice**: The random state is used to ensure reproducibility, which is a positive aspect of the code. However, consider parameterizing the random state if the script is used in different environments or experiments for flexibility.
7. **Model Evaluation**:
   - **Better Evaluation**: While the F1 score is an appropriate metric for evaluating classification in imbalanced datasets, it might be helpful to display or compare with other metrics such as accuracy, precision, recall, or even a confusion matrix. This provides a comprehensive view of the model performance.
8. **Verbose Output Handling**:
   - **Improvement**: The print statement could be expanded or controlled via a verbosity parameter, especially useful when integrating into a more complex application or during debugging.
By addressing these above issues and following the discussed recommendations, the code can be improved for robustness, flexibility, and adherence to best practices in data science workflow.</t>
  </si>
  <si>
    <t>The provided Python code appears to implement a simple machine learning workflow using a decision tree classifier. However, there are several issues, bugs, or bad practices that can be pointed out:
1. **Lack of Data Preprocessing**:
   - The code does not handle categorical variables. The dataset may contain categorical features that would require encoding (such as one-hot encoding or label encoding) before fitting a model. If categorical features are present in `X`, the `SimpleImputer` will throw an error since it cannot operate on non-numeric data.
   **Recommendation**: Use preprocessing steps to identify and properly transform categorical variables before fitting the model.
2. **Missing Value Imputation Strategy**:
   - The imputation strategy used is `mean`, which is suitable for numerical values. However, this is not appropriate if there are categorical values in the dataset, as indicated above. 
   **Recommendation**: You may want to use different imputation strategies for different data types. Use `SimpleImputer` with `strategy='constant'` or `strategy='most_frequent'` for categorical columns.
3. **Random State Hardcoding**:
   - The `random_state` parameter is hardcoded. While this ensures reproducibility, it also limits the ability to test model robustness. Different random states should be examined to get an understanding of the model's variability.
   **Recommendation**: Consider allowing `random_state` to be passed as an argument or set it to `None` for more varied results during exploratory testing.
4. **No Evaluation of Model Performance on Training Set**:
   - The current code only evaluates the model performance based on the F1 score of the test set. It would be helpful to evaluate how the model performs on the training set as well.
   **Recommendation**: After fitting the model, compute the F1 score and/or other metrics (accuracy, precision, recall) on both the training and test sets.
5. **Potential for Warning with DataFrame Construction**:
   - When constructing a DataFrame from the output of `imputer.fit_transform(X)`, there could be a `SettingWithCopyWarning` if there are chained operations involved before or after modifying `X`. 
   **Recommendation**: Clearly manage the original DataFrame and its copy to avoid ambiguity in the operations performed.
6. **No Cross-Validation**:
   - The code lacks cross-validation, which is important for evaluating the model's performance more reliably. Using a single split as done here may yield biased results.
   **Recommendation**: Consider using cross-validation (`cross_val_score`) to evaluate model performance across multiple splits of the data.
7. **Imports Without Usage Check**:
   - It is important to ensure that all imported modules are useful. If certain imports (e.g., `from sklearn.metrics import f1_score`) are not being used correctly or at all, they should be removed to keep the code clean.
   **Recommendation**: Ensure that every import has a purpose and consider importing only what you need.
8. **Code Documentation**:
   - The code lacks comments and documentation which could aid in understanding the workflow and rationale behind choices made during data processing and model building.
   **Recommendation**: Add comments and/or docstrings to explain the purpose of each major code block or function.
9. **Print Statement Usage**:
   - The result is printed directly using `print`, which may not be very scalable or flexible for further analysis (e.g., logging, exporting results).
   **Recommendation**: Consider using a logging framework or saving results to a file for better output management.
10. **Lack of Feature Importance Evaluation**:
    - After fitting the model, it is often useful to report feature importances to understand which features are contributing the most to the model's performance.
    **Recommendation**: Extract and display feature importances from the fitted `DecisionTreeClassifier`.
By addressing these issues, the code can be made cleaner, more robust, and better suited for real-world applications in machine learning.</t>
  </si>
  <si>
    <t>## Code Review
The code is reasonably structured but has several issues ranging from critical bugs to design concerns.
---
### 1. Data Leakage (Critical Bug)
The imputer is fit on the **entire dataset** before splitting, which leaks test set information into the training process.
```python
# WRONG - fit_transform on all data before splitting
imputer = SimpleImputer(strategy="mean")
X_imputed = pd.DataFrame(
    imputer.fit_transform(X), columns=X.columns  # learns mean from test data too
)
X_train, X_test, y_train, y_test = train_test_split(...)
```
```python
# CORRECT - fit only on training data
X_train, X_test, y_train, y_test = train_test_split(
    X, y, test_size=0.3, random_state=10
)
imputer = SimpleImputer(strategy="mean")
X_train_imputed = pd.DataFrame(
    imputer.fit_transform(X_train), columns=X_train.columns
)
X_test_imputed = pd.DataFrame(
    imputer.transform(X_test), columns=X_test.columns   # only transform, never fit
)
```
---
### 2. Mean Imputation on Likely Categorical Features (Bug/Bad Practice)
Credit datasets typically contain categorical features (employment status, loan purpose, etc.). Imputing these with the **mean produces nonsensical values**.
```python
# WRONG - mean imputation applied blindly to all columns
imputer = SimpleImputer(strategy="mean")
```
```python
# CORRECT - handle numeric and categorical columns separately
from sklearn.compose import ColumnTransformer
numeric_cols = X.select_dtypes(include="number").columns
categorical_cols = X.select_dtypes(exclude="number").columns
preprocessor = ColumnTransformer([
    ("num", SimpleImputer(strategy="mean"),   numeric_cols),
    ("cat", SimpleImputer(strategy="most_frequent"), categorical_cols),
])
```
---
### 3. F1 Score Assumes Binary Classification (Potential Bug)
The default `f1_score` assumes binary classification with positive label `1`. If the target has different labels or is multiclass, this silently produces wrong results.
```python
# WRONG - fragile, assumes binary with pos_label=1
print(f"F1 Score: {f1_score(y_test, y_pred):.4f}")
```
```python
# CORRECT - be explicit about the averaging strategy
print(f"F1 Score: {f1_score(y_test, y_pred, average='binary', pos_label=1):.4f}")
# For multiclass targets:
print(f"F1 Score: {f1_score(y_test, y_pred, average='weighted'):.4f}")
```
---
### 4. No Exploratory Data Analysis Before Modeling (Bad Practice)
The code jumps straight to modeling with no understanding of the data.
```python
# Add before modeling
print(df.shape)
print(df.dtypes)
print(df["default"].value_counts(normalize=True))  # check class imbalance
print(df.isnull().sum())                            # understand missing data extent
```
This matters especially because **class imbalance** (common in credit data) would make F1 score misleading without proper handling.
---
### 5. Decision Tree Will Overfit (Bad Practice)
An unconstrained `DecisionTreeClassifier` grows until leaves are pure, which typically overfits.
```python
# WRONG - no depth constraints
model = DecisionTreeClassifier(random_state=10)
```
```python
# CORRECT - constrain tree complexity
model = DecisionTreeClassifier(
    random_state=10,
    max_depth=5,
    min_samples_leaf=20,
    min_samples_split=50
)
```
---
### 6. No Cross-Validation (Bad Practice)
A single train/test split gives an unreliable performance estimate with high variance.
```python
from sklearn.model_selection import cross_val_score
scores = cross_val_score(
    model, X_imputed, y,
    cv=5,
    scoring="f1"
)
print(f"CV F1: {scores.mean():.4f} ± {scores.std():.4f}")
```
---
### 7. Index Misalignment After Imputation (Minor Bug)
`fit_transform` returns a NumPy array, and reconstructing the DataFrame resets the index. If `y` retains its original index, alignment issues can occur silently.
```python
# Safer - explicitly reset y's index too
y = y.reset_index(drop=True)
# Or preserve the original index
X_imputed = pd.DataFrame(
    imputer.fit_transform(X),
    columns=X.columns,
    index=X.index        # preserve original index
)
```
---
## Summary Table
| # | Issue | Severity |
|---|-------|----------|
| 1 | Data leakage from imputer fit on full dataset | Critical |
| 2 | Mean imputation on categorical features | High |
| 3 | F1 score with implicit assumptions | Medium |
| 4 | No EDA or class imbalance check | Medium |
| 5 | Unconstrained decision tree overfits | Medium |
| 6 | Single split gives unreliable metrics | Medium |
| 7 | Index misalignment after imputation | Low |</t>
  </si>
  <si>
    <t># Code Review: Issues and Problems
## 1. **Data Leakage (CRITICAL)** ⚠️
```python
imputer = SimpleImputer(strategy="mean")
X_imputed = pd.DataFrame(
    imputer.fit_transform(X), columns=X.columns
)
```
**Problem:** The imputer is fit on the entire dataset *before* splitting. This means test set statistics leak into the training data.
**Fix:** Fit the imputer only on training data:
```python
X_train, X_test, y_train, y_test = train_test_split(
    X, y, test_size=0.3, random_state=10
)
imputer = SimpleImputer(strategy="mean")
X_train = pd.DataFrame(
    imputer.fit_transform(X_train), columns=X.columns
)
X_test = pd.DataFrame(
    imputer.transform(X_test), columns=X.columns
)
```
---
## 2. **Inappropriate Imputation Strategy**
```python
imputer = SimpleImputer(strategy="mean")
```
**Problem:** Using mean imputation for a classification task (credit default) is problematic:
- Mean imputation may be inappropriate for categorical features
- For imbalanced datasets, mean strategy can bias predictions
- No validation that features are actually numeric
**Fix:** Check data types first and use appropriate strategies:
```python
# For numeric columns only
numeric_cols = X.select_dtypes(include=['number']).columns
X[numeric_cols] = imputer.fit_transform(X[numeric_cols])
```
---
## 3. **No Input Validation**
```python
df = pd.read_csv("credit.csv")
```
**Problem:** No error handling if:
- File doesn't exist
- File is corrupted
- Required columns are missing
**Fix:**
```python
try:
    df = pd.read_csv("credit.csv")
    if "default" not in df.columns:
        raise ValueError("'default' column not found")
except FileNotFoundError:
    print("Error: credit.csv not found")
    exit(1)
```
---
## 4. **No Class Imbalance Handling**
```python
model = DecisionTreeClassifier(random_state=10)
```
**Problem:** Credit default datasets are typically imbalanced. Decision trees can be biased toward majority class.
**Fix:**
```python
model = DecisionTreeClassifier(
    random_state=10,
    class_weight='balanced'  # or specify weights
)
```
---
## 5. **Incomplete Model Evaluation**
```python
print(f"F1 Score: {f1_score(y_test, y_pred):.4f}")
```
**Problem:** Only F1 score is reported. Missing:
- Precision/Recall (important for imbalanced data)
- Confusion matrix
- Training score (to check for overfitting)
**Fix:**
```python
from sklearn.metrics import classification_report, confusion_matrix
print("Classification Report:")
print(classification_report(y_test, y_pred))
print(f"Train F1: {f1_score(y_train, model.predict(X_train)):.4f}")
print(f"Test F1: {f1_score(y_test, y_pred):.4f}")
```
---
## 6. **No Default Handling for F1 Score**
```python
print(f"F1 Score: {f1_score(y_test, y_pred):.4f}")
```
**Problem:** If one class is completely missing from predictions, `f1_score()` throws an error by default.
**Fix:**
```python
print(f"F1 Score: {f1_score(y_test, y_pred, zero_division=0):.4f}")
```
---
## 7. **No Feature Type Checking**
**Problem:** The code assumes all features are numeric, but:
- Categorical features may be present
- String features need encoding
- Different data types need different handling
**Fix:**
```python
categorical_cols = X.select_dtypes(include=['object']).columns
if len(categorical_cols) &gt; 0:
    X = pd.get_dummies(X, columns=categorical_cols, drop_first=True)
```
---
## Summary Table
| Issue | Severity | Type |
|-------|----------|------|
| Data leakage | **CRITICAL** | Bug |
| Inappropriate imputation | High | Logic error |
| No error handling | Medium | Bad practice |
| No class imbalance handling | Medium | Logic error |
| Incomplete evaluation | Medium | Bad practice |
| Missing F1 edge case handling | Low | Bug |
| No feature type checking | Medium | Bad practice |</t>
  </si>
  <si>
    <t>This Python code provides a basic machine learning pipeline for classification. While functional, it has several issues, bugs, and bad practices that can lead to misleading results, suboptimal performance, and lack of robustness.
Here's a breakdown of the problems:
---
### Critical Issues / Bugs
1.  **Data Leakage during Imputation:**
    *   **Problem:** The `SimpleImputer` is `fit_transform`ed on the entire dataset `X` *before* the train-test split (`X_imputed = pd.DataFrame(imputer.fit_transform(X), columns=X.columns)`). This means the mean (or chosen strategy) for imputation is calculated using data from both the training *and* testing sets.
    *   **Explanation:** When you then split `X_imputed`, the imputed values in the training set have indirectly "seen" information from the test set. This leaks information from the test set into the training phase, leading to an overly optimistic evaluation of the model's performance on unseen data. The model appears to perform better than it would in a real-world scenario where test data is truly unknown.
    *   **Fix:** The imputer should be `fit` *only* on the training data (`X_train_raw`) and then used to `transform` both the training and testing sets *separately*.
2.  **Improper Handling of Categorical Features (Implicit Assumption):**
    *   **Problem:** The `SimpleImputer(strategy="mean")` is applied to all columns in `X`. If `X` contains categorical features (e.g., "gender", "education_level"), applying a "mean" imputation strategy to them is nonsensical and will either raise an error (if they are string/object dtypes) or produce incorrect numerical values (if they were pre-encoded to numbers without proper care).
    *   **Explanation:** `SimpleImputer` with `strategy="mean"` is only appropriate for numerical features. The dataset `credit.csv` is likely to contain categorical columns (e.g., 'Gender', 'MaritalStatus', 'Education'). The code makes an implicit assumption that all features in `X` are numerical or can be meaningfully imputed by their mean.
    *   **Fix:** Categorical features need different preprocessing steps:
        *   Identify numerical and categorical columns.
        *   Apply appropriate imputation for categorical features (e.g., `strategy="most_frequent"` or creating a "missing" category).
        *   Apply encoding (e.g., One-Hot Encoding for nominal, Label Encoding or Ordinal Encoding for ordinal) to categorical features *after* imputation.
        *   This often requires using a `ColumnTransformer` within a `Pipeline`.
---
### Bad Practices / Areas for Improvement
3.  **Lack of Robustness / Error Handling:**
    *   **Problem:** The code assumes `credit.csv` exists in the current directory and that the column "default" exists. If either is not true, the script will crash with a `FileNotFoundError` or `KeyError` respectively.
    *   **Explanation:** In a real-world application, file paths can change, or column names might be misspelled. Robust code should handle these potential failures gracefully.
    *   **Improvement:** Add `try-except` blocks for file loading and column access.
4.  **No Pipeline for Preprocessing and Model Training:**
    *   **Problem:** The preprocessing steps (imputation) are performed manually and separately from the model training.
    *   **Explanation:** Using `sklearn.pipeline.Pipeline` is a best practice. It chains multiple steps, ensures correct data flow (especially for preventing data leakage), makes the code cleaner, and simplifies cross-validation and hyperparameter tuning. It would naturally handle the data leakage issue from point 1.
    *   **Improvement:** Encapsulate the imputation and the model into a `Pipeline`. This makes the entire workflow an atomic unit.
5.  **Untuned Model:**
    *   **Problem:** The `DecisionTreeClassifier` is initialized with default hyperparameters (other than `random_state`).
    *   **Explanation:** Default hyperparameters are rarely optimal for a given dataset. The model's performance can often be significantly improved by tuning its hyperparameters (e.g., `max_depth`, `min_samples_leaf`, `criterion`).
    *   **Improvement:** Implement hyperparameter tuning using techniques like `GridSearchCV` or `RandomizedSearchCV` within a `Pipeline`.
6.  **No Scaling (for other models):**
    *   **Problem:** While Decision Trees are not sensitive to feature scaling, if you were to switch to other models (e.g., Logistic Regression, SVMs, Neural Networks, k-Nearest Neighbors), the lack of feature scaling (e.g., `StandardScaler`, `MinMaxScaler`) would negatively impact performance.
    *   **Explanation:** It's good practice to consider feature scaling in a general ML pipeline, even if not strictly necessary for the chosen model.
    *   **Improvement:** If other models are considered, add a scaling step (e.g., `StandardScaler`) to the preprocessing `Pipeline`.
7.  **Potential Class Imbalance (and `stratify`):**
    *   **Problem:** The `train_test_split` is called without the `stratify` parameter.
    *   **Explanation:** If the target variable `y` ("default") is imbalanced (one class is much more frequent than the other), a simple random split might result in one of the splits having a disproportionate representation of the classes. This can lead to a training set that doesn't accurately represent the overall class distribution or a test set that's too small for one class, impacting evaluation reliability.
    *   **Improvement:** Add `stratify=y` to `train_test_split` to ensure that both training and testing sets have a similar proportion of the target classes as the original dataset.
8.  **Limited Model Evaluation:**
    *   **Problem:** Only the F1 score is reported.
    *   **Explanation:** While F1 score is a good metric, especially for imbalanced datasets, it's often beneficial to look at a broader set of metrics (e.g., precision, recall, accuracy, ROC AUC, confusion matrix) to get a more comprehensive understanding of the model's strengths and weaknesses.
    *   **Improvement:** Report additional relevant metrics, or display a confusion matrix.
---
### Revised Code incorporating fixes and improvements:
```python
import pandas as pd
from sklearn.impute import SimpleImputer
from sklearn.model_selection import train_test_split, GridSearchCV
from sklearn.tree import DecisionTreeClassifier
from sklearn.metrics import f1_score, classification_report, confusion_matrix
from sklearn.pipeline import Pipeline
from sklearn.compose import ColumnTransformer
from sklearn.preprocessing import StandardScaler, OneHotEncoder
import numpy as np
# --- 1. Data Loading and Initial Inspection (Improved Robustness) ---
try:
    df = pd.read_csv("credit.csv")
except FileNotFoundError:
    print("Error: 'credit.csv' not found. Please ensure the file is in the correct directory.")
    exit()
# Identify target variable
TARGET_COLUMN = "default"
if TARGET_COLUMN not in df.columns:
    print(f"Error: Target column '{TARGET_COLUMN}' not found in the dataset.")
    exit()
X = df.drop(TARGET_COLUMN, axis=1)
y = df[TARGET_COLUMN]
print(f"Original dataset shape: {df.shape}")
print(f"Target variable value counts:\n{y.value_counts()}")
print(f"Missing values before processing:\n{X.isnull().sum()[X.isnull().sum() &gt; 0]}")
# --- 2. Identify Column Types for Preprocessing ---
# This assumes numerical columns are those that are not object or category
# You might need to adjust this based on your specific dataset
numerical_cols = X.select_dtypes(include=np.number).columns.tolist()
categorical_cols = X.select_dtypes(include='object').columns.tolist()
# If there are columns that are numerical but should be treated as categorical (e.g., IDs)
# or vice-versa, adjust the lists manually.
print(f"\nNumerical columns: {numerical_cols}")
print(f"Categorical columns: {categorical_cols}")
# --- 3. Create Preprocessing Pipelines (Fixes Data Leakage and Categorical Handling) ---
# Preprocessing for numerical features: impute with mean, then scale
numerical_transformer = Pipeline(steps=[
    ('imputer', SimpleImputer(strategy='mean')),
    ('scaler', StandardScaler()) # Scaling is good practice for many models, though not strictly needed for DT
])
# Preprocessing for categorical features: impute with most frequent, then one-hot encode
categorical_transformer = Pipeline(steps=[
    ('imputer', SimpleImputer(strategy='most_frequent')),
    ('onehot', OneHotEncoder(handle_unknown='ignore')) # handle_unknown='ignore' prevents errors on unseen categories
])
# Combine preprocessing steps using ColumnTransformer
preprocessor = ColumnTransformer(
    transformers=[
        ('num', numerical_transformer, numerical_cols),
        ('cat', categorical_transformer, categorical_cols)
    ],
    remainder='passthrough' # Keep other columns (if any) that weren't explicitly transformed
)
# --- 4. Create the Full Machine Learning Pipeline ---
# (Addresses point 4: Use of Pipeline)
model_pipeline = Pipeline(steps=[
    ('preprocessor', preprocessor),
    ('classifier', DecisionTreeClassifier(random_state=10))
])
# --- 5. Train-Test Split (with stratification for class imbalance) ---
# (Addresses point 7: Stratification)
X_train, X_test, y_train, y_test = train_test_split(
    X, y, test_size=0.3, random_state=10, stratify=y
)
print(f"\nTrain set shape: {X_train.shape}, Test set shape: {X_test.shape}")
print(f"Train target distribution:\n{y_train.value_counts(normalize=True)}")
print(f"Test target distribution:\n{y_test.value_counts(normalize=True)}")
# --- 6. Hyperparameter Tuning (Addresses point 5: Untuned Model) ---
# Define parameter grid for GridSearchCV
param_grid = {
    'classifier__max_depth': [3, 5, 7, 10, None], # Max depth of the tree
    'classifier__min_samples_leaf': [1, 5, 10, 20], # Minimum samples required to be at a leaf node
    'classifier__criterion': ['gini', 'entropy'] # Function to measure the quality of a split
}
print("\nStarting Grid Search for optimal hyperparameters...")
grid_search = GridSearchCV(
    model_pipeline,
    param_grid,
    cv=5, # 5-fold cross-validation
    scoring='f1', # Use F1 score as the evaluation metric for tuning
    n_jobs=-1, # Use all available CPU cores
    verbose=1
)
grid_search.fit(X_train, y_train)
best_model = grid_search.best_estimator_
print(f"\nBest F1 Score from Grid Search: {grid_search.best_score_:.4f}")
print(f"Best Hyperparameters: {grid_search.best_params_}")
# --- 7. Model Evaluation (Addresses point 8: Limited Evaluation) ---
print("\n--- Evaluating Best Model on Test Set ---")
y_pred = best_model.predict(X_test)
print(f"F1 Score on Test Set: {f1_score(y_test, y_pred):.4f}")
print("\nClassification Report:\n", classification_report(y_test, y_pred))
print("\nConfusion Matrix:\n", confusion_matrix(y_test, y_pred))
```</t>
  </si>
  <si>
    <t>The provided code does not contain any direct data leakage, meaning it does not use information from the test set to influence the training of the model. Here’s why:
1. **Data Splitting**: The dataset is split into training and testing sets after applying the `SimpleImputer`. The imputation is done before splitting, which is standard practice if the imputation strategy relies on general statistics like mean or median. Since the `mean` imputation strategy is used here, it uses the global mean of each feature, calculated from the entire dataset before the split. This is acceptable because mean imputation doesn't use label information and is generally robust to leakage concerns, provided the data is representative.
2. **Model Training and Testing**: The training of the `DecisionTreeClassifier` is done exclusively on the `X_train` and `y_train` sets, and evaluation occurs on the `X_test` and `y_test`, which is the expected and correct procedure.
3. **Feature and Target Encoding**: The code does not appear to include any operations that could inadvertently encode information about the target variable `y` in a way that would not be available during prediction. For instance, no transformation or feature engineering is occurring using the labels.
In conclusion, this code snippet is free of data leakage concerns based on standard practices. The caveat is that no unseen "test set" values should have feature-specific corrections or transformations learned explicitly from their presence, which isn't happening here. 
In any production environment or more complex setups (e.g., time-series data), considerations might be different, especially for data preprocessing tasks like feature scaling or encoding that may require different handling depending on the strategy used. But in this context, the mean imputation of missing values is suitable when carried out prior to train-test split.</t>
  </si>
  <si>
    <t>The provided Python machine learning pipeline does indeed contain a form of data leakage. Let’s break down where this occurs and why it presents a problem.
### Location of Data Leakage:
The leakage occurs in the way the `SimpleImputer` is applied. The `SimpleImputer` is fitted on the entire dataset `X` before the train-test split:
```python
imputer = SimpleImputer(strategy="mean")
X_imputed = pd.DataFrame(
    imputer.fit_transform(X), columns=X.columns
)
```
In this snippet, `imputer.fit_transform(X)` computes the mean of all features in `X`, which includes both training and test data, and then uses this single mean to impute missing values across the entire dataset. 
### Why This is a Problem:
1. **Contamination of Test Data**: By computing the imputer on the entire dataset before splitting into training and testing sets, the imputer has knowledge of the target variable's distribution in the test set. This knowledge can unintentionally inform the training process, which defeats the purpose of having a separate test set meant to simulate real-world predictions where the model only sees the training data.
2. **Real-World Application**: In real-world applications, when a model is deployed for predictions, it will only have access to the training data and upcoming data (new instances) without knowing their true outputs. If during training the imputer has already been fit with test data, the model may be overfitting or learning features that would not truly be available at the time of prediction.
### Solution:
To prevent data leakage, the `SimpleImputer` should be fitted only on the training set after the `train_test_split`. Here is the corrected section of the code:
```python
# First, split the data into train and test sets
X_train, X_test, y_train, y_test = train_test_split(
    X, y, test_size=0.3, random_state=10
)
# Then apply the imputer only to the training set and transform both
imputer = SimpleImputer(strategy="mean")
X_train_imputed = pd.DataFrame(
    imputer.fit_transform(X_train), columns=X_train.columns
)
X_test_imputed = pd.DataFrame(
    imputer.transform(X_test), columns=X_test.columns
)
model = DecisionTreeClassifier(random_state=10)
model.fit(X_train_imputed, y_train)
y_pred = model.predict(X_test_imputed)
print(f"F1 Score: {f1_score(y_test, y_pred):.4f}")
```
In this adjusted code, the `SimpleImputer` is fitted solely on `X_train`, preventing any information from `X_test` from leaking into the training phase. Thus, the model is trained and tested in a manner that simulates real-world conditions more accurately.</t>
  </si>
  <si>
    <t>## Data Leakage Analysis
### Verdict: **Data Leakage Present**
---
### Where the Leakage Occurs
The leakage is on this line:
```python
imputer = SimpleImputer(strategy="mean")
X_imputed = pd.DataFrame(
    imputer.fit_transform(X), columns=X.columns  # ← fit uses ALL data including future test rows
)
# Split happens AFTER imputation — too late
X_train, X_test, y_train, y_test = train_test_split(
    X_imputed, y, test_size=0.3, random_state=10
)
```
`fit_transform` is called on the **entire dataset `X`** before the train/test split. This means the **column means used to fill missing values are computed from both training and test rows combined**.
---
### Why This Is a Problem
When `SimpleImputer` fits on the full dataset, it calculates statistics (here, column means) that incorporate test set values. Those means are then used to impute the training data.
```
# What actually happens:
mean_for_column = mean(train_rows + test_rows)  # ← test rows influence training imputation
# What should happen:
mean_for_column = mean(train_rows_only)         # ← test rows must be invisible at fit time
```
At real prediction time, you would only have access to the training distribution to compute imputation statistics — future data hasn't arrived yet. By leaking test row values into the mean calculation, the model is trained on subtly optimistic data that won't reflect reality in deployment.
The **severity is typically low-to-moderate** for large datasets (the means shift only slightly), but it is still a methodological error that can:
- Inflate evaluation metrics, giving an overly optimistic performance estimate
- Cause a reproducibility gap between offline evaluation and live performance
- Become more significant on small datasets where each row meaningfully shifts the mean
---
### Corrected Code
The fix is to split **first**, then fit the imputer **only on training data**, and use `transform` (not `fit_transform`) on the test data:
```python
import pandas as pd
from sklearn.impute import SimpleImputer
from sklearn.model_selection import train_test_split
from sklearn.tree import DecisionTreeClassifier
from sklearn.metrics import f1_score
df = pd.read_csv("credit.csv")
X = df.drop("default", axis=1)
y = df["default"]
# ✅ Split BEFORE any fitting on the data
X_train, X_test, y_train, y_test = train_test_split(
    X, y, test_size=0.3, random_state=10
)
# ✅ Fit imputer on training data only
imputer = SimpleImputer(strategy="mean")
X_train_imputed = pd.DataFrame(
    imputer.fit_transform(X_train), columns=X_train.columns
)
# ✅ Transform test data using training statistics only
X_test_imputed = pd.DataFrame(
    imputer.transform(X_test), columns=X_test.columns
)
model = DecisionTreeClassifier(random_state=10)
model.fit(X_train_imputed, y_train)
y_pred = model.predict(X_test_imputed)
print(f"F1 Score: {f1_score(y_test, y_pred):.4f}")
```
---
### Better Yet: Use a Pipeline
The most robust approach uses `sklearn.pipeline.Pipeline`, which enforces correct fit/transform sequencing automatically and makes cross-validation leakage-free as well:
```python
from sklearn.pipeline import Pipeline
pipeline = Pipeline([
    ("imputer", SimpleImputer(strategy="mean")),
    ("model",   DecisionTreeClassifier(random_state=10))
])
pipeline.fit(X_train, y_train)
y_pred = pipeline.predict(X_test)
```
This guarantees that during any cross-validation fold, the imputer only ever sees training fold data.</t>
  </si>
  <si>
    <t># Data Leakage Found ⚠️
## The Problem
This code contains **training data leakage**. The imputer is fit on the entire dataset (`X_imputed`) before the train-test split, which means:
1. **Mean values are computed using test data**: The `imputer.fit_transform(X)` on line 11 calculates mean values from all 100% of the data, including what will later become the test set.
2. **Test set statistics influence training**: When `X_train` is imputed using these global means, it's actually using information derived from the test set. This inflates performance metrics because the training data has been "informed" by the test set.
3. **Unrealistic prediction scenario**: At inference time, you won't have access to future test data to compute means, so the model is trained under conditions that won't exist in production.
## Why This Matters
- The reported F1 score is **optimistically biased** and will likely be higher than real-world performance
- The model hasn't truly learned to generalize to unseen data
- Results are not reproducible in a real deployment scenario
## The Fix
Fit the imputer **only on training data**, then apply it to both train and test sets:
```python
import pandas as pd
from sklearn.impute import SimpleImputer
from sklearn.model_selection import train_test_split
from sklearn.tree import DecisionTreeClassifier
from sklearn.metrics import f1_score
df = pd.read_csv("credit.csv")
X = df.drop("default", axis=1)
y = df["default"]
X_train, X_test, y_train, y_test = train_test_split(
    X, y, test_size=0.3, random_state=10
)
# Fit imputer ONLY on training data
imputer = SimpleImputer(strategy="mean")
X_train_imputed = pd.DataFrame(
    imputer.fit_transform(X_train), columns=X_train.columns
)
# Transform test data using training statistics
X_test_imputed = pd.DataFrame(
    imputer.transform(X_test), columns=X_test.columns
)
model = DecisionTreeClassifier(random_state=10)
model.fit(X_train_imputed, y_train)
y_pred = model.predict(X_test_imputed)
print(f"F1 Score: {f1_score(y_test, y_pred):.4f}")
```
**Key changes:**
- Split before preprocessing ✓
- Fit imputer only on `X_train` ✓
- Use `transform()` (not `fit_transform()`) on `X_test` ✓</t>
  </si>
  <si>
    <t>Yes, this code **does contain data leakage**.
The data leakage occurs in the imputation step.
**Exact location of the leakage:**
```python
imputer = SimpleImputer(strategy="mean")
X_imputed = pd.DataFrame(
    imputer.fit_transform(X), columns=X.columns
)
```
**Why it is a problem:**
1.  **`imputer.fit_transform(X)`:** In this line, the `SimpleImputer` is `fit` on the *entire dataset* `X` (which includes both future training and future test data). When `fit` is called, the imputer calculates the mean for each feature based on *all* the data available, including the 30% that will eventually be used for testing.
2.  **Information from the test set is used in training:** Consequently, the mean values used to fill missing data in the training set (after the split) are influenced by the distribution of values in the test set. This means the imputation process "peeks" at the test set.
3.  **Unrealistic performance estimate:** When the model is evaluated on the test set, its performance might appear artificially optimistic. In a real-world scenario, when you receive new, unseen data for prediction, you wouldn't have access to that data's distribution to calculate imputation parameters. You would only have the parameters learned from your training data. The current pipeline simulates a situation where you somehow know the characteristics of future data before you even train your model.
**How to fix it:**
The correct approach is to perform the train-test split *before* any data preprocessing steps that involve learning parameters (like imputation, scaling, or feature engineering). The imputer should be `fit` *only* on the training data, and then used to `transform` both the training and test data.
Here's the corrected version of the code:
```python
import pandas as pd
from sklearn.impute import SimpleImputer
from sklearn.model_selection import train_test_split
from sklearn.tree import DecisionTreeClassifier
from sklearn.metrics import f1_score
df = pd.read_csv("credit.csv")
X = df.drop("default", axis=1)
y = df["default"]
# 1. Perform train-test split FIRST
X_train, X_test, y_train, y_test = train_test_split(
    X, y, test_size=0.3, random_state=10
)
# 2. Initialize imputer
imputer = SimpleImputer(strategy="mean")
# 3. Fit the imputer ONLY on the training data
imputer.fit(X_train)
# 4. Transform both training and test data using the fitted imputer
X_train_imputed = pd.DataFrame(
    imputer.transform(X_train), columns=X_train.columns
)
X_test_imputed = pd.DataFrame(
    imputer.transform(X_test), columns=X_test.columns
)
model = DecisionTreeClassifier(random_state=10)
model.fit(X_train_imputed, y_train) # Use imputed training data
y_pred = model.predict(X_test_imputed) # Use imputed test data
print(f"F1 Score: {f1_score(y_test, y_pred):.4f}")
```
This corrected code ensures that no information from the test set leaks into the training phase, providing a more reliable estimate of the model's true performance on unseen data.</t>
  </si>
  <si>
    <t>The provided Python code performs a simple machine learning task using a decision tree classifier with data imputation. While the code appears functional, there are several potential issues, bugs, or bad practices that could be improved:
1. **Lack of Data Preprocessing Understanding**:
   - Before using `SimpleImputer`, it is crucial to understand the nature of the missing data in your dataset. The strategy "mean" is used here without consideration of whether it is appropriate given the types of features in `X`. For categorical features, other strategies such as "most_frequent" or a specific value might be more appropriate.
2. **Imputer Fitting on Full Feature Set**:
   - The `SimpleImputer` is fitted on `X_train` and then applied to both `X_train` and `X_test`. This is generally correct, but it assumes that the columns of `X_train` are the same as those of `X`. Future modifications to the `drop()` method could result in misalignment if not handled carefully. It’s better to fit/transform on just the columns present in `X_train` to avoid potential bugs.
3. **Naive Approach to Handling Different Data Types**:
   - The code naively assumes that mean imputation is suitable for all columns. However, if `X` contains both numerical and categorical features, this needs to be handled more carefully, potentially using `ColumnTransformer` from `sklearn.compose` to apply different imputations.
4. **No Data Validation or Error Handling**:
   - There is no check to ensure that the `df` DataFrame has the column "default" before proceeding, which could lead to runtime errors if the dataset structure changes. Adding checks for critical columns before operations would be more robust.
5. **Global Variables**:
   - The use of global variables like `X_train`, `X_test`, etc., can make the code harder to debug and understand. Encapsulating this logic into a function would make it more modular and testable.
6. **Model Evaluation Limitation**:
   - Only the F1 score is used to evaluate the model. While F1 is valuable, it provides limited insight into the performance of the classifier. Consider including additional metrics, such as confusion matrix, precision, recall, or others, to gain a fuller understanding.
7. **No Hyperparameter Tuning**:
   - The model is fit with default hyperparameters. While this is fine for a basic example, it’s often beneficial to use hyperparameter tuning techniques like grid search or random search to find the best model settings.
8. **Output is Not User-Friendly**:
   - While printing the F1 score is useful, wrapping this into a more user-friendly report or leveraging logging instead of printing directly could enhance the code for real-world applications.
9. **File Name String**:
   - The file name `"credit.csv"` is hardcoded, reducing flexibility. It may be more appropriate to make this an argument of a function or a configurable parameter at the script level.
10. **General Lack of Documentation**:
    - The code lacks any documentation or comments explaining what each part of the code does or why certain decisions were made. Adding comments and/or docstrings would greatly improve comprehension.
Addressing these issues could make the code more robust, maintainable, and applicable to different scenarios or changes in the data preprocessing needs.</t>
  </si>
  <si>
    <t>The provided Python code for training a Decision Tree Classifier and evaluating it has several issues, bugs, and areas for potential improvement. Here are the identified problems, along with explanations:
1. **Missing Data Handling**:
   - The code uses the `SimpleImputer` to handle missing values, but it assumes that the mean strategy is appropriate for all columns. This isn't necessarily true, especially for categorical variables. If the dataset contains categorical features, using the mean strategy could lead to erroneous values. A better approach would be to check the data types of the columns and impute accordingly (e.g., using a mode for categorical variables).
2. **Column Mismatch After Imputation**:
   - When creating `X_train` and `X_test` using imputation, the columns argument in `pd.DataFrame` references `X.columns`, which refers to the original DataFrame. If the imputer was applied to a DataFrame with different columns (e.g., due to dropping columns with many missing values), this would lead to a potential misalignment. Instead, columns from the imputed data should be used.
   Correction:
   ```python
   X_train = pd.DataFrame(
       imputer.fit_transform(X_train), columns=X_train.columns
   )
   X_test = pd.DataFrame(
       imputer.transform(X_test), columns=X_train.columns
   )
   ```
3. **Potential Data Leakage**:
   - The imputer is fitted on the training data and then used to transform both the training and test datasets, which is correct. However, it's crucial to ensure that the splitting of the data and the imputer fitting happen in the right order to prevent data leakage. Although this code appears correct, it's crucial to be vigilant about this issue in real data processing practices.
4. **Hardcoding Random State**:
   - The `random_state` parameter is set to a specific value (10). While this is fine for reproducibility, it might be better to either document this choice or make it configurable (e.g., via a command-line argument or a configuration file) to allow for varied results across different runs if needed.
5. **Model Evaluation**:
   - The evaluation metric is currently set to F1 score, which is typically used in imbalanced datasets. It's important to consider checking other metrics as well (like accuracy, precision, and recall) to get a more comprehensive understanding of model performance, unless you specifically want to focus on the F1 score.
6. **Assumption about Data**:
   - The code doesn’t check if the "default" column exists in the DataFrame. It assumes that the CSV is properly formatted. Incorporating checks or try-except blocks could help in identifying issues earlier in the pipeline.
7. **No Imports for Warnings**:
   - The code does not include settings for managing warnings which might arise from data quality or preprocessing errors (e.g., setting warnings filter). It's generally good practice to handle warnings especially when working in exploratory data analysis contexts.
Here’s an improved version of the relevant code snippet addressing some of the above points:
```python
import pandas as pd
from sklearn.impute import SimpleImputer
from sklearn.model_selection import train_test_split
from sklearn.tree import DecisionTreeClassifier
from sklearn.metrics import f1_score, accuracy_score, precision_score, recall_score
# Load data
df = pd.read_csv("credit.csv")
# Ensure "default" column exists in the DataFrame
if "default" not in df.columns:
    raise ValueError("The target column 'default' does not exist in the DataFrame.")
# Split data into features and target
X = df.drop("default", axis=1)
y = df["default"]
# Split into train and test sets
X_train, X_test, y_train, y_test = train_test_split(X, y, test_size=0.3, random_state=10)
# Handle missing data
imputer = SimpleImputer(strategy="mean")  # Consider dynamically setting strategy based on column types
X_train_imputed = imputer.fit_transform(X_train)
X_test_imputed = imputer.transform(X_test)
# Creating DataFrames with the right columns
X_train = pd.DataFrame(X_train_imputed, columns=X_train.columns)
X_test = pd.DataFrame(X_test_imputed, columns=X_train.columns)
# Train model
model = DecisionTreeClassifier(random_state=10)
model.fit(X_train, y_train)
# Make predictions and evaluate model
y_pred = model.predict(X_test)
print(f"F1 Score: {f1_score(y_test, y_pred):.4f}")
print(f"Accuracy: {accuracy_score(y_test, y_pred):.4f}")
print(f"Precision: {precision_score(y_test, y_pred):.4f}")
print(f"Recall: {recall_score(y_test, y_pred):.4f}")
```
By addressing these issues, the code would be more robust, maintainable, and more likely to yield accurate results.</t>
  </si>
  <si>
    <t>## Code Review
Overall the code is functional and follows several good practices, but has some notable issues worth addressing.
---
### Issue 1: Mean Imputation Applied to All Columns Indiscriminately
```python
# PROBLEM: Mean imputation is only valid for numeric columns.
# Categorical columns will either cause an error or be silently mishandled.
imputer = SimpleImputer(strategy="mean")
X_train = pd.DataFrame(imputer.fit_transform(X_train), columns=X.columns)
```
**Why it matters:** Applying mean imputation to categorical features is statistically invalid. scikit-learn will raise an error if string columns are present, and even if categorical columns are numerically encoded, imputing their mean produces a meaningless fractional category.
```python
# BETTER: Handle numeric and categorical columns separately
from sklearn.compose import ColumnTransformer
numeric_cols = X.select_dtypes(include="number").columns.tolist()
categorical_cols = X.select_dtypes(exclude="number").columns.tolist()
preprocessor = ColumnTransformer(transformers=[
    ("num", SimpleImputer(strategy="mean"),       numeric_cols),
    ("cat", SimpleImputer(strategy="most_frequent"), categorical_cols),
])
```
---
### Issue 2: DataFrame Index Is Silently Reset After Imputation
```python
# PROBLEM: fit_transform returns a NumPy array, so the reconstructed
# DataFrame gets a default 0-based index, discarding the original index.
X_train = pd.DataFrame(
    imputer.fit_transform(X_train), columns=X.columns
)
```
**Why it matters:** After the split, `X_train` retains the original row indices (e.g., rows 5, 7, 42…). Wrapping the NumPy output in a new DataFrame resets the index to 0, 1, 2…, making it inconsistent with `y_train`. This can cause silent alignment bugs, particularly if any downstream code relies on index-based alignment.
```python
# BETTER: Restore the original index explicitly
X_train = pd.DataFrame(
    imputer.fit_transform(X_train),
    columns=X_train.columns,
    index=X_train.index      # preserve original index
)
X_test = pd.DataFrame(
    imputer.transform(X_test),
    columns=X_test.columns,
    index=X_test.index
)
```
---
### Issue 3: F1 Score Assumes Binary Classification Without Explicit Configuration
```python
# PROBLEM: f1_score defaults to binary averaging, which silently
# assumes the positive class is labeled 1 (or the greater label).
print(f"F1 Score: {f1_score(y_test, y_pred):.4f}")
```
**Why it matters:** If the target has more than two classes, this raises an error. Even for binary classification the assumption about which label is "positive" should be explicit. There is also no `zero_division` guard against edge cases where precision or recall is undefined.
```python
# BETTER: Be explicit about averaging strategy and zero-division behavior
print(f"F1 Score: {f1_score(y_test, y_pred, average='binary', pos_label=1, zero_division=0):.4f}")
# For multiclass targets:
print(f"F1 Score: {f1_score(y_test, y_pred, average='weighted', zero_division=0):.4f}")
```
---
### Issue 4: No Validation That the CSV Loaded Successfully
```python
# PROBLEM: If the file is missing, malformed, or empty,
# the script will crash with a cryptic error far from the source.
df = pd.read_csv("credit.csv")
X = df.drop("default", axis=1)
y = df["default"]
```
**Why it matters:** Failing early with a clear message is much easier to debug than a downstream `KeyError` or `ValueError`.
```python
# BETTER: Validate the data immediately after loading
df = pd.read_csv("credit.csv")
assert not df.empty, "Loaded DataFrame is empty."
assert "default" in df.columns, "'default' column not found in data."
assert df.shape[0] &gt; 1, "Not enough rows to split."
```
---
### Issue 5: Decision Tree Has No Depth Constraint (Overfitting Risk)
```python
# PROBLEM: An unconstrained DecisionTreeClassifier will grow until
# every training leaf is pure, almost always overfitting.
model = DecisionTreeClassifier(random_state=10)
```
**Why it matters:** The resulting model may have near-perfect training accuracy but poor generalisation, and the test F1 score may be misleadingly evaluated only once without cross-validation.
```python
# BETTER: Constrain tree complexity and evaluate with cross-validation
from sklearn.model_selection import cross_val_score
model = DecisionTreeClassifier(
    max_depth=5,          # prevents overfitting
    min_samples_leaf=10,  # ensures leaves have sufficient support
    random_state=10
)
cv_scores = cross_val_score(model, X_train, y_train, cv=5, scoring="f1")
print(f"CV F1: {cv_scores.mean():.4f} ± {cv_scores.std():.4f}")
```
---
### Summary Table
| # | Severity | Issue |
|---|----------|-------|
| 1 | **High** | Mean imputation applied to all columns regardless of type |
| 2 | **High** | DataFrame index silently reset, breaking alignment with labels |
| 3 | **Medium** | `f1_score` averaging is implicit and fragile |
| 4 | **Medium** | No input validation after loading CSV |
| 5 | **Medium** | Unconstrained decision tree prone to overfitting |</t>
  </si>
  <si>
    <t># Code Review: Issues and Problems Found
## 1. **Data Leakage (Critical)** ⚠️
```python
imputer = SimpleImputer(strategy="mean")
X_train = pd.DataFrame(
    imputer.fit_transform(X_train), columns=X.columns
)
```
**Problem:** The imputer is fit on training data, which is correct, but the mean values learned from `X_train` should be used consistently. However, this approach still risks leakage because you're using the training set's statistics.
**Better Practice:** Fit the imputer only on training data and apply it to both sets:
```python
imputer = SimpleImputer(strategy="mean")
imputer.fit(X_train)
X_train = pd.DataFrame(imputer.transform(X_train), columns=X_train.columns)
X_test = pd.DataFrame(imputer.transform(X_test), columns=X_test.columns)
```
---
## 2. **Index Misalignment**
```python
X_train = pd.DataFrame(
    imputer.fit_transform(X_train), columns=X.columns
)
```
**Problem:** After transformation, the DataFrame loses its original index. This creates a mismatch between `X_train` indices and `y_train` indices, which can cause issues during model fitting.
**Better Practice:** Reset or preserve indices:
```python
X_train = pd.DataFrame(
    imputer.fit_transform(X_train), 
    columns=X_train.columns,
    index=X_train.index  # Preserve original index
)
```
---
## 3. **Using `X.columns` Instead of `X_train.columns`**
```python
imputer.fit_transform(X_train), columns=X.columns
```
**Problem:** If `X_train` has fewer columns than `X` (unlikely here but bad practice), this would cause a mismatch. Should use the actual columns of the transformed data.
**Better Practice:**
```python
columns=X_train.columns  # or X_test.columns
```
---
## 4. **No Input Validation**
**Problem:** The code assumes:
- The CSV file exists and loads successfully
- Column "default" exists
- No unexpected data types or format issues
- No completely empty rows/columns
**Better Practice:**
```python
try:
    df = pd.read_csv("credit.csv")
    if "default" not in df.columns:
        raise ValueError("'default' column not found")
except FileNotFoundError:
    print("Error: credit.csv not found")
    exit(1)
```
---
## 5. **No Handling of Categorical Variables**
**Problem:** If `X` contains categorical columns, `SimpleImputer(strategy="mean")` will fail or produce unexpected results.
**Better Practice:**
```python
# Identify and handle categorical columns separately
categorical_cols = X.select_dtypes(include=['object']).columns
numeric_cols = X.select_dtypes(include=['number']).columns
# Use appropriate imputation strategies
```
---
## 6. **No Train-Test Split Consistency**
**Problem:** Indices between `X_train`/`X_test` and `y_train`/`y_test` may not align after DataFrame recreation.
**Better Practice:** Use `.reset_index(drop=True)` after imputation to ensure consistency, or preserve indices throughout.
---
## 7. **Imbalanced Class Handling**
**Problem:** Using only F1 score doesn't account for class imbalance. If the target variable is imbalanced, this metric might be misleading.
**Better Practice:**
```python
from sklearn.metrics import classification_report, confusion_matrix
print(classification_report(y_test, y_pred))
print(f"F1 Score: {f1_score(y_test, y_pred):.4f}")
```
---
## 8. **No Model Evaluation on Training Data**
**Problem:** Can't detect overfitting without training set metrics.
**Better Practice:**
```python
y_train_pred = model.predict(X_train)
print(f"Train F1: {f1_score(y_train, y_train_pred):.4f}")
print(f"Test F1: {f1_score(y_test, y_pred):.4f}")
```
---
## 9. **Missing Documentation and Error Handling**
**Problem:** No docstrings, comments, or exception handling for the pipeline.
**Better Practice:** Add comments explaining each step and wrap in try-except blocks.
---
## Summary Table
| Issue | Severity | Category |
|-------|----------|----------|
| Index misalignment | High | Bug |
| Data leakage risk | Medium | Design |
| No input validation | Medium | Robustness |
| No categorical handling | High | Design |
| Missing evaluation metrics | Medium | Testing |
| No error handling | Medium | Robustness |</t>
  </si>
  <si>
    <t>The provided Python code implements a basic machine learning pipeline but contains several issues, ranging from potential bugs to bad practices, primarily related to data preprocessing.
Here's a breakdown of the problems:
---
### 1. **Major Bug: `SimpleImputer` Misapplication for Non-Numeric Data**
**Explanation:** The `SimpleImputer(strategy="mean")` is designed to impute missing values in *numerical* columns by replacing them with the mean of that column. If your dataset `X` contains categorical (object/string) columns with missing values, this imputer will likely either:
    *   Raise an error (e.g., `TypeError` or `ValueError`) because it cannot compute the mean of non-numeric data.
    *   Silently fail to impute those columns or attempt to convert them, leading to unexpected and incorrect behavior, especially if Pandas infers object types for columns that should be numeric.
The code assumes all columns in `X` are suitable for mean imputation, which is a dangerous assumption without prior data inspection.
**Suggested Fix:**
Before imputation, you must identify and separate numerical and categorical columns.
*   **For numerical columns:** `SimpleImputer` with `strategy="mean"` or `median` is appropriate.
*   **For categorical columns:** You would typically use a different strategy like `strategy="most_frequent"` for imputation, and then apply an encoding scheme (e.g., `OneHotEncoder`, `OrdinalEncoder`) before feeding them to the model.
A robust solution would involve using `ColumnTransformer` within a `Pipeline` to apply different preprocessing steps to different subsets of columns.
```python
# Example of identifying column types (requires inspection of your data)
numeric_features = X.select_dtypes(include=['int64', 'float64']).columns
categorical_features = X.select_dtypes(include=['object', 'category']).columns
from sklearn.preprocessing import OneHotEncoder
from sklearn.compose import ColumnTransformer
from sklearn.pipeline import Pipeline
# Create preprocessing pipelines for numerical and categorical features
numeric_transformer = Pipeline(steps=[
    ('imputer', SimpleImputer(strategy='mean'))
])
categorical_transformer = Pipeline(steps=[
    ('imputer', SimpleImputer(strategy='most_frequent')), # or handle NaNs before encoding
    ('onehot', OneHotEncoder(handle_unknown='ignore')) # handle_unknown='ignore' for unseen categories in test set
])
# Create a preprocessor that applies different transformers to different columns
preprocessor = ColumnTransformer(
    transformers=[
        ('num', numeric_transformer, numeric_features),
        ('cat', categorical_transformer, categorical_features)
    ])
# Now use this preprocessor in your main pipeline
# For this example, let's just show how X_train, X_test would be transformed
X_train_processed = preprocessor.fit_transform(X_train)
X_test_processed = preprocessor.transform(X_test)
# If using a DataFrame, you'd convert back, but ColumnTransformer usually outputs numpy arrays
# and Pipelines handle this implicitly for the model.
# If you need column names for the processed data, it's more complex with OneHotEncoder.
```
---
### 2. **Major Bug: Lack of Categorical Feature Encoding**
**Explanation:** Even if categorical columns *don't* have missing values (or after they've been imputed), a `DecisionTreeClassifier` (like most scikit-learn models) expects numerical input. It cannot directly process string or object-type categorical features. The code completely omits any step to encode these features into a numerical format (e.g., one-hot encoding, ordinal encoding). This will lead to an error when `model.fit(X_train, y_train)` is called if `X_train` contains non-numeric columns.
**Suggested Fix:**
As part of the preprocessing described in Issue 1, you must apply appropriate encoders to your categorical features. `OneHotEncoder` is a common choice for nominal categories, while `OrdinalEncoder` might be suitable for ordinal categories.
```python
# (See the solution for Issue 1, which integrates categorical feature encoding)
```
---
### 3. **Bad Practice: Missing a Machine Learning Pipeline**
**Explanation:** The code performs preprocessing (imputation) and modeling steps separately. While functional for a simple case, this approach can become cumbersome, error-prone, and less robust in more complex scenarios:
*   **Consistency:** It's easy to forget to apply all preprocessing steps to new data or the test set.
*   **Data Leakage Prevention:** Although correctly handled here with `fit_transform` on train and `transform` on test, a pipeline formally enforces this pattern.
*   **Hyperparameter Tuning:** When tuning hyperparameters, a pipeline ensures that preprocessing steps are correctly applied within each cross-validation fold, preventing data leakage and ensuring fair evaluation.
*   **Readability &amp; Maintainability:** A pipeline clearly defines the sequence of operations.
**Suggested Fix:**
Use `sklearn.pipeline.Pipeline` to chain your preprocessing steps and your model together. This makes the entire process a single estimator that can be fitted and predicted.
```python
from sklearn.pipeline import Pipeline
from sklearn.preprocessing import OneHotEncoder # Assuming categorical features exist
# Example with a simple pipeline (will need ColumnTransformer for mixed types)
# Assuming you've already handled numeric/categorical split and encoding as in Issue 1
# This is a simplified example; for robust solution, combine with ColumnTransformer as shown in Issue 1.
# Define the full pipeline, assuming preprocessor handles all feature types
full_pipeline = Pipeline(steps=[
    ('preprocessor', preprocessor), # preprocessor from Issue 1 fix
    ('classifier', DecisionTreeClassifier(random_state=10))
])
# Now fit the pipeline
full_pipeline.fit(X_train, y_train)
# Make predictions
y_pred = full_pipeline.predict(X_test)
print(f"F1 Score: {f1_score(y_test, y_pred):.4f}")
```
---
### 4. **Minor Issue/Clarity: Resetting DataFrame Index During Imputation**
**Explanation:** When you convert the NumPy array output of `imputer.fit_transform()` back into a DataFrame using `pd.DataFrame(..., columns=X.columns)`, the DataFrame's index is reset to a default integer range (0, 1, 2...). `train_test_split` preserves the original index, so `X_train` and `X_test` initially have meaningful indices from the original `df`. While `sklearn` models generally don't care about the index for training/prediction, losing the original index can be problematic if you later need to link results back to the original dataset or perform operations that rely on index alignment.
**Suggested Fix:**
Preserve the original index when recreating the DataFrame.
```python
imputer = SimpleImputer(strategy="mean")
X_train_transformed = imputer.fit_transform(X_train)
X_test_transformed = imputer.transform(X_test)
X_train = pd.DataFrame(X_train_transformed, columns=X.columns, index=X_train.index)
X_test = pd.DataFrame(X_test_transformed, columns=X.columns, index=X_test.index)
```
*Note: This specific fix becomes less relevant if you adopt the `Pipeline` approach (Issue 3) with `ColumnTransformer` (Issue 1), as `ColumnTransformer` typically outputs NumPy arrays, and models don't need the DataFrame index.*
---
### 5. **Bad Practice: Lack of Data Exploration and Validation**
**Explanation:** The code jumps directly into modeling without any preliminary data exploration steps. In a real-world scenario, it's crucial to understand your data first:
*   `df.info()`: To check data types and non-null counts. This would have immediately revealed the presence of categorical columns and missing values.
*   `df.describe()`: For numerical feature statistics.
*   `df.isnull().sum()`: To see the count of missing values per column.
*   `df['column_name'].value_counts()`: For categorical feature distributions.
*   Visualizations: Histograms, box plots, scatter plots.
Skipping these steps leads to assumptions about the data that can result in bugs (like the imputer issue) or suboptimal model performance.
**Suggested Fix:**
Add a data exploration section at the beginning of your script to understand the dataset's characteristics before applying preprocessing or modeling.
```python
# ... after df = pd.read_csv("credit.csv")
print("DataFrame Info:")
df.info()
print("\nMissing values per column:")
print(df.isnull().sum())
print("\nDescriptive statistics:")
print(df.describe())
# Check categorical columns (if any)
for col in df.select_dtypes(include=['object', 'category']).columns:
    print(f"\nValue counts for {col}:")
    print(df[col].value_counts())
# ... proceed with X, y split and further steps
```
---
### 6. **Minor Issue: Hardcoded Filename**
**Explanation:** The filename `"credit.csv"` is hardcoded directly into the script. While fine for a quick script, in more robust applications, it's better to make this configurable (e.g., as a command-line argument, a variable at the top, or a configuration file). This improves reusability and maintainability.
**Suggested Fix:**
Define the filename as a variable at the top of the script.
```python
DATA_FILE = "credit.csv"
df = pd.read_csv(DATA_FILE)
```
---
### Summary of Priority Issues:
The most critical issues are **1 (SimpleImputer misuse)** and **2 (Lack of categorical encoding)**, which would likely cause the script to crash or produce incorrect results. Issue **3 (No Pipeline)** is a best practice that significantly improves code quality and robustness for ML projects. The other issues are important for general good practice and debugging.</t>
  </si>
  <si>
    <t>The provided Python code is a machine learning pipeline designed to predict the "default" status from a dataset named "credit.csv". It utilizes a decision tree classifier and includes a preprocessing step to handle missing values using mean imputation. Let's review the code to check for potential data leakage issues.
1. **Imputation:**
   - The code first splits the dataset into training and test sets and then performs mean imputation on the training data. 
   - It uses the `SimpleImputer` from `sklearn` with the "mean" strategy. Importantly, the imputation is performed separately on the training data (`fit_transform`) and then applied to the test data (`transform`).
   - This is the correct approach and does not introduce data leakage, as the imputation statistics (in this case, the mean) are calculated from the training data only and then applied to the test data.
2. **Model Training and Prediction:**
   - The model is trained using only the training set (`X_train` and `y_train`) and predictions are made on the test set (`X_test`).
   - This step is correctly separated, and there is no use of test data in the training process.
3. **Feature Engineering or Selection:**
   - The code does not perform any additional feature engineering that could lead to data leakage. Specifically, there's no indication that features encode information about the target that would not be available at prediction time.
In conclusion, the code is free of data leakage. It properly handles the separation between training and test data both during imputation and model training. There are no operations that would inadvertently use information from the test set during the training process.</t>
  </si>
  <si>
    <t>Upon reviewing the provided Python machine learning pipeline code, I can confirm that it does **not** contain any form of data leakage. Here's a detailed examination of each step in the pipeline to clarify why it is free from data leakage:
1. **Data Splitting**: The data is split into training and test sets before any processing. This is crucial to avoid leakage, as the test set must remain unseen until the model evaluation phase. The `train_test_split` function is used correctly here, separating `X` and `y` into `X_train`, `X_test`, `y_train`, and `y_test`.
2. **Imputation of Missing Values**: The SimpleImputer is applied separately to `X_train` and `X_test`. When the imputer is fitted on `X_train` using `imputer.fit_transform(X_train)`, it only learns the mean values from the training data and does not have access to any information from `X_test`. The imputation of `X_test` is done using `imputer.transform(X_test)`, which applies the learned parameters (mean values) from `X_train` without looking at the test data. This procedure ensures that no information from the test set leaks into the training process.
3. **Model Training and Prediction**: The `DecisionTreeClassifier` model is trained solely on `X_train` and `y_train`, which once again confirms that the model does not see the test data during training. The later evaluation of the model's performance utilizes `X_test`, ensuring that predictions are made on data that has not influenced the training phase.
4. **Feature Engineering**: There is no indication that features in `X` are derived from the target variable `y` (the default status) in a way that would violate the principle that features should be independent of the target at the time of prediction.
### Conclusion
In summary, all parts of the code comply with best practices to prevent data leakage:
- The splitting of the dataset occurs before any transformation or feature engineering.
- Imputation is performed on the training data independently from the test data.
- The model is trained on the training data only and evaluated on the unseen test data.
Therefore, the code is free from data leakage, and the findings from the model evaluation will provide an accurate representation of its performance on unseen data.</t>
  </si>
  <si>
    <t>## Data Leakage Analysis
**Verdict: No data leakage is present.** This code correctly follows proper machine learning pipeline practices.
---
### What the Code Does Correctly
#### 1. Train/Test Split Happens First
```python
X_train, X_test, y_train, y_test = train_test_split(
    X, y, test_size=0.3, random_state=10
)
```
The data is split **before** any preprocessing. This is the critical ordering requirement.
#### 2. Imputer is Fit Only on Training Data
```python
imputer = SimpleImputer(strategy="mean")
X_train = pd.DataFrame(
    imputer.fit_transform(X_train), columns=X.columns  # learns means from train only
)
X_test = pd.DataFrame(
    imputer.transform(X_test), columns=X.columns       # applies train means to test
)
```
- `fit_transform` on `X_train` → the imputer learns column means **exclusively from training data**
- `transform` (not `fit_transform`) on `X_test` → test data is filled using **training means only**
This correctly simulates real-world deployment, where you would only have access to statistics computed before observing new data.
#### 3. Model Trained Only on Training Data
```python
model.fit(X_train, y_train)   # training data only
y_pred = model.predict(X_test)
```
No test set information influences model training.
---
### What Leakage Would Have Looked Like
For contrast, here are the two common mistakes this code avoids:
```python
# ❌ WRONG: Fitting imputer on all data before splitting
imputer.fit_transform(X)  # test set means contaminate training
X_train, X_test = train_test_split(X_imputed, ...)
# ❌ WRONG: Fitting imputer separately on test data
imputer.fit_transform(X_test)  # leaks test distribution statistics
```
---
### Summary
| Check | Status |
|---|---|
| Split before preprocessing | ✅ |
| Imputer fit only on train set | ✅ |
| Test set transformed, not fit | ✅ |
| Model trained only on train data | ✅ |
| Target variable excluded from features | ✅ |
The pipeline is sound and would produce a reliable, unbiased estimate of generalization performance.</t>
  </si>
  <si>
    <t># Data Leakage Review
## ✅ **This code is FREE of data leakage**
The pipeline correctly handles the train-test split and avoids leaking information from the test set into training. Here's why:
### Correct Practices:
1. **Train-test split happens first** (line 8-11)
   - Data is split before any preprocessing, preventing test data from influencing preprocessing parameters
2. **Imputer is fit only on training data** (line 13)
   - `imputer.fit_transform(X_train)` computes mean values exclusively from the training set
   - The imputer learns statistics only from what the model would see in production
3. **Test data uses training statistics** (line 16)
   - `imputer.transform(X_test)` applies the training-derived means to test data
   - No new statistics are computed from X_test
4. **Model training and evaluation are separate** (lines 18-21)
   - Model is trained only on X_train/y_train
   - Evaluation happens on held-out X_test/y_test
### Why This Matters:
If the code instead did:
```python
# ❌ WRONG - would cause leakage
imputer.fit_transform(X)  # Computing means on entire dataset
X_train = imputer.transform(X_train)
X_test = imputer.transform(X_test)
```
The test set's mean values would influence imputation, giving an artificially optimistic evaluation.
**Verdict: This is a properly structured ML pipeline with correct train-test separation.**</t>
  </si>
  <si>
    <t>This Python machine learning pipeline code is **free of data leakage**.
Here's a breakdown of why it avoids common data leakage pitfalls:
1.  **Early Train-Test Split:**
    *   `X_train, X_test, y_train, y_test = train_test_split(X, y, test_size=0.3, random_state=10)`
    *   This is the most crucial step for preventing data leakage. The dataset is split into distinct training and testing sets *before any preprocessing or model training*. This ensures that the test set remains completely unseen during the learning phase.
2.  **Correct Imputation Strategy:**
    *   `imputer = SimpleImputer(strategy="mean")`
    *   `X_train = pd.DataFrame(imputer.fit_transform(X_train), columns=X.columns)`: The imputer is `fit` (learns the mean values for each column) *only on the training data (`X_train`)*.
    *   `X_test = pd.DataFrame(imputer.transform(X_test), columns=X.columns)`: The test data (`X_test`) is then `transform`ed using the *means learned from the training data*. It does *not* `fit` on `X_test` and thus does not use any information (like the mean of `X_test`) from the test set.
3.  **Model Training on Training Data Only:**
    *   `model.fit(X_train, y_train)`: The Decision Tree model is trained exclusively on `X_train` and `y_train`. No information from `X_test` or `y_test` is used in the model's learning process.
4.  **Evaluation on Test Data Only:**
    *   `y_pred = model.predict(X_test)`
    *   `print(f"F1 Score: {f1_score(y_test, y_pred):.4f}")`: The model's performance is evaluated using predictions on `X_test` and compared against the true labels `y_test`. This is the correct way to assess generalization performance on unseen data.
In summary, the pipeline correctly separates the data, learns all preprocessing parameters (like imputation means) and model parameters *only* from the training set, and evaluates performance *only* on the completely unseen test set. This adheres to best practices for preventing data leakage.</t>
  </si>
  <si>
    <t>The provided Python code is generally well-structured and accomplishes a typical machine learning task: reading data, preprocessing it, creating a model, and evaluating it using cross-validation. However, there are a few issues and areas of improvement in terms of best practices and potential bugs:
1. **Hardcoding file paths**: The code uses a hardcoded file path "cars.csv" for loading data, which may not be flexible if the file location changes or if there's a need to switch between different datasets. A better approach is to parameterize the file path or use user input to specify the file path.
2. **Lack of error handling**: There is no error handling for reading the CSV file. If "cars.csv" doesn't exist or is malformed, the program will raise an error and crash. Adding a try-except block around `pd.read_csv()` can make the code more robust by providing a user-friendly error message.
3. **No check for missing values**: The code assumes the dataset does not contain any missing values. If there are missing values, both `StandardScaler` and the model fitting could raise errors. It would be prudent to check and handle missing data appropriately before scaling and model fitting.
4. **Feature data types**: The code assumes all features are numerical, appropriate for scaling with `StandardScaler`. If there are any categorical features, these should be encoded properly before scaling, or scaling should be applied only to numerical features.
5. **Relying on default numeric precision for print statements**: The code uses `:.4f` in the formatted string, which is good. However, if values are exceptionally small or large, they might not fit well into `.4f`. Ensure the formatting suits the anticipated range of R2 scores.
6. **Lack of random seed**: The cross-validation used in `cross_val_score` does not set a random seed. Although not critical here, setting a seed would make the cross-validation results reproducible if shuffling is applied (it's not by default for K-fold, but in general it's good to be mindful of randomness).
7. **Model hyperparameters**: While using Ridge regression, the hyperparameter alpha is set manually. It might be beneficial to use hyperparameter optimization techniques like grid search or randomized search for a better configuration, though this may be outside the current scope.
8. **Printing scores directly**: While printing the results directly might be sufficient for quick checks, if this script were part of a larger application, you might want to log the output instead using Python's `logging` module.
Here is an example revision with some addressed improvements:
```python
import pandas as pd
from sklearn.preprocessing import StandardScaler
from sklearn.model_selection import cross_val_score
from sklearn.linear_model import Ridge
import os
# Parameterize the file path
file_path = "cars.csv"
# Check if the file exists
if not os.path.exists(file_path):
    raise FileNotFoundError(f"The file {file_path} was not found.")
# Load the dataset
try:
    df = pd.read_csv(file_path)
except Exception as e:
    raise ValueError(f"An error occurred while reading the csv: {e}")
# Check for missing values
if df.isnull().values.any():
    raise ValueError("Data contains missing values. Please handle them before proceeding.")
# Separate features and target
X = df.drop("price", axis=1)
y = df["price"]
# Ensure all features are numerical
if not all(dtype.kind in 'biufc' for dtype in X.dtypes):
    raise ValueError("All features must be numerical. Consider encoding categorical variables.")
# Scaling features
scaler = StandardScaler()
X_scaled = scaler.fit_transform(X)
# Model and cross-validation
model = Ridge(alpha=1.0)
scores = cross_val_score(model, X_scaled, y, cv=5, scoring="r2")
print(f"Mean R2: {scores.mean():.4f} (+/- {scores.std():.4f})")
```
This version provides more comprehensive error-handling and data validation steps, ensuring more robust execution.</t>
  </si>
  <si>
    <t>The provided Python code snippet performs a regression analysis using the Ridge regression model on a dataset loaded from a CSV file. Below are some identified issues, bugs, and bad practices, along with explanations for each:
1. **Lack of Error Handling when Loading Data**:
   - **Issue**: The code does not handle the possibility that the `cars.csv` file may not exist or may not load properly.
   - **Best Practice**: Wrap the file loading (`pd.read_csv("cars.csv")`) in a try-except block to handle `FileNotFoundError` and other potential read errors gracefully.
    ```python
    try:
        df = pd.read_csv("cars.csv")
    except FileNotFoundError:
        print("Error: The file 'cars.csv' was not found.")
        exit(1)
    ```
2. **Assumption about the Input Data**:
   - **Issue**: The code assumes that `X` will always have the "price" column dropped and that all other columns are suitable for scaling and modeling.
   - **Best Practice**: Check the data for missing values, non-numeric columns or columns that require different preprocessing (like categorical variables) before proceeding.
3. **In-place StandardScaler**:
   - **Issue**: `fit_transform` is used directly, which is fine, but if used in different scenarios (like pipeline), this operation can lead to data leakage.
   - **Best Practice**: When creating a model pipeline, consider using `Pipeline` from `sklearn`. This approach maintains the integrity of the data processing.
4. **Cross-validation Configuration**:
   - **Issue**: The code hardcodes `cv=5`, which may not be suitable for all datasets, especially if the dataset is small.
   - **Best Practice**: Use `StratifiedKFold` for classification problems or consider data size when determining `cv`. Additionally, provide an option for users to specify how many folds they want.
5. **Model Not Fitting**:
   - **Issue**: The Ridge model is created but not fitted with data.
   - **Best Practice**: While `cross_val_score` fits the model during the evaluation, for reproducibility and to check the model performance afterwards, the model should ideally be fitted except in scenarios focused purely on cross-validation.
    ```python
    model.fit(X_scaled, y)
    ```
6. **Absence of Data Exploration or Cleaning Steps**:
   - **Issue**: The code does not showcase any data exploration or preprocessing steps such as checking for nulls, or outlier treatments, which are critical in machine learning workflows.
   - **Best Practice**: Include a data exploration phase, such as checking for null values with `df.info()`, and descriptive statistics with `df.describe()` as well as performing data cleaning if necessary.
7. **Lack of Functionality Encapsulation**:
   - **Issue**: The entire process is in a script-style format which is less reusable.
   - **Best Practice**: Consider wrapping the code in functions (e.g., `load_data`, `scale_features`, `train_model`, etc.), which would also facilitate easier testing and maintenance of the code.
8. **Print Statements**:
   - **Issue**: Using print statements for output is generally acceptable but doesn’t provide a flexible way of handling output (e.g. logging).
   - **Best Practice**: Use the `logging` library to log information, which would provide more control over logging levels and output destinations.
9. **Potential Overfitting**:
   - **Issue**: The alpha value for the Ridge model is hardcoded and may not be optimal for every dataset.
   - **Best Practice**: Consider using cross-validation to tune the `alpha` parameter (e.g., use `GridSearchCV`).
10. **Documentation and Comments**:
    - **Issue**: There are no comments or docstrings explaining what the code does.
    - **Best Practice**: Include comments and docstrings to make the code more understandable to others (or yourself in the future).
By addressing these issues, the code would be more robust, user-friendly, and in line with best practices in data science and machine learning.</t>
  </si>
  <si>
    <t>## Code Review
Overall this code is reasonably clean, but it has several issues ranging from critical data leakage bugs to maintainability concerns.
---
### 1. **Data Leakage (Critical Bug)**
The most serious problem: scaling is applied to the **entire dataset before cross-validation**, meaning validation folds influence the scaler's fit.
```python
# WRONG - scaler sees all data including validation folds
scaler = StandardScaler()
X_scaled = scaler.fit_transform(X)  # fit on entire dataset
scores = cross_val_score(model, X_scaled, y, cv=5)
```
**Fix:** Use a `Pipeline` so the scaler is fit only on training folds during each CV split:
```python
from sklearn.pipeline import Pipeline
pipeline = Pipeline([
    ("scaler", StandardScaler()),
    ("model", Ridge(alpha=1.0))
])
scores = cross_val_score(pipeline, X, y, cv=5, scoring="r2")
```
---
### 2. **No Error Handling for File Loading**
The CSV read has no handling for common failures like a missing file, wrong path, or malformed content.
```python
# WRONG - silently crashes with an unhelpful traceback
df = pd.read_csv("cars.csv")
```
**Fix:**
```python
import sys
try:
    df = pd.read_csv("cars.csv")
except FileNotFoundError:
    sys.exit("Error: 'cars.csv' not found. Check the file path.")
except pd.errors.ParserError as e:
    sys.exit(f"Error parsing CSV: {e}")
```
---
### 3. **No Validation That the Target Column Exists**
If `"price"` is missing from the CSV, the code raises a confusing `KeyError`.
```python
# WRONG - no guard against missing column
y = df["price"]
```
**Fix:**
```python
target = "price"
if target not in df.columns:
    sys.exit(f"Error: Target column '{target}' not found. "
             f"Available columns: {list(df.columns)}")
X = df.drop(target, axis=1)
y = df[target]
```
---
### 4. **No Handling of Non-Numeric Features**
`StandardScaler` will raise a `ValueError` if `X` contains categorical or string columns, which is common in car datasets (e.g., make, model, fuel type).
```python
# WRONG - no check or handling for non-numeric columns
X_scaled = scaler.fit_transform(X)
```
**Fix:**
```python
from sklearn.compose import ColumnTransformer
from sklearn.preprocessing import StandardScaler, OneHotEncoder
numeric_cols = X.select_dtypes(include="number").columns.tolist()
categorical_cols = X.select_dtypes(include=["object", "category"]).columns.tolist()
preprocessor = ColumnTransformer([
    ("num", StandardScaler(), numeric_cols),
    ("cat", OneHotEncoder(handle_unknown="ignore"), categorical_cols)
])
pipeline = Pipeline([
    ("preprocessor", preprocessor),
    ("model", Ridge(alpha=1.0))
])
```
---
### 5. **No Handling of Missing Values**
Real-world CSVs almost always contain NaN values. Neither `StandardScaler` nor `Ridge` handles them gracefully.
**Fix:** Add imputation inside the pipeline:
```python
from sklearn.impute import SimpleImputer
numeric_pipeline = Pipeline([
    ("imputer", SimpleImputer(strategy="median")),
    ("scaler", StandardScaler())
])
```
---
### 6. **Hardcoded Hyperparameter Without Justification**
`alpha=1.0` is the default — fine for a baseline, but it should either be tuned or explicitly noted as a placeholder.
```python
# Unclear whether this was tuned or just left as default
model = Ridge(alpha=1.0)
```
**Fix:** Use `GridSearchCV` or `RidgeCV`, or add a comment:
```python
from sklearn.linear_model import RidgeCV
# Automatically selects alpha via cross-validation
model = RidgeCV(alphas=[0.1, 1.0, 10.0, 100.0])
```
---
### 7. **Random State Not Set**
`cross_val_score` uses `KFold` by default, which shuffles differently each run, producing non-reproducible results.
**Fix:**
```python
from sklearn.model_selection import KFold
cv = KFold(n_splits=5, shuffle=True, random_state=42)
scores = cross_val_score(pipeline, X, y, cv=cv, scoring="r2")
```
---
### Corrected Code
```python
import sys
import pandas as pd
from sklearn.pipeline import Pipeline
from sklearn.compose import ColumnTransformer
from sklearn.preprocessing import StandardScaler, OneHotEncoder
from sklearn.impute import SimpleImputer
from sklearn.linear_model import RidgeCV
from sklearn.model_selection import cross_val_score, KFold
# 1. Load data with error handling
try:
    df = pd.read_csv("cars.csv")
except FileNotFoundError:
    sys.exit("Error: 'cars.csv' not found.")
except pd.errors.ParserError as e:
    sys.exit(f"Error parsing CSV: {e}")
# 2. Validate target column
target = "price"
if target not in df.columns:
    sys.exit(f"Error: Column '{target}' not found. "
             f"Available: {list(df.columns)}")
X = df.drop(target, axis=1)
y = df[target]
# 3. Separate numeric and categorical features
numeric_cols = X.select_dtypes(include="number").columns.tolist()
categorical_cols = X.select_dtypes(include=["object", "category"]).columns.tolist()
numeric_pipeline = Pipeline([
    ("imputer", SimpleImputer(strategy="median")),
    ("scaler", StandardScaler())
])
categorical_pipeline = Pipeline([
    ("imputer", SimpleImputer(strategy="most_frequent")),
    ("encoder", OneHotEncoder(handle_unknown="ignore"))
])
preprocessor = ColumnTransformer([
    ("num", numeric_pipeline, numeric_cols),
    ("cat", categorical_pipeline, categorical_cols)
])
# 4. Full pipeline with automatic alpha tuning
pipeline = Pipeline([
    ("preprocessor", preprocessor),
    ("model", RidgeCV(alphas=[0.1, 1.0, 10.0, 100.0]))
])
# 5. Reproducible cross-validation
cv = KFold(n_splits=5, shuffle=True, random_state=42)
scores = cross_val_score(pipeline, X, y, cv=cv, scoring="r2")
print(f"Mean R2: {scores.mean():.4f} (+/- {scores.std():.4f})")
```
---
### Summary Table
| # | Issue | Severity |
|---|-------|----------|
| 1 | Data leakage via pre-CV scaling | 🔴 Critical |
| 2 | No file loading error handling | 🟠 High |
| 3 | No target column validation | 🟠 High |
| 4 | Non-numeric columns not handled | 🟠 High |
| 5 | Missing values not handled | 🟠 High |
| 6 | Hardcoded, untuned hyperparameter | 🟡 Medium |
| 7 | Non-reproducible CV splits | 🟡 Medium |</t>
  </si>
  <si>
    <t># Code Review: Issues and Problems
## 1. **Data Leakage (CRITICAL)**
```python
scaler = StandardScaler()
X_scaled = scaler.fit_transform(X)
scores = cross_val_score(model, X_scaled, y, cv=5, scoring="r2")
```
**Problem:** The scaler is fit on the entire dataset *before* cross-validation. This means information from test folds leaks into the training process.
**Fix:** Use `Pipeline` to ensure scaling happens within each fold:
```python
from sklearn.pipeline import Pipeline
pipeline = Pipeline([
    ('scaler', StandardScaler()),
    ('model', Ridge(alpha=1.0))
])
scores = cross_val_score(pipeline, X, y, cv=5, scoring="r2")
```
---
## 2. **No Error Handling**
```python
df = pd.read_csv("cars.csv")
```
**Problem:** No handling for missing files, read errors, or empty DataFrames.
**Fix:**
```python
try:
    df = pd.read_csv("cars.csv")
    if df.empty:
        raise ValueError("CSV file is empty")
except FileNotFoundError:
    print("Error: cars.csv not found")
    exit(1)
except Exception as e:
    print(f"Error reading file: {e}")
    exit(1)
```
---
## 3. **No Data Validation**
```python
X = df.drop("price", axis=1)
y = df["price"]
```
**Problem:** 
- No check if "price" column exists
- No handling for missing values (NaN)
- No check for non-numeric features
**Fix:**
```python
if "price" not in df.columns:
    raise ValueError("'price' column not found in dataset")
# Check for missing values
if df.isnull().any().any():
    print(f"Warning: Found {df.isnull().sum().sum()} missing values")
    df = df.dropna()  # or use imputation
X = df.drop("price", axis=1)
y = df["price"]
# Ensure X contains only numeric features
X = X.select_dtypes(include=['number'])
```
---
## 4. **Arbitrary Hyperparameter Choice**
```python
model = Ridge(alpha=1.0)
```
**Problem:** No justification for `alpha=1.0`. This should be tuned.
**Fix:**
```python
from sklearn.model_selection import GridSearchCV
param_grid = {'alpha': [0.001, 0.01, 0.1, 1.0, 10.0, 100.0]}
ridge = Ridge()
grid_search = GridSearchCV(ridge, param_grid, cv=5, scoring="r2")
grid_search.fit(X_scaled, y)
print(f"Best alpha: {grid_search.best_params_}")
print(f"Best CV R2: {grid_search.best_score_:.4f}")
```
---
## 5. **No Train/Test Split**
**Problem:** No evaluation on held-out test data; only cross-validation scores shown.
**Fix:**
```python
from sklearn.model_selection import train_test_split
X_train, X_test, y_train, y_test = train_test_split(
    X, y, test_size=0.2, random_state=42
)
pipeline.fit(X_train, y_train)
test_score = pipeline.score(X_test, y_test)
print(f"Test R2: {test_score:.4f}")
```
---
## 6. **Missing Random State**
```python
scores = cross_val_score(model, X_scaled, y, cv=5, scoring="r2")
```
**Problem:** Results aren't reproducible without `random_state`.
**Fix:**
```python
scores = cross_val_score(model, X_scaled, y, cv=5, scoring="r2", random_state=42)
```
---
## 7. **No Feature Inspection**
**Problem:** Unknown if features are appropriate (categorical, outliers, etc.).
**Fix:**
```python
print(f"Dataset shape: {df.shape}")
print(f"\nData types:\n{df.dtypes}")
print(f"\nBasic statistics:\n{df.describe()}")
print(f"\nMissing values:\n{df.isnull().sum()}")
```
---
## Summary Table
| Issue | Severity | Impact |
|-------|----------|--------|
| Data Leakage | **CRITICAL** | Invalid performance metrics |
| No Error Handling | High | Crashes with poor messages |
| No Data Validation | High | Silent failures or wrong results |
| Arbitrary Hyperparameters | Medium | Suboptimal model |
| No Train/Test Split | Medium | Overfitting risk |
| No Random State | Medium | Non-reproducible results |
| No Feature Inspection | Low | Missed data quality issues |</t>
  </si>
  <si>
    <t>This Python code performs a basic Ridge regression with cross-validation. While it's a good starting point, it has several issues, bugs, and bad practices common in initial machine learning scripts.
Here's a breakdown of the problems:
---
### Critical Issues (Bugs &amp; Significant Bad Practices)
1.  **Data Leakage during Scaling (Major Bug)**
    *   **Problem:** The `StandardScaler` is fitted on the *entire* dataset (`X`) before being passed to `cross_val_score`. This means the scaler learns the mean and standard deviation from both the training and testing portions of the data *simultaneously*. When `cross_val_score` then splits the data, the "training" set has already been scaled using information (mean/std) derived from the "test" set. This is a form of data leakage.
    *   **Impact:** This leakage leads to an overly optimistic evaluation of the model's performance (the R2 score will appear higher than it would be on truly unseen data) because the scaling process implicitly used information from the test set.
    *   **Solution:** The `StandardScaler` should be applied *within* each fold of the cross-validation. The standard way to achieve this is by using a `sklearn.pipeline.Pipeline`.
2.  **Lack of Data Preprocessing for Non-Numerical Features / Missing Values**
    *   **Problem:** The code assumes that all columns in `df.drop("price", axis=1)` (`X`) are numerical and suitable for `StandardScaler` and `Ridge` regression.
        *   If `cars.csv` contains categorical columns (e.g., 'make', 'color'), `StandardScaler` will raise an error or produce meaningless results.
        *   If there are missing values (`NaN`) in the numerical features, `StandardScaler` will raise an error.
    *   **Impact:** The code is fragile and will likely crash or produce incorrect results if the input CSV file isn't perfectly clean and numerical.
    *   **Solution:** Explicitly handle categorical features (e.g., One-Hot Encoding, Label Encoding) and missing values (e.g., imputation with `SimpleImputer`) *before* scaling and model training. These steps should also ideally be part of a `Pipeline`.
3.  **Hardcoded Data File Path and Column Names**
    *   **Problem:** The filename `"cars.csv"` and the target column name `"price"` are hardcoded directly into the script.
    *   **Impact:**
        *   **Lack of Flexibility:** If the file name changes or the target column name is different, the script needs to be manually edited.
        *   **No Error Handling:** If `cars.csv` does not exist, `pd.read_csv()` will raise a `FileNotFoundError`, crashing the script. Similarly, if "price" is not a column, `df.drop()` or `df["price"]` will raise a `KeyError`.
    *   **Solution:**
        *   Pass the filename and column names as function arguments if wrapping the logic in a function, or define them as variables at the top of the script.
        *   Add `try-except` blocks for file operations and column access to handle potential errors gracefully.
4.  **Untuned Hyperparameter (`alpha` for Ridge)**
    *   **Problem:** The `alpha` hyperparameter for `Ridge` is set to `1.0` arbitrarily. There's no guarantee this is the optimal `alpha` for this dataset.
    *   **Impact:** The model's performance might be suboptimal.
    *   **Solution:** Use hyperparameter tuning techniques like `GridSearchCV` or `RandomizedSearchCV` (preferably nested within an outer cross-validation loop to get an unbiased estimate of generalization performance) to find the best `alpha` value.
---
### Minor Issues &amp; Bad Practices
5.  **Lack of Modularity (No Functions)**
    *   **Problem:** The entire script is written in the global scope.
    *   **Impact:** This makes the code less reusable, harder to test, and less organized, especially as the script grows in complexity.
    *   **Solution:** Encapsulate the core logic within a function (e.g., `evaluate_ridge_model(filepath, target_column, alpha_values, cv_folds)`).
6.  **No `random_state` for Reproducibility (Minor for this specific case, but good practice)**
    *   **Problem:** While `Ridge` and `StandardScaler` themselves don't have random components, more complex models (e.g., RandomForest, K-Means) or data splits (e.g., `train_test_split` with `shuffle=True`) do. Not setting a `random_state` can lead to different results each time the script is run, making experiments hard to reproduce.
    *   **Impact:** Not directly impactful here, but it's a good habit to establish early for ML projects.
    *   **Solution:** When using components that involve randomness, set a `random_state` (e.g., `Ridge(alpha=1.0, random_state=42)` if it had one, or in the `cv` splitter if you define one).
7.  **Implicit Assumption of `axis=1`**
    *   **Problem:** In `df.drop("price", axis=1)`, while `axis=1` is correct for dropping a column, it's sometimes clearer to use `columns=["price"]` directly when dropping by name. This is a very minor style preference.
    *   **Solution:** `X = df.drop(columns=["price"])`
8.  **No Comments**
    *   **Problem:** The code is relatively straightforward for this example, but it lacks comments explaining the purpose of different sections or any non-obvious choices.
    *   **Impact:** Reduced readability and maintainability for others (or your future self).
    *   **Solution:** Add comments to explain key steps, especially data preprocessing choices and model evaluation.
---
### Refactored Code Example (Addressing Major Issues)
```python
import pandas as pd
from sklearn.preprocessing import StandardScaler, OneHotEncoder
from sklearn.impute import SimpleImputer
from sklearn.model_selection import cross_val_score, GridSearchCV
from sklearn.linear_model import Ridge
from sklearn.compose import ColumnTransformer
from sklearn.pipeline import Pipeline
import logging # For better error handling and logging
# --- Setup Logging (Good Practice) ---
logging.basicConfig(level=logging.INFO, format='%(levelname)s: %(message)s')
def evaluate_ridge_model(
    filepath: str,
    target_column: str,
    numerical_features: list,
    categorical_features: list,
    alpha_values: list = [0.1, 1.0, 10.0, 100.0],
    cv_folds: int = 5,
    random_seed: int = 42
):
    """
    Evaluates a Ridge regression model using cross-validation and hyperparameter tuning.
    Args:
        filepath (str): Path to the CSV file.
        target_column (str): Name of the target variable column.
        numerical_features (list): List of names of numerical feature columns.
        categorical_features (list): List of names of categorical feature columns.
        alpha_values (list): List of alpha values to try for Ridge regression.
        cv_folds (int): Number of cross-validation folds.
        random_seed (int): Seed for reproducibility.
    Returns:
        dict: A dictionary containing the best alpha, mean R2 score, and std R2 score.
              Returns None if an error occurs.
    """
    try:
        df = pd.read_csv(filepath)
    except FileNotFoundError:
        logging.error(f"Error: File not found at '{filepath}'")
        return None
    except Exception as e:
        logging.error(f"Error reading CSV file: {e}")
        return None
    if target_column not in df.columns:
        logging.error(f"Error: Target column '{target_column}' not found in the DataFrame.")
        return None
    # Separate features (X) and target (y)
    y = df[target_column]
    X = df.drop(columns=[target_column])
    # Validate feature lists
    all_features = numerical_features + categorical_features
    missing_features_in_df = [f for f in all_features if f not in X.columns]
    if missing_features_in_df:
        logging.error(f"Error: The following specified features are not in the DataFrame: {missing_features_in_df}")
        return None
    # --- Create Preprocessing Pipeline ---
    # Numerical features pipeline: Impute missing values then scale
    numerical_transformer = Pipeline(steps=[
        ('imputer', SimpleImputer(strategy='mean')),
        ('scaler', StandardScaler())
    ])
    # Categorical features pipeline: Impute missing values then one-hot encode
    categorical_transformer = Pipeline(steps=[
        ('imputer', SimpleImputer(strategy='most_frequent')), # Or 'constant', etc.
        ('onehot', OneHotEncoder(handle_unknown='ignore')) # handle_unknown='ignore' to avoid errors on new categories
    ])
    # Combine preprocessing steps using ColumnTransformer
    preprocessor = ColumnTransformer(
        transformers=[
            ('num', numerical_transformer, numerical_features),
            ('cat', categorical_transformer, categorical_features)
        ],
        remainder='drop' # Drop columns not specified in numerical_features or categorical_features
    )
    # --- Create the full Model Pipeline ---
    # This pipeline first preprocesses the data, then applies Ridge regression.
    # Data leakage is prevented because preprocessing (fit_transform) happens within each CV fold.
    model_pipeline = Pipeline(steps=[
        ('preprocessor', preprocessor),
        ('regressor', Ridge(random_state=random_seed)) # Added random_state for consistency if model had one
    ])
    # --- Hyperparameter Tuning with GridSearchCV ---
    # We tune the 'alpha' parameter of the Ridge regressor
    param_grid = {
        'regressor__alpha': alpha_values
    }
    # GridSearchCV performs cross-validation internally to find the best alpha
    grid_search = GridSearchCV(
        model_pipeline,
        param_grid,
        cv=cv_folds,
        scoring='r2',
        n_jobs=-1, # Use all available cores
        verbose=1 # Show progress
    )
    logging.info("Starting GridSearchCV for hyperparameter tuning...")
    grid_search.fit(X, y) # Fit on the full dataset (GridSearchCV handles internal CV splits)
    best_alpha = grid_search.best_params_['regressor__alpha']
    logging.info(f"Best alpha found: {best_alpha}")
    # Evaluate the best model using cross_val_score for a final, unbiased performance estimate
    # Note: If GridSearchCV was nested in an outer CV loop, this step would be for that outer loop.
    # For simplicity, we'll re-run cross_val_score on the best estimator here.
    final_model = grid_search.best_estimator_
    logging.info(f"Evaluating the best model with {cv_folds}-fold cross-validation...")
    scores = cross_val_score(final_model, X, y, cv=cv_folds, scoring="r2", n_jobs=-1)
    mean_r2 = scores.mean()
    std_r2 = scores.std()
    logging.info(f"Mean R2: {mean_r2:.4f} (+/- {std_r2:.4f})")
    return {
        "best_alpha": best_alpha,
        "mean_r2": mean_r2,
        "std_r2": std_r2
    }
# --- Example Usage ---
if __name__ == "__main__":
    # Define your features based on your dataset
    # For demonstration, assuming 'car_make' is categorical and other relevant are numerical
    # You would need to inspect 'cars.csv' to determine these correctly.
    my_numerical_features = ['engine_size', 'horsepower', 'weight', 'mpg_city', 'mpg_highway']
    my_categorical_features = ['car_make', 'fuel_type', 'aspiration'] # Example categorical features
    results = evaluate_ridge_model(
        filepath="cars.csv",
        target_column="price",
        numerical_features=my_numerical_features,
        categorical_features=my_categorical_features,
        alpha_values=[0.01, 0.1, 1.0, 10.0, 100.0, 1000.0],
        cv_folds=5,
        random_seed=42
    )
    if results:
        print("\n--- Final Model Results ---")
        print(f"Best Alpha: {results['best_alpha']}")
        print(f"Mean R2 Score: {results['mean_r2']:.4f}")
        print(f"Standard Deviation of R2 Score: {results['std_r2']:.4f}")
```</t>
  </si>
  <si>
    <t>The provided code contains a potential source of data leakage within the cross-validation pipeline. This issue arises because the feature scaling (standardization) is done before splitting the data into cross-validation folds.
Here's a breakdown of the process and where the data leakage occurs:
1. **Data Loading and Splitting:**
   - The dataset is loaded into a DataFrame, and features (X) and target (y) are separated.
2. **Scaling:**
   - The code scales the features using `StandardScaler` **before** applying cross-validation via `cross_val_score`.
   - `scaler.fit_transform(X)` scales the entire dataset at once, thus using information from the test folds during the training process of cross-validation, which leads to data leakage.
3. **Cross-Validation and Model Training:**
   - `cross_val_score` with `cv=5` splits the data into 5 folds. For each fold, a subset of data is used as the training set, while the remaining data forms the test set for validation.
**Why it’s a problem:**
- By fitting the scaler on the entire dataset before cross-validation, the transformation of the test set (for each fold) is done based on the scaling parameters derived from the entire dataset, which includes data from the training and "future" test sets.
- In a real-world scenario, the test data would be unseen and should not influence how we scale the training data. This results in overly optimistic performance estimates because the model is indirectly exposed to the test data.
**How to fix it:**
To address this issue, data scaling should be included as part of the cross-validation process, which ensures that scaling parameters are derived only from the training portion for each fold. This can be done by using `Pipeline` from `sklearn.pipeline` in combination with `cross_val_score`.
Here's the corrected version of the code:
```python
from sklearn.pipeline import Pipeline
from sklearn.preprocessing import StandardScaler
from sklearn.model_selection import cross_val_score
from sklearn.linear_model import Ridge
df = pd.read_csv("cars.csv")
X = df.drop("price", axis=1)
y = df["price"]
# Define a pipeline that scales the data then applies ridge regression
pipeline = Pipeline([
    ('scaler', StandardScaler()),
    ('ridge', Ridge(alpha=1.0))
])
# Perform cross-validation with the pipeline
scores = cross_val_score(pipeline, X, y, cv=5, scoring="r2")
print(f"Mean R2: {scores.mean():.4f} (+/- {scores.std():.4f})")
```
This revised approach ensures that each cross-validation fold has its training data scaled independently of the test data, thus preventing data leakage.</t>
  </si>
  <si>
    <t>The provided Python machine learning pipeline code has a potential data leakage issue due to the way the `StandardScaler` is applied to the data before performing cross-validation.
### Explanation of Data Leakage:
1. **Fitting Scaler on Entire Dataset**: 
   ```python
   X_scaled = scaler.fit_transform(X)
   ```
   Here, the `StandardScaler` is fit to the entire dataset `X` before any splitting into training and test sets (or any kind of cross-validation). This means that the scaler is calculating the mean and standard deviation using the entire dataset, which will include information from both the training and test portions if you're using cross-validation.
2. **Problem**: 
   When you standardize features using the mean and standard deviation from the complete dataset, information from the test set is leaking into the training process indirectly. This can lead to overfitting during cross-validation since the model essentially has access to information it shouldn't have during training, leading to overly optimistic performance metrics.
### How to Fix Data Leakage:
To avoid this issue, the correct approach is to fit the scaler only on the training data during each fold of the cross-validation, and then transform both the training data and the test data using the parameters calculated from the training data only. Here’s how you can modify your code:
1. Use a pipeline that combines scaling and model training, so that scaling is done separately for each training set:
   ```python
   from sklearn.pipeline import make_pipeline
   model = make_pipeline(StandardScaler(), Ridge(alpha=1.0))
   scores = cross_val_score(model, X, y, cv=5, scoring="r2")
   ```
This change ensures that the `StandardScaler` only learns the parameters (mean and standard deviation) from the training data during cross-validation, thereby preventing data leakage.
### Conclusion:
In summary, the initial code contains data leakage by applying the `StandardScaler` to the entire dataset before cross-validation. The appropriate solution is to use a pipeline that ensures each training fold is scaled independently, avoiding any influence from the test portion on the scaling parameters.</t>
  </si>
  <si>
    <t>## Data Leakage Analysis
**Yes, this code contains data leakage.** There is one clear instance.
---
### The Problem: Scaling Before Cross-Validation
```python
# ❌ Leakage occurs here
scaler = StandardScaler()
X_scaled = scaler.fit_transform(X)  # Fitted on ALL data, including test folds
# The already-contaminated X_scaled is then passed to CV
scores = cross_val_score(model, X_scaled, y, cv=5, scoring="r2")
```
**What goes wrong mechanically:**
`StandardScaler.fit_transform(X)` computes the **mean and standard deviation of every feature using the entire dataset** — including the rows that will later serve as test folds in each cross-validation split. Those statistics are then used to transform the test fold data, meaning the test folds have indirectly influenced their own preprocessing.
**Why this is a problem:**
In real deployment, when a new observation arrives you only have access to statistics derived from training data. By computing scaling parameters from the full dataset, the test folds "leak" their distributional information into the feature transformation, producing overly optimistic evaluation scores. The model sees a subtly easier version of the test problem than it would in production.
The severity scales with how much test-fold statistics differ from train-fold statistics — most pronounced with small datasets, outliers, or non-stationary data.
---
### Correct Fix: Use a `Pipeline`
Wrap the scaler and model together so `cross_val_score` re-fits the scaler **only on the training fold** during each split:
```python
import pandas as pd
from sklearn.preprocessing import StandardScaler
from sklearn.model_selection import cross_val_score
from sklearn.linear_model import Ridge
from sklearn.pipeline import Pipeline  # ✅ Key addition
df = pd.read_csv("cars.csv")
X = df.drop("price", axis=1)
y = df["price"]
# ✅ Scaler is now part of the pipeline — fitted only on training folds
pipeline = Pipeline([
    ("scaler", StandardScaler()),
    ("model", Ridge(alpha=1.0))
])
scores = cross_val_score(pipeline, X, y, cv=5, scoring="r2")
print(f"Mean R2: {scores.mean():.4f} (+/- {scores.std():.4f})")
```
**What the pipeline guarantees per fold:**
```
Fold k:
  Train folds → scaler.fit_transform() → model.fit()
  Test fold  → scaler.transform()      → model.predict()  ✅ No leakage
```
The test fold is only ever passed through `transform()` (never `fit()`), using statistics derived solely from the training folds — exactly mirroring real deployment conditions.</t>
  </si>
  <si>
    <t># Data Leakage Review: **CRITICAL ISSUE FOUND**
## The Problem
This code contains **serious data leakage** in how the scaler is applied.
### Where It Occurs
```python
scaler = StandardScaler()
X_scaled = scaler.fit_transform(X)  # ← LEAKAGE HERE
model = Ridge(alpha=1.0)
scores = cross_val_score(model, X_scaled, y, cv=5, scoring="r2")
```
### Why It's a Problem
1. **The scaler is fit on the entire dataset** (`X`) before cross-validation
2. **All CV folds use the same scaled features** derived from statistics of the complete dataset
3. This means **test fold statistics leak into training folds** through the scaling transformation
4. The scaler has "seen" the test data's mean and standard deviation during fitting
### Concrete Example
If a feature has extreme values only in fold 3 (test fold), those extreme values influence the mean and std used to scale fold 1 and fold 2 (training folds). This artificially improves performance metrics.
---
## The Fix
**Fit the scaler inside the cross-validation loop** so it only uses training data:
```python
from sklearn.pipeline import Pipeline
df = pd.read_csv("cars.csv")
X = df.drop("price", axis=1)
y = df["price"]
# Create a pipeline that fits scaler on training data only
pipeline = Pipeline([
    ('scaler', StandardScaler()),
    ('model', Ridge(alpha=1.0))
])
scores = cross_val_score(pipeline, X, y, cv=5, scoring="r2")
print(f"Mean R2: {scores.mean():.4f} (+/- {scores.std():.4f})")
```
Now the scaler is independently fit in each CV fold on only that fold's training data, preventing information from test folds from influencing the scaling of training data.</t>
  </si>
  <si>
    <t>Yes, this code **does contain data leakage**.
The data leakage occurs in the following line:
```python
X_scaled = scaler.fit_transform(X)
```
**Explanation of the Leakage:**
1.  **`scaler.fit_transform(X)`:** When you call `fit_transform` on the *entire* dataset `X` (which includes all samples that will eventually be used for both training and testing), the `StandardScaler` calculates the mean and standard deviation of *all* features using *all* available data points.
2.  **Cross-validation:** Later, when `cross_val_score` is called, it splits `X_scaled` and `y` into training and testing folds multiple times.
3.  **The Problem:** Because the `scaler` was `fit` on the *entire* dataset `X` *before* the cross-validation splits were made, the scaling parameters (mean and standard deviation) used for each feature were influenced by information from the data points that would eventually end up in the test sets.
**Why this is a problem:**
In a real-world scenario, when you deploy your model, you won't have access to the "future" test data (i.e., new, unseen data) to calculate the scaling parameters. You would only be able to fit your scaler on your training data. By fitting the scaler on the entire dataset *before* cross-validation, you are essentially allowing information from the test set to "leak" into the pre-processing step for the training set. This can lead to:
*   **Overly optimistic performance estimates:** The model's reported R2 score might be higher than its true performance on truly unseen data, because the scaling applied to the training data implicitly "knows" something about the distribution of the test data.
*   **A less robust model:** A model trained this way might not generalize as well to new data where the scaling is applied purely based on training set statistics.
**How to fix it:**
The correct way to handle pre-processing like scaling within a cross-validation framework is to apply the `fit` method of the scaler *only on the training data within each fold* and then `transform` both the training and test data of that fold using the parameters learned from the training data. The most robust way to do this in scikit-learn is to use a `Pipeline`.
Here's the corrected code:
```python
import pandas as pd
from sklearn.preprocessing import StandardScaler
from sklearn.model_selection import cross_val_score
from sklearn.linear_model import Ridge
from sklearn.pipeline import Pipeline # Import Pipeline
df = pd.read_csv("cars.csv")
X = df.drop("price", axis=1)
y = df["price"]
# Define the pipeline: first scale, then apply the model
pipeline = Pipeline([
    ('scaler', StandardScaler()),
    ('model', Ridge(alpha=1.0))
])
# cross_val_score will now correctly apply fit_transform on training data
# and transform on test data for each fold within the pipeline.
scores = cross_val_score(pipeline, X, y, cv=5, scoring="r2")
print(f"Mean R2: {scores.mean():.4f} (+/- {scores.std():.4f})")
```
With the `Pipeline`, `cross_val_score` handles the `fit` and `transform` methods for the `StandardScaler` correctly within each fold, preventing any data leakage.</t>
  </si>
  <si>
    <t>The provided Python code primarily revolves around creating a machine learning pipeline using the `scikit-learn` library, specifically to use Ridge Regression on a dataset loaded from "cars.csv". Here are some issues, potential bugs, and bad practices present in the code:
1. **Import Errors Not Handled**:
   - The code does not handle the potential `FileNotFoundError` that could occur when attempting to read "cars.csv". It's always a good practice to handle such exceptions to make the code more robust.
2. **Missing Data Handling**:
   - There's no handling for missing data within the `DataFrame`. If "cars.csv" contains missing values, `cross_val_score()` might throw errors or give misleading results. It’s crucial to check for and handle missing data before proceeding with model training.
3. **Assumption of Data Types**:
   - The code assumes all features (`X`) are numerical and suitable for scaling with `StandardScaler`. If any categorical features are present, additional preprocessing (e.g., one-hot encoding) would be necessary.
4. **Feature-Target Correlation**:
   - While it's not necessarily a bug, it’s generally advisable to check for correlation (via a correlation matrix) between features and target before modeling, especially if some features may not be useful or could introduce multicollinearity.
5. **Pipeline Creation with Fixed Parameters**:
   - `Ridge(alpha=1.0)` uses a hardcoded parameter. Although this code is for demonstration purposes, in practice, you should consider using hyperparameter tuning methods (e.g., grid search) to find the best parameters for your model.
6. **Output Information**:
   - The output of cross-validation results displays the mean R2 and standard deviation, which is informative. However, consider displaying additional metrics if needed, such as median R2 or outlier handling in cross-validation scores.
7. **Potential Non-Linearity and Model Choice**:
   - The choice of `Ridge` regression implies a linear model which might not be suitable for all datasets. While this is context-dependent and particular to the dataset's characteristics, evaluating model assumptions in exploratory data analysis is important.
8. **Version Dependency**:
   - The code does not explicitly control library versions, which can lead to code breaking or unexpected behavior if updates occur. Using virtual environments and a requirements file (like `requirements.txt`) ensures consistent environments.
9. **No Random State in CV**:
   - By default, `cross_val_score` uses deterministic cross-validation splits. If your dataset is ordered or contains patterns, consider using a `KFold` object with a specified random state for reproducibility.
10. **Lack of Data Exploration**:
    - Before modeling, conducting exploratory data analysis (EDA) is crucial to understand the dataset's nature, distribution of the target variable, and any interesting relations between features and the target.
Addressing these points not only improves the code's robustness and flexibility but also ensures better model performance and reliability in various scenarios.</t>
  </si>
  <si>
    <t>This Python code performs data preprocessing and model training using the Ridge regression model from `scikit-learn`. While the code is mostly well-structured, it still has some issues, bugs, or bad practices. Let's go through them:
1. **Potential Missing Values Handling**:
   - **Issue**: The code does not check for or handle missing values in the DataFrame. If `cars.csv` has any missing values in either the features or target variable (`X` or `y`), this will lead to runtime errors during model fitting or evaluation.
   - **Solution**: Before splitting the data into features and target, check for missing values and handle them appropriately (e.g., imputation or removal).
   ```python
   if df.isnull().values.any():
       # Handle missing values, for example:
       df = df.dropna()  # This will drop any rows with missing values
       # or df.fillna(method='ffill', inplace=True) for forward fill
   ```
2. **Feature Scaling Considerations**:
   - **Issue**: The `StandardScaler` is being applied as part of the pipeline, which is appropriate. However, there should be a specific check to ensure that the features being standardized are numeric. If the dataset contains categorical features, one should preprocess these before the scaling step.
   - **Solution**: Ensure that all columns in `X` are numeric or handle categorical columns appropriately using encoding techniques (like one-hot encoding) before fitting the model.
   ```python
   # Example of encoding categorical features
   X = pd.get_dummies(X, drop_first=True)  # One-hot encode categorical variables
   ```
3. **Pipeline Fit Issue**:
   - **Issue**: The `pipeline` is created but not explicitly fitted to the data before calling `cross_val_score`. The pipeline is implicitly fitted within `cross_val_score()`, which is fine. Still, emphasizing that this is part of the pipeline mechanism might help clarify intent.
   - **Solution**: No action needed, but providing a comment for clarity could be beneficial.
4. **Loading and Handling External Data**:
   - **Issue**: The code loads an external CSV file (`cars.csv`) without any checks or error handling (e.g., file not found, wrong format).
   - **Solution**: Wrap the CSV loading in a try-except block to gracefully handle potential errors.
   ```python
   try:
       df = pd.read_csv("cars.csv")
   except FileNotFoundError:
       print("Error: The file 'cars.csv' was not found.")
       exit()
   except pd.errors.EmptyDataError:
       print("Error: The file is empty.")
       exit()
   ```
5. **Cross-Validation Strategy**:
   - **Issue**: The cross-validation strategy used is `cv=5`, which might not be ideal for all datasets, especially if they are small. It might lead to overfitting or underfitting depending on the dataset size.
   - **Solution**: Consider using stratified cross-validation (if the target variable is categorical) or experimenting with different `cv` values based on the dataset size. Additionally, using `KFold` or `StratifiedKFold` with a specific random state would improve reproducibility.
   ```python
   from sklearn.model_selection import KFold
   cv_strategy = KFold(n_splits=5, shuffle=True, random_state=42)
   scores = cross_val_score(model, X, y, cv=cv_strategy, scoring="r2")
   ```
6. **Output Formatting**:
   - **Issue**: While the output formatting for the results is fine, one might consider including additional information, such as maximum and minimum scores, to provide better insights about the model's performance.
   - **Solution**: Enhance the print statement to include more detailed statistics.
   ```python
   print(f"Mean R2: {scores.mean():.4f}, Std: {scores.std():.4f}, Max: {scores.max():.4f}, Min: {scores.min():.4f}")
   ```
Overall, the code serves its purpose but can be improved in terms of robustness, error handling, and ensuring that data processing is appropriate given the nature of the data.</t>
  </si>
  <si>
    <t>## Code Review
Overall this is reasonably clean code, but there has several issues ranging from critical to minor.
---
### 1. No Error Handling for File Loading
```python
# Current - crashes with unreadable error if file missing
df = pd.read_csv("cars.csv")
# Better
import os
if not os.path.exists("cars.csv"):
    raise FileNotFoundError("Dataset 'cars.csv' not found in working directory")
df = pd.read_csv("cars.csv")
```
If the file doesn't exist, you get a raw exception with no context. Explicit validation gives clearer error messages.
---
### 2. No Validation That Target Column Exists
```python
# Current - KeyError if "price" column is absent
X = df.drop("price", axis=1)
y = df["price"]
# Better
target = "price"
if target not in df.columns:
    raise ValueError(f"Target column '{target}' not found. Available columns: {df.columns.tolist()}")
```
The dataset may have been loaded with unexpected column names (encoding issues, extra spaces, etc.).
---
### 3. No Handling of Missing Values
```python
# Current - Ridge and StandardScaler will raise errors or silently misbehave
X = df.drop("price", axis=1)
# Better - add imputation to the pipeline
from sklearn.impute import SimpleImputer
model = make_pipeline(
    SimpleImputer(strategy="median"),
    StandardScaler(),
    Ridge(alpha=1.0)
)
```
Real-world CSV files almost always contain missing values. Neither `StandardScaler` nor `Ridge` handle `NaN` gracefully — they will raise a `ValueError`.
---
### 4. No Handling of Categorical Features
```python
# Current - will fail if any column contains strings
X = df.drop("price", axis=1)
# Better - encode categoricals explicitly
from sklearn.compose import ColumnTransformer
from sklearn.preprocessing import OneHotEncoder
categorical_cols = X.select_dtypes(include=["object", "category"]).columns.tolist()
numerical_cols   = X.select_dtypes(include=["number"]).columns.tolist()
preprocessor = ColumnTransformer([
    ("num", make_pipeline(SimpleImputer(strategy="median"), StandardScaler()), numerical_cols),
    ("cat", make_pipeline(SimpleImputer(strategy="most_frequent"), OneHotEncoder(handle_unknown="ignore")), categorical_cols),
])
model = make_pipeline(preprocessor, Ridge(alpha=1.0))
```
A "cars" dataset will almost certainly have categorical columns (make, model, fuel type, etc.). `StandardScaler` cannot process strings.
---
### 5. Alpha Is Not Tuned
```python
# Current - arbitrary default, likely not optimal
Ridge(alpha=1.0)
# Better - tune it as part of the workflow
from sklearn.model_selection import GridSearchCV
model = make_pipeline(StandardScaler(), Ridge())
param_grid = {"ridge__alpha": [0.01, 0.1, 1.0, 10.0, 100.0]}
search = GridSearchCV(model, param_grid, cv=5, scoring="r2")
search.fit(X, y)
print(f"Best alpha: {search.best_params_['ridge__alpha']}")
```
`alpha=1.0` is a placeholder, not a justified choice. Hyperparameter selection should be part of the process.
---
### 6. Standard Deviation Is a Misleading Uncertainty Metric
```python
# Current - std of only 5 numbers is statistically noisy
print(f"Mean R2: {scores.mean():.4f} (+/- {scores.std():.4f})")
# Better - use a confidence interval
import scipy.stats as stats
n = len(scores)
se = scores.std() / (n ** 0.5)
ci = se * stats.t.ppf(0.975, df=n - 1)
print(f"Mean R2: {scores.mean():.4f} (95% CI: +/- {ci:.4f})")
print(f"Fold scores: {scores.round(4)}")
```
With only 5 folds, the standard deviation is an unreliable spread estimate. A confidence interval is more honest about uncertainty.
---
### 7. No Imports for Standard Library Modules Used
```python
# os is used but never imported
import os  # needed for file existence check
```
Minor, but worth noting if you adopt recommendation #1.
---
### Summary Table
| # | Issue | Severity |
|---|-------|----------|
| 1 | No file existence check | Medium |
| 2 | No target column validation | Medium |
| 3 | Missing values not handled | **High** |
| 4 | Categorical features not handled | **High** |
| 5 | Alpha not tuned | Medium |
| 6 | Std dev as uncertainty metric | Low |
| 7 | Missing `os` import | Low |
Issues 3 and 4 are the most critical — they will cause the code to **crash or produce wrong results** on any realistic cars dataset.</t>
  </si>
  <si>
    <t># Code Review: Python Machine Learning Script
## Issues Found
### 1. **No Error Handling for File I/O** ⚠️
```python
df = pd.read_csv("cars.csv")
```
**Problem:** The code assumes `cars.csv` exists and is readable. If the file is missing or corrupted, the script will crash with an unhelpful error.
**Fix:**
```python
try:
    df = pd.read_csv("cars.csv")
except FileNotFoundError:
    print("Error: cars.csv not found")
    exit(1)
except pd.errors.ParserError:
    print("Error: cars.csv is not a valid CSV file")
    exit(1)
```
---
### 2. **No Data Validation** ⚠️
```python
X = df.drop("price", axis=1)
y = df["price"]
```
**Problem:** 
- No check if "price" column exists
- No check for missing values (NaN)
- No check for non-numeric features
- If `X` is empty or `y` is empty, cross-validation will fail silently
**Fix:**
```python
if "price" not in df.columns:
    raise ValueError("'price' column not found in dataset")
if df.empty:
    raise ValueError("Dataset is empty")
# Check for missing values
if df.isnull().any().any():
    print(f"Warning: Found missing values. Dropping {df.isnull().sum().sum()} rows")
    df = df.dropna()
X = df.drop("price", axis=1)
y = df["price"]
if len(X) &lt; 5:
    raise ValueError("Not enough samples for 5-fold cross-validation")
```
---
### 3. **Hardcoded Hyperparameter** ⚠️
```python
model = make_pipeline(StandardScaler(), Ridge(alpha=1.0))
```
**Problem:** `alpha=1.0` is arbitrarily chosen with no justification. This hyperparameter should be tuned.
**Fix:**
```python
from sklearn.model_selection import GridSearchCV
param_grid = {"ridge__alpha": [0.01, 0.1, 1.0, 10.0, 100.0]}
pipeline = make_pipeline(StandardScaler(), Ridge())
model = GridSearchCV(pipeline, param_grid, cv=5)
model.fit(X, y)
print(f"Best alpha: {model.best_params_['ridge__alpha']}")
print(f"Best R2: {model.best_score_:.4f}")
```
---
### 4. **Small Sample Size with 5-Fold CV** ⚠️
```python
scores = cross_val_score(model, X, y, cv=5, scoring="r2")
```
**Problem:** If the dataset has fewer than 50 samples, 5-fold CV may result in very small test sets, leading to unstable estimates. No check is performed.
**Fix:**
```python
if len(X) &lt; 20:
    cv_folds = 3  # Use 3-fold for small datasets
    print("Warning: Small dataset detected. Using 3-fold CV instead of 5-fold")
else:
    cv_folds = 5
scores = cross_val_score(model, X, y, cv=cv_folds, scoring="r2")
```
---
### 5. **No Data Type Checking** ⚠️
**Problem:** The code doesn't verify that features are numeric or compatible with `StandardScaler`.
**Fix:**
```python
non_numeric_cols = X.select_dtypes(exclude=['number']).columns.tolist()
if non_numeric_cols:
    raise ValueError(f"Non-numeric columns found: {non_numeric_cols}. Please encode them first.")
```
---
### 6. **Misleading Standard Deviation Reporting** ℹ️
```python
print(f"Mean R2: {scores.mean():.4f} (+/- {scores.std():.4f})")
```
**Problem:** This displays standard deviation, but users often expect 95% confidence interval (±1.96 * std / sqrt(n)). The notation is ambiguous.
**Fix:**
```python
mean_score = scores.mean()
std_score = scores.std()
ci = 1.96 * std_score / (len(scores) ** 0.5)
print(f"Mean R2: {mean_score:.4f}")
print(f"95% CI: [{mean_score - ci:.4f}, {mean_score + ci:.4f}]")
print(f"Std Dev: {std_score:.4f}")
```
---
### 7. **Missing Imports Organization** 🎨
**Problem:** Minor style issue - imports should follow PEP 8 (standard library first, then third-party).
**Fix:**
```python
from sklearn.linear_model import Ridge
from sklearn.model_selection import cross_val_score
from sklearn.pipeline import make_pipeline
from sklearn.preprocessing import StandardScaler
import pandas as pd
```
---
## Summary Table
| Issue | Severity | Type |
|-------|----------|------|
| No file error handling | High | Bug |
| No data validation | High | Bug |
| Hardcoded hyperparameters | Medium | Bad Practice |
| Small sample handling | Medium | Bad Practice |
| No type checking | Medium | Bug |
| CI reporting ambiguity | Low | UX Issue |
| Import organization | Low | Style |</t>
  </si>
  <si>
    <t>This Python code provides a basic framework for evaluating a Ridge regression model using cross-validation. While functional for ideal datasets, it has several issues related to robustness, data preprocessing, and best practices that would likely cause problems in a real-world scenario.
Here's a breakdown of the problems:
---
### Issues, Bugs, and Bad Practices
1.  **Lack of Robustness for File Reading:**
    *   **Problem:** The line `df = pd.read_csv("cars.csv")` hardcodes the filename and lacks error handling. If `cars.csv` does not exist in the current directory, a `FileNotFoundError` will be raised, crashing the script.
    *   **Explanation:** Hardcoding filenames makes code less flexible. More importantly, real-world scripts should anticipate I/O errors.
    *   **Fix:** Use a `try-except` block to catch `FileNotFoundError` and provide a graceful exit or informative message. Consider passing the filename as an argument or configuration.
2.  **Assumed Column Existence ("price"):**
    *   **Problem:** The code assumes the "price" column exists for both feature dropping (`df.drop("price", axis=1)`) and target selection (`df["price"]`). If the column name is misspelled or doesn't exist in the CSV, a `KeyError` will be raised.
    *   **Explanation:** Relying on magic strings for column names without validation is brittle.
    *   **Fix:** Add a check `if "price" not in df.columns:` to explicitly verify its existence before proceeding, or use a configuration variable for the target column name.
3.  **No Handling for Missing Values (NaNs):**
    *   **Problem:** Neither `StandardScaler` nor `Ridge` (by default) can handle `NaN` values in the input data. If `X` or `y` contains `NaN`s, `StandardScaler` will raise a `ValueError` (e.g., "Input contains NaN, infinity or a value too large for dtype('float64').").
    *   **Explanation:** Real-world datasets often have missing values. Ignoring them leads to runtime errors.
    *   **Fix:** Implement a missing value imputation strategy (e.g., `SimpleImputer` from `sklearn.impute`) within the pipeline, or explicitly drop rows/columns with NaNs if appropriate.
4.  **No Handling for Categorical Features:**
    *   **Problem:** The code implicitly assumes all features in `X` are numerical. If `X` contains categorical columns (e.g., "color", "make", "model"), `StandardScaler` will likely raise an error (if they are object dtype) or `Ridge` will produce nonsensical results (if they are integers that represent categories).
    *   **Explanation:** Regression models and scalers generally require numerical input. Categorical features need to be encoded (e.g., one-hot encoding).
    *   **Fix:** Use `OneHotEncoder` or `OrdinalEncoder` for categorical features. A `ColumnTransformer` is ideal for applying different preprocessing steps to different subsets of columns within a pipeline.
5.  **Arbitrary Hyperparameter Choice (`alpha`, `cv`):**
    *   **Problem:** The `alpha=1.0` for `Ridge` and `cv=5` for `cross_val_score` are arbitrary choices. While common starting points, they are unlikely to be optimal for the specific dataset.
    *   **Explanation:** `alpha` controls the strength of regularization; an incorrect value can lead to underfitting or overfitting. `cv` affects the reliability and computational cost of the cross-validation estimate.
    *   **Fix:** Implement hyperparameter tuning using techniques like `GridSearchCV` or `RandomizedSearchCV` to find the best `alpha` (and potentially other model/pipeline hyperparameters). The choice of `cv` can also be optimized or at least justified.
6.  **Lack of Comments:**
    *   **Problem:** The code has no comments explaining the purpose of different sections or specific choices.
    *   **Explanation:** While this snippet is relatively small, good code always includes comments to improve readability and maintainability, especially when dealing with data preprocessing steps or model choices.
    *   **Fix:** Add comments to clarify intentions, explain decisions (like the `alpha` value if it were justified), and describe non-obvious parts.
7.  **No Data Exploration/Validation (Implicit):**
    *   **Problem:** The code jumps straight into modeling without any explicit steps for initial data exploration or validation (e.g., `df.head()`, `df.info()`, `df.describe()`). This makes it harder to anticipate the above issues.
    *   **Explanation:** A good practice is to understand the data's structure, types, and distributions before applying models.
    *   **Fix:** Include basic data exploration steps before the modeling phase to understand the data and identify potential preprocessing needs.
---
### Example of Improved Code (Addressing most issues):
```python
import pandas as pd
from sklearn.preprocessing import StandardScaler, OneHotEncoder
from sklearn.impute import SimpleImputer
from sklearn.model_selection import cross_val_score, GridSearchCV
from sklearn.pipeline import Pipeline
from sklearn.compose import ColumnTransformer
from sklearn.linear_model import Ridge
import numpy as np # For potential NaN checks
# --- Configuration ---
FILE_PATH = "cars.csv"
TARGET_COLUMN = "price"
CV_FOLDS = 5 # Can still be a variable for tuning
# --- 1. Robust File Reading ---
try:
    df = pd.read_csv(FILE_PATH)
except FileNotFoundError:
    print(f"Error: The file '{FILE_PATH}' was not found.")
    exit()
except Exception as e:
    print(f"An error occurred while reading the CSV: {e}")
    exit()
# --- 2. Validate Target Column Existence ---
if TARGET_COLUMN not in df.columns:
    print(f"Error: Target column '{TARGET_COLUMN}' not found in the dataset.")
    print(f"Available columns: {df.columns.tolist()}")
    exit()
# Separate target variable
y = df[TARGET_COLUMN]
X = df.drop(TARGET_COLUMN, axis=1)
# --- 3. &amp; 4. Handle Missing Values and Categorical Features with ColumnTransformer ---
# Identify numerical and categorical columns
numerical_cols = X.select_dtypes(include=np.number).columns
categorical_cols = X.select_dtypes(include='object').columns
# Preprocessing for numerical data (imputation then scaling)
numerical_transformer = Pipeline(steps=[
    ('imputer', SimpleImputer(strategy='mean')),
    ('scaler', StandardScaler())
])
# Preprocessing for categorical data (imputation then one-hot encoding)
categorical_transformer = Pipeline(steps=[
    ('imputer', SimpleImputer(strategy='most_frequent')), # Or a specific placeholder
    ('onehot', OneHotEncoder(handle_unknown='ignore')) # handle_unknown='ignore' for new categories in test set
])
# Create a preprocessor object using ColumnTransformer
preprocessor = ColumnTransformer(
    transformers=[
        ('num', numerical_transformer, numerical_cols),
        ('cat', categorical_transformer, categorical_cols)
    ],
    remainder='passthrough' # Keep other columns (if any) as they are, or 'drop'
)
# --- Define the full pipeline with preprocessing and model ---
# The pipeline now includes the preprocessor for diverse column types
model_pipeline = Pipeline(steps=[
    ('preprocessor', preprocessor),
    ('regressor', Ridge()) # Ridge without an alpha here, as we'll tune it
])
# --- 5. Hyperparameter Tuning (Example for 'alpha') ---
# Define the parameter grid for GridSearchCV
param_grid = {
    'regressor__alpha': np.logspace(-3, 3, 7) # Example: [0.001, 0.01, 0.1, 1, 10, 100, 1000]
}
# Use GridSearchCV to find the best alpha
grid_search = GridSearchCV(model_pipeline, param_grid, cv=CV_FOLDS, scoring='r2', n_jobs=-1, verbose=1)
grid_search.fit(X, y)
print(f"\nBest hyperparameters found: {grid_search.best_params_}")
print(f"Best R2 score (from GridSearchCV): {grid_search.best_score_:.4f}")
# --- Evaluate the best model using cross_val_score ---
# We can now use the best estimator found by GridSearchCV for final evaluation
best_model = grid_search.best_estimator_
scores = cross_val_score(best_model, X, y, cv=CV_FOLDS, scoring="r2", n_jobs=-1)
# --- 6. &amp; 7. Output with Explanation ---
print(f"\nMean R2 of the tuned model (across {CV_FOLDS} folds): {scores.mean():.4f} (+/- {scores.std():.4f})")
print("This R2 score represents how well the model explains the variance in 'price'.")
print("The standard deviation indicates the variability of the R2 across different folds.")
# If you wanted to train a final model on the entire dataset:
# final_model = best_model.fit(X, y)
# print("Final model trained on the entire dataset.")
```</t>
  </si>
  <si>
    <t>The given Python code defines a machine learning pipeline to predict car prices based on features from the dataset `cars.csv`. Let's review the code to check for potential data leakage:
1. **Reading the Data:**
   ```python
   df = pd.read_csv("cars.csv")
   X = df.drop("price", axis=1)
   y = df["price"]
   ```
   - The dataset is read from a CSV file, and the target variable `price` is separated from the predictor variables. This step does not involve any data leakage.
2. **Pipeline Definition:**
   ```python
   model = make_pipeline(StandardScaler(), Ridge(alpha=1.0))
   ```
   - The machine learning model is constructed using a pipeline with a `StandardScaler` for feature scaling and a `Ridge` regression model. This pipeline configuration is generally good practice for ensuring that data preprocessing steps are correctly applied within cross-validation.
3. **Cross-Validation:**
   ```python
   scores = cross_val_score(model, X, y, cv=5, scoring="r2")
   print(f"Mean R2: {scores.mean():.4f} (+/- {scores.std():.4f})")
   ```
   - The `cross_val_score` function is employed to evaluate the model using 5-fold cross-validation. The essential point here is that the entire pipeline (including scaling) is executed within each fold of cross-validation. This means that the `StandardScaler` is fit on the training data of each fold, and applied to scale the test data of the fold. This approach prevents data leakage since no information from the test data within one fold is used to transform the training data of that fold. Since cross-validation here is applied correctly without mixing training and testing data at any point, data leakage due to misplaced preprocessing steps is avoided.
Given the structure and steps outlined in the code, there is no data leakage present in this machine learning pipeline. The cross-validation approach ensures that any fitting of transformations and models are confined to individual cross-validation splits, effectively preventing premature exposure to test data before evaluation.</t>
  </si>
  <si>
    <t>The provided Python code appears to be free of data leakage. Here's a breakdown of the analysis:
1. **Data Loading and Splitting**:
   - The code reads data from a CSV file and separates the features (`X`) and the target variable (`y`). There is no merging of the target with the features that could lead to leakage.
2. **Model Pipeline Construction**:
   - The `make_pipeline` function is used to create a machine learning pipeline that includes a `StandardScaler` for feature scaling, followed by a `Ridge` regression model. This is a standard approach and does not inherently cause data leakage by itself.
3. **Cross-Validation**:
   - The `cross_val_score` function is utilized to perform cross-validation. This function internally handles the splitting of the dataset into training and validation subsets during each fold of cross-validation. As such, it prevents any information from the test set (i.e., validation data for each fold) from being used during the model training. In each fold:
     - The model is trained on a training set, and the validation is done on a separate subset.
     - This ensures that the model has no access to the target variable during training, thereby mimicking a real-world scenario where future data is unseen.
4. **Feature Engineering**:
   - The features used in `X` do not seem to encode any information about the target variable `y` that would not be available during prediction time, assuming that the dataset consists of standard car attributes (e.g., horsepower, weight, year) that are predictive of car prices but not related to the price itself in a way that causes leakage.
In summary, the pipeline does not exhibit any signs of data leakage. The model training and evaluation process is properly isolated through the use of cross-validation, ensuring that no information from the target is available during the training phase. If the features are appropriately chosen and do not manipulate the target variable, this setup should deliver valid evaluation metrics.</t>
  </si>
  <si>
    <t>## Code Review: Data Leakage Analysis
### Verdict: **No Data Leakage**
This code is correctly structured and does not contain data leakage. Here's why:
---
### Why This Code Is Safe
**The `make_pipeline` + `cross_val_score` combination is the key protection.**
```python
# These two work together correctly
model = make_pipeline(StandardScaler(), Ridge(alpha=1.0))
scores = cross_val_score(model, X, y, cv=5, scoring="r2")
```
`cross_val_score` treats the pipeline as an **atomic unit**. On each fold it:
```
Full Data (5 folds)
│
├── Fold 1 as TEST  → StandardScaler.fit_transform(folds 2-5) → Ridge.fit(folds 2-5) → score on fold 1
├── Fold 2 as TEST  → StandardScaler.fit_transform(folds 1,3-5) → Ridge.fit(folds 1,3-5) → score on fold 2
├── ...
└── Fold 5 as TEST  → StandardScaler.fit_transform(folds 1-4) → Ridge.fit(folds 1-4) → score on fold 5
```
The scaler is **fit only on training folds** and **applied (transform-only) to the test fold** — never the reverse.
---
### The Classic Mistake This Code Avoids
The common leakage error would look like this:
```python
# WRONG - leakage present
scaler = StandardScaler()
X_scaled = scaler.fit_transform(X)  # ❌ scaler sees ALL data including test folds
                                     #    mean/std are computed from entire dataset
model = Ridge(alpha=1.0)
scores = cross_val_score(model, X_scaled, y, cv=5, scoring="r2")
```
**Why that's a problem:** The scaler's mean and standard deviation are computed using test fold data, so the model indirectly "knows" statistical properties of data it should never have seen. This leads to overly optimistic evaluation scores.
---
### What the Safe Pattern Looks Like Internally
```python
# What make_pipeline + cross_val_score effectively does (simplified):
for train_idx, test_idx in kfold.split(X):
    X_train, X_test = X[train_idx], X[test_idx]
    y_train, y_test = y[train_idx], y[test_idx]
    scaler = StandardScaler()
    X_train_scaled = scaler.fit_transform(X_train)  # ✅ fit on train only
    X_test_scaled  = scaler.transform(X_test)        # ✅ transform only, no fit
    ridge = Ridge(alpha=1.0)
    ridge.fit(X_train_scaled, y_train)               # ✅ train on train only
    score = r2_score(y_test, ridge.predict(X_test_scaled))
```
---
### One Caveat Worth Noting
The analysis assumes the input features in `X` are **raw, pre-model features**. Leakage *could* still exist upstream (before this code runs) if, for example:
| Potential Upstream Issue | Example |
|---|---|
| Target-encoded features | A column encoding average price per category |
| Future-derived features | Features computed using future timestamps |
| Duplicate/near-duplicate rows split across folds | Same car appearing in train and test |
These would be **data problems**, not code problems — and are undetectable from this snippet alone.
---
### Summary
| Check | Status |
|---|---|
| Scaler fit on test data | ✅ Safe (pipeline prevents this) |
| Model trained on test data | ✅ Safe (cross_val_score prevents this) |
| Target information in features | ✅ Cannot determine from snippet, but no obvious encoding |
| Preprocessing outside pipeline | ✅ None present |</t>
  </si>
  <si>
    <t># Data Leakage Review
## **Verdict: No data leakage detected**
This code is **free of data leakage**. Here's why:
### Correct Pipeline Structure
The `make_pipeline(StandardScaler(), Ridge())` ensures that:
- The `StandardScaler` is fit **only on training data within each fold**
- The `Ridge` model is fit **only on the scaled training data within each fold**
- `cross_val_score` handles this correctly by refitting the entire pipeline on each fold's training set and evaluating on the held-out test fold
### Verification
When you use `cross_val_score` with a pipeline:
1. For each of the 5 folds, sklearn:
   - Takes ~80% of data as the training fold
   - Fits `StandardScaler` on this training fold
   - Transforms the training fold
   - Fits `Ridge` on the transformed training fold
   - Transforms and evaluates on the remaining ~20% test fold
2. Scaling statistics (mean, std) from the test fold are **never** used to scale the training fold
3. No test data information leaks into model training
### Good Practices Followed
✓ Preprocessing step (scaling) is inside the pipeline  
✓ Using `cross_val_score` (not manual train/test split)  
✓ No pre-fitting of scaler on entire dataset  
✓ No feature engineering based on target distribution  
This is a properly constructed pipeline.</t>
  </si>
  <si>
    <t>This Python machine learning pipeline code is **free of data leakage**.
Here's why:
1.  **`cross_val_score`:** The `cross_val_score` function is designed to prevent data leakage between folds. For each of the `cv=5` iterations:
    *   It splits the data into a training set and a validation (test) set.
    *   It then takes the provided `model` (which is your `make_pipeline` object).
2.  **`make_pipeline`:** The pipeline ensures that preprocessing steps (like `StandardScaler`) are applied correctly within each fold:
    *   **During Training:** The `fit` method of the entire pipeline is called on the **training data only**.
        *   `StandardScaler().fit_transform()` is applied to the training data. This means the `mean` and `standard deviation` for scaling are calculated *exclusively* from the features within that fold's training set.
        *   `Ridge().fit()` then trains the regression model using these scaled training features and the corresponding training targets.
    *   **During Prediction/Evaluation:** The `transform` (for `StandardScaler`) and `predict` (for `Ridge`) methods of the pipeline are called on the **validation (test) data**.
        *   The validation data is scaled *using the `mean` and `standard deviation` calculated ONLY from the training data* of that specific fold. It does not look at the validation data itself to learn scaling parameters.
        *   The `Ridge` model, trained on the training data, then makes predictions on this scaled validation data.
        *   The `r2` score is calculated based on these predictions.
**Conclusion:**
The combination of `make_pipeline` and `cross_val_score` correctly encapsulates the preprocessing steps (`StandardScaler`) within each training fold. This prevents any information from the test set (e.g., its mean or standard deviation for feature scaling) from "leaking" into the training process of the model.
Assuming that the `cars.csv` dataset itself doesn't contain features that inherently encode future information (which is outside the scope of this code snippet to determine, but is a general data leakage concern), this particular code snippet demonstrates a robust and leak-free machine learning workflow.</t>
  </si>
  <si>
    <t>The provided Python code is generally well-organized and demonstrates a typical machine learning pipeline using oversampling. However, there are a few issues and suggestions for improvement:
1. **Random State Consistency**:
   - While a `random_state` is provided consistently, which is useful for reproducibility, it's important to ensure that it's consistently applied across all parts of the pipeline. The given code does this correctly.
2. **Reading the Dataset**:
   - The CSV file path `"fraud.csv"` is hardcoded, which can lead to errors if the file path changes or if the script is run in a different environment. Consider passing the file path as a parameter or checking within the script if the file exists.
3. **Error Checking**:
   - The code does not include any error checking for data loading or processing steps. For instance, if the `fraud.csv` file doesn't exist, or if `"is_fraud"` is not a column in the dataframe, the code will throw an error. Adding try-except blocks or assertions could improve robustness.
4. **Data Preprocessing**:
   - There's no preprocessing of features before training. In real-world scenarios, feature scaling, handling missing values, or encoding categorical variables might be necessary. Check the dataset for these requirements.
5. **Feature and Model Documentation**:
   - The code does not include any comments or documentation. Adding comments explaining the purpose of each key step (e.g., oversampling, train-test splitting, model initialization) can make the code more understandable for other developers or for future reference.
6. **Evaluation Metrics**:
   - While `classification_report` provides a comprehensive overview, it might be useful to include additional metrics depending on the problem at hand (e.g., confusion matrix, ROC AUC score). This is optional, but it can provide a more in-depth evaluation of model performance.
7. **Unused Imports**:
   - The code imports `pandas` as `pd`, but if there are any unused imports after reviewing your code, it can introduce clutter and should be removed. Though all used components here seem to be necessary, ensure this is checked.
8. **Model Versioning/Tracking**:
   - For production-level code, consider using tools or frameworks to track model performance, manage versions, or even handle model storage. This is not directly related to the code quality but is an improvement suggestion for a more robust pipeline.
By addressing these points, you can enhance the robustness, maintainability, and clarity of the script.</t>
  </si>
  <si>
    <t>Here's a review of the code you provided, along with explanations for each identified issue or bad practice:
1. **Missing libraries for imbalance handling**:
   - **Issue**: The code uses `SMOTE` from `imblearn.over_sampling`, but it doesn't check whether the library `imbalanced-learn` is installed. If it is not installed, the code will raise an `ImportError`.
   - **Fix**: Consider including a try-except block to handle the import gracefully or include a setup documentation on required libraries.
2. **Data leakage**:
   - **Issue**: The SMOTE (Synthetic Minority Over-sampling Technique) is applied to the entire dataset before splitting into training and test sets. This can lead to data leakage, as synthetic examples generated using information from the test set may inadvertently inform the model during training.
   - **Fix**: Apply SMOTE only after splitting the data into training and test sets. You can call `fit_resample` on `X_train` and `y_train` instead.
3. **Handling categorical variables**:
   - **Issue**: If there are any categorical features in your DataFrame `df`, they need to be converted into a numerical format before training the model. This step is missing in the code.
   - **Fix**: Use techniques like one-hot encoding or label encoding to handle categorical variables.
4. **Hardcoded file path**:
   - **Issue**: The data source file path ("fraud.csv") is hardcoded, which can lead to issues when the file is not found or if running in different environments.
   - **Fix**: Either provide a command line argument for the file path or use a configuration file to specify data sources.
5. **Model evaluation**:
   - **Observation**: The code prints out the classification report but does not include any evaluation metrics like accuracy or confusion matrix. It would be informative to show these as well.
   - **Fix**: Consider expanding the evaluation section by calculating and printing the confusion matrix and accuracy score.
6. **Lack of logging or comments**:
   - **Issue**: The code lacks comments, making it less understandable for someone reviewing the code or for future reference.
   - **Fix**: Add comments to explain the process, especially around key steps like data loading, preprocessing, model training, and evaluation.
7. **No hyperparameter tuning**:
   - **Observation**: While setting `n_estimators=100` is a good start, there is no hyperparameter tuning involved. The model may benefit from an optimization process like GridSearchCV or RandomizedSearchCV to find the best parameters.
   - **Fix**: Implement a hyperparameter tuning step after the initial model training to optimize the model's performance.
Here is how the code could be improved considering the points mentioned above:
```python
import pandas as pd
from sklearn.model_selection import train_test_split
from sklearn.ensemble import GradientBoostingClassifier
from sklearn.metrics import classification_report, confusion_matrix, accuracy_score
from imblearn.over_sampling import SMOTE
# Load the dataset
df = pd.read_csv("fraud.csv")
# Convert categorical features to numerical if necessary here
# df = pd.get_dummies(df)
# Split data into features and target
X = df.drop("is_fraud", axis=1)
y = df["is_fraud"]
# Split the data into training and testing sets first
X_train, X_test, y_train, y_test = train_test_split(
    X, y, test_size=0.2, random_state=42
)
# Apply SMOTE only on training set
smote = SMOTE(random_state=42)
X_train_resampled, y_train_resampled = smote.fit_resample(X_train, y_train)
# Train the model
model = GradientBoostingClassifier(n_estimators=100, random_state=42)
model.fit(X_train_resampled, y_train_resampled)
# Make predictions
y_pred = model.predict(X_test)
# Evaluate the model
print(classification_report(y_test, y_pred))
print(confusion_matrix(y_test, y_pred))
print(f'Accuracy: {accuracy_score(y_test, y_pred)}')
```
This enhanced code addresses the mentioned problems, making it more robust and maintainable.</t>
  </si>
  <si>
    <t>## Code Review: Fraud Detection Pipeline
This code contains several significant issues ranging from critical data leakage bugs to missing best practices. Here's a thorough breakdown:
---
### 🔴 Critical Issue: Data Leakage from SMOTE Before Splitting
```python
# CURRENT (WRONG): SMOTE applied to entire dataset
smote = SMOTE(random_state=42)
X_resampled, y_resampled = smote.fit_resample(X, y)  # Leaks test data info
X_train, X_test, y_train, y_test = train_test_split(
    X_resampled, y_resampled, test_size=0.2, random_state=42
)
```
**Problem:** Applying SMOTE before splitting allows synthetic samples generated from test-set neighbors to bleed into the training set. This inflates performance metrics and produces an overly optimistic evaluation that won't reflect real-world performance.
```python
# CORRECT: Split first, then apply SMOTE only to training data
X_train, X_test, y_train, y_test = train_test_split(
    X, y, test_size=0.2, random_state=42, stratify=y  # stratify added too
)
smote = SMOTE(random_state=42)
X_train_resampled, y_train_resampled = smote.fit_resample(X_train, y_train)
```
---
### 🔴 Critical Issue: No Validation Split or Cross-Validation
```python
# CURRENT: Single train/test split gives high-variance estimates
model.fit(X_train, y_train)
y_pred = model.predict(X_test)
```
**Problem:** A single holdout split can produce unreliable performance estimates, especially with imbalanced fraud data. Use cross-validation with a pipeline to properly handle SMOTE within each fold.
```python
# CORRECT: Use a Pipeline with cross-validation
from sklearn.pipeline import Pipeline
from imblearn.pipeline import Pipeline as ImbPipeline
from sklearn.model_selection import StratifiedKFold, cross_validate
pipeline = ImbPipeline([
    ("smote", SMOTE(random_state=42)),
    ("classifier", GradientBoostingClassifier(n_estimators=100, random_state=42))
])
cv = StratifiedKFold(n_splits=5, shuffle=True, random_state=42)
results = cross_validate(
    pipeline, X_train, y_train,
    cv=cv,
    scoring=["f1", "roc_auc", "precision", "recall"]
)
```
---
### 🟠 Significant Issue: Missing Stratification in Train/Test Split
```python
# CURRENT: No stratify parameter
X_train, X_test, y_train, y_test = train_test_split(
    X_resampled, y_resampled, test_size=0.2, random_state=42
)
```
**Problem:** Without `stratify=y`, the class distribution in train/test sets may differ significantly. This is especially problematic with fraud data where the minority class is rare.
```python
# CORRECT: Always stratify classification splits
X_train, X_test, y_train, y_test = train_test_split(
    X, y,
    test_size=0.2,
    random_state=42,
    stratify=y  # Preserves class distribution
)
```
---
### 🟠 Significant Issue: No Feature Preprocessing
```python
# CURRENT: Raw features fed directly to model
X = df.drop("is_fraud", axis=1)
model.fit(X_train, y_train)
```
**Problem:** No handling of categorical variables, missing values, or feature scaling. While GradientBoosting is somewhat robust to scale, missing values and raw categoricals will cause errors or poor performance.
```python
# CORRECT: Explicit preprocessing pipeline
from sklearn.preprocessing import StandardScaler, OneHotEncoder
from sklearn.compose import ColumnTransformer
from sklearn.impute import SimpleImputer
categorical_cols = X.select_dtypes(include=["object", "category"]).columns
numerical_cols = X.select_dtypes(include=["number"]).columns
preprocessor = ColumnTransformer([
    ("num", Pipeline([
        ("imputer", SimpleImputer(strategy="median")),
        ("scaler", StandardScaler())
    ]), numerical_cols),
    ("cat", Pipeline([
        ("imputer", SimpleImputer(strategy="most_frequent")),
        ("encoder", OneHotEncoder(handle_unknown="ignore"))
    ]), categorical_cols)
])
```
---
### 🟠 Significant Issue: Inappropriate Metrics for Fraud Detection
```python
# CURRENT: classification_report alone is insufficient for fraud
print(classification_report(y_test, y_pred))
```
**Problem:** For fraud detection, ROC-AUC alone can be misleading with class imbalance. Precision-Recall AUC (Average Precision) is far more informative, and business cost thresholds matter.
```python
# CORRECT: Use metrics appropriate for imbalanced fraud detection
from sklearn.metrics import (
    classification_report,
    average_precision_score,
    roc_auc_score,
    confusion_matrix,
    ConfusionMatrixDisplay
)
import matplotlib.pyplot as plt
y_prob = model.predict_proba(X_test)[:, 1]
print("ROC-AUC:", roc_auc_score(y_test, y_prob))
print("Avg Precision (PR-AUC):", average_precision_score(y_test, y_prob))
print(classification_report(y_test, y_pred))
# Visualize confusion matrix
cm = confusion_matrix(y_test, y_pred)
ConfusionMatrixDisplay(cm).plot()
plt.title("Fraud Detection Confusion Matrix")
plt.show()
```
---
### 🟡 Moderate Issue: No Custom Decision Threshold
```python
# CURRENT: Uses default 0.5 threshold
y_pred = model.predict(X_test)
```
**Problem:** The default 0.5 decision threshold is rarely optimal for fraud detection. Missing fraud (false negatives) is typically far more costly than false alarms. The threshold should be tuned based on business costs.
```python
# CORRECT: Tune threshold using precision-recall tradeoff
from sklearn.metrics import precision_recall_curve
y_prob = model.predict_proba(X_test)[:, 1]
precisions, recalls, thresholds = precision_recall_curve(y_test, y_prob)
# Find threshold that achieves at minimum 80% recall
min_recall = 0.80
valid_idx = recalls[:-1] &gt;= min_recall
best_threshold = thresholds[valid_idx][precisions[:-1][valid_idx].argmax()]
y_pred_tuned = (y_prob &gt;= best_threshold).astype(int)
print(f"Tuned threshold: {best_threshold:.3f}")
print(classification_report(y_test, y_pred_tuned))
```
---
### 🟡 Moderate Issue: No Hyperparameter Tuning
```python
# CURRENT: Arbitrary default hyperparameters
model = GradientBoostingClassifier(n_estimators=100, random_state=42)
```
**Problem:** `n_estimators=100` is an arbitrary choice. No tuning of `learning_rate`, `max_depth`, `subsample`, or `min_samples_leaf` means the model is likely suboptimal.
```python
# CORRECT: Use proper hyperparameter search
from sklearn.model_selection import RandomizedSearchCV
param_grid = {
    "classifier__n_estimators": [100, 200, 300],
    "classifier__learning_rate": [0.01, 0.05, 0.1],
    "classifier__max_depth": [3, 4, 5],
    "classifier__subsample": [0.7, 0.85, 1.0],
    "classifier__min_</t>
  </si>
  <si>
    <t># Code Review: Issues and Problems Found
## 1. **Data Leakage (CRITICAL)** ⚠️
```python
smote = SMOTE(random_state=42)
X_resampled, y_resampled = smote.fit_resample(X, y)
X_train, X_test, y_train, y_test = train_test_split(X_resampled, y_resampled, ...)
```
**Problem:** SMOTE is applied to the entire dataset BEFORE train-test split. This causes test data to influence training through synthetic sample generation.
**Solution:** Apply SMOTE only to training data:
```python
X_train, X_test, y_train, y_test = train_test_split(X, y, test_size=0.2, random_state=42)
smote = SMOTE(random_state=42)
X_train, y_train = smote.fit_resample(X_train, y_train)
```
---
## 2. **No Input Validation**
**Problem:** No checks for:
- Missing files or read errors
- Empty dataframes
- Missing values in the data
- Non-numeric features that need encoding
**Solution:**
```python
df = pd.read_csv("fraud.csv")
if df.empty:
    raise ValueError("Dataset is empty")
if df.isnull().any().any():
    print("Missing values detected:", df.isnull().sum())
    # Handle appropriately
```
---
## 3. **No Feature Preprocessing**
**Problem:** 
- Categorical variables likely present but not encoded
- No feature scaling (may affect gradient boosting performance)
- No handling of outliers
**Solution:**
```python
from sklearn.preprocessing import LabelEncoder, StandardScaler
# Encode categorical features
# Consider feature scaling for consistency
```
---
## 4. **Inadequate Model Evaluation**
**Problem:**
- Only classification report shown; no other metrics
- No cross-validation
- No ROC-AUC or PR-AUC (important for imbalanced data)
- No confusion matrix visualization
**Solution:**
```python
from sklearn.metrics import roc_auc_score, confusion_matrix
print(f"ROC-AUC: {roc_auc_score(y_test, model.predict_proba(X_test)[:, 1])}")
print(confusion_matrix(y_test, y_pred))
```
---
## 5. **Hardcoded File Path**
**Problem:** `"fraud.csv"` is hardcoded with no error handling
**Solution:**
```python
import os
filepath = "fraud.csv"
if not os.path.exists(filepath):
    raise FileNotFoundError(f"{filepath} not found")
df = pd.read_csv(filepath)
```
---
## 6. **No Hyperparameter Tuning**
**Problem:** Model uses default hyperparameters; no grid/random search performed
**Solution:**
```python
from sklearn.model_selection import GridSearchCV
param_grid = {'n_estimators': [100, 200], 'learning_rate': [0.01, 0.1]}
grid = GridSearchCV(GradientBoostingClassifier(), param_grid, cv=5)
grid.fit(X_train, y_train)
```
---
## 7. **Class Imbalance Not Addressed (Beyond SMOTE)**
**Problem:** Only SMOTE used; no scale_pos_weight or class_weight consideration
**Solution:**
```python
model = GradientBoostingClassifier(
    n_estimators=100,
    random_state=42,
    scale_pos_weight=len(y_train[y_train==0]) / len(y_train[y_train==1])  # if using XGBoost
)
```
---
## 8. **No Random State Consistency Across All Operations**
**Problem:** While random_state=42 is used, it's good practice to set it globally
**Solution:**
```python
import numpy as np
np.random.seed(42)
```
---
## Summary Table
| Issue | Severity | Impact |
|-------|----------|--------|
| Data Leakage | **CRITICAL** | Invalid model evaluation |
| No Input Validation | High | Runtime crashes |
| Missing Preprocessing | High | Poor model performance |
| Inadequate Evaluation | High | False confidence in model |
| Hardcoded Paths | Medium | Fragility |
| No Hyperparameter Tuning | Medium | Suboptimal model |
| Limited Class Imbalance Handling | Medium | Biased predictions |
| Random Seed Management | Low | Reproducibility |</t>
  </si>
  <si>
    <t>This Python script demonstrates a common machine learning workflow for an imbalanced classification problem (fraud detection). While it's a good starting point, it contains several critical issues, bugs, and bad practices that can lead to misleading results and suboptimal model performance.
Here's a detailed breakdown of the problems:
---
### Major Issues / Bugs
1.  **Data Leakage due to SMOTE before Train/Test Split (CRITICAL BUG)**
    *   **Problem:** The most severe issue is applying `SMOTE` to the *entire dataset* (`X`, `y`) before splitting it into training and testing sets.
    *   **Explanation:** `SMOTE` works by creating synthetic samples based on existing minority class samples. When you resample the entire dataset, you are effectively generating synthetic samples for the minority class, some of which will be based on information from the original minority class samples that *should* have been reserved for the test set. These synthetic samples then get distributed between `X_resampled` and `y_resampled`, and subsequently into both `X_train`, `y_train` and `X_test`, `y_test`.
    *   **Impact:** This means your model is being evaluated on a test set that contains samples (or very similar samples) derived from the training data. This artificially inflates the model's performance metrics (especially for the minority class, like fraud), making the evaluation overly optimistic and not representative of how the model would perform on truly unseen data. This is a form of data leakage.
    *   **Correction:** SMOTE (or any oversampling/undersampling technique) must *only* be applied to the *training data* after the train/test split.
---
### Significant Bad Practices / Areas for Improvement
2.  **Lack of Data Preprocessing for Features**
    *   **Problem:** The code directly uses `df.drop("is_fraud", axis=1)` to get features `X` without any explicit preprocessing steps for the remaining columns.
    *   **Explanation:**
        *   **Missing Values:** If `fraud.csv` contains missing values (NaNs), `GradientBoostingClassifier` will likely raise an error (or silently impute, which isn't ideal without explicit handling).
        *   **Categorical Features:** If `X` contains non-numeric (object/string) categorical columns, `GradientBoostingClassifier` will definitely raise an error as it expects numerical input.
        *   **Feature Scaling:** While tree-based models like Gradient Boosting are generally less sensitive to feature scaling than distance-based models (e.g., SVM, K-NN), SMOTE itself *is* distance-based. Applying SMOTE to unscaled features can lead to suboptimal synthetic sample generation if features have vastly different scales. It's generally good practice to scale features when using SMOTE.
    *   **Impact:** The code might crash, produce incorrect results, or yield suboptimal performance due to unhandled data types or scales.
    *   **Correction:** Add explicit steps for:
        *   Imputing missing values (e.g., `SimpleImputer`).
        *   Encoding categorical features (e.g., `OneHotEncoder`, `OrdinalEncoder`).
        *   Scaling numerical features (e.g., `StandardScaler`, `MinMaxScaler`). This should be part of a `Pipeline` to prevent data leakage.
3.  **Suboptimal Model Evaluation for Imbalanced Data**
    *   **Problem:** While `classification_report` is good, relying solely on it, especially the overall accuracy or F1-score, can be misleading for highly imbalanced datasets.
    *   **Explanation:** For fraud detection, identifying actual fraud (the minority class) is often much more important than correctly identifying non-fraudulent transactions. Missing a fraudulent transaction (False Negative) can be much more costly than falsely flagging a legitimate one (False Positive).
    *   **Impact:** The `classification_report` shows precision, recall, and f1-score for both classes. However, depending on the business context, you might need to prioritize specific metrics like:
        *   **Recall for the positive (fraud) class:** To minimize missed fraud cases.
        *   **Precision for the positive (fraud) class:** To minimize false alarms.
        *   **AUC-ROC or AUC-PR:** These provide a more comprehensive view of classifier performance across different thresholds, especially for imbalanced data (AUC-PR is often preferred for highly imbalanced cases).
        *   **Confusion Matrix:** To directly see the counts of True Positives, True Negatives, False Positives, and False Negatives.
    *   **Correction:** Explicitly focus on the recall and precision for the minority class (fraud, often `1`). Consider plotting ROC/PR curves or using `roc_auc_score`/`average_precision_score`.
4.  **No Hyperparameter Tuning**
    *   **Problem:** The `GradientBoostingClassifier` is initialized with default or arbitrary hyperparameters (`n_estimators=100`).
    *   **Explanation:** The performance of machine learning models is highly dependent on their hyperparameters. `n_estimators=100` might be too low, too high, or other parameters like `learning_rate`, `max_depth`, `subsample` could significantly impact performance.
    *   **Impact:** The model is unlikely to be performing at its optimal level.
    *   **Correction:** Use techniques like `GridSearchCV` or `RandomizedSearchCV` to find the best set of hyperparameters for your specific dataset. This should ideally be combined with cross-validation.
5.  **No Cross-Validation**
    *   **Problem:** The model is trained and evaluated on a single train/test split.
    *   **Explanation:** A single split provides only one estimate of the model's performance. This estimate can be sensitive to the particular random split of the data and might not generalize well to other unseen data distributions.
    *   **Impact:** The reported performance metrics might not be robust or reliable.
    *   **Correction:** Implement k-fold cross-validation to get a more stable and reliable estimate of the model's performance. This is especially important when combining with hyperparameter tuning (nested cross-validation).
---
### Minor Issues / Good Practices to Adopt
6.  **Hardcoded File Name**
    *   **Problem:** The filename `"fraud.csv"` is hardcoded directly into the script.
    *   **Impact:** Makes the script less flexible. If you want to run it on a different dataset, you have to modify the code.
    *   **Correction:** Use a variable for the filename, or pass it as a command-line argument for more flexibility.
7.  **Lack of Code Structure / Modularity**
    *   **Problem:** The entire logic is in a single sequential block.
    *   **Impact:** For larger projects, this approach becomes difficult to read, maintain, test, and reuse components.
    *   **Correction:** Encapsulate different parts of the workflow (data loading, preprocessing, training, evaluation) into functions.
8.  **No Comments or Docstrings**
    *   **Problem:** The code lacks comments explaining the purpose of different sections or complex logic.
    *   **Impact:** Makes the code harder for others (or your future self) to understand quickly.
    *   **Correction:** Add comments to explain non-obvious parts and docstrings to functions if you implement them.
---
### Revised Code Incorporating Best Practices
Here's an example of how the code could be improved to address these issues, especially the critical data leakage and preprocessing steps, using `imblearn.pipeline` for a cleaner workflow:
```python
import pandas as pd
from sklearn.model_selection import train_test_split, cross_val_score, StratifiedKFold
from sklearn.ensemble import GradientBoostingClassifier
from sklearn.metrics import classification_report, roc_auc_score, precision_recall_curve, auc
from imblearn.over_sampling import SMOTE
from imblearn.pipeline import Pipeline # Use imblearn's Pipeline to correctly handle sampling steps
from sklearn.preprocessing import StandardScaler, OneHotEncoder
from sklearn.compose import ColumnTransformer
from sklearn.impute import SimpleImputer
import numpy as np
import matplotlib.pyplot as plt # For plotting PR curve
# --- Configuration ---
DATA_PATH = "fraud.csv"
TARGET_COLUMN = "is_fraud"
RANDOM_STATE = 42
TEST_SIZE = 0.2
def run_fraud_detection_pipeline(data_path, target_column, random_state, test_size):
    """
    Runs a fraud detection pipeline with proper data preprocessing, SMOTE,
    Gradient Boosting Classifier, and robust evaluation.
    """
    print(f"Loading data from: {data_path}")
    try:
        df = pd.read_csv(data_path)
    except FileNotFoundError:
        print(f"Error: The file '{data_path}' was not found.")
        return
    # Separate features and target
    X = df.drop(target_column, axis=1)
    y = df[target_column]
    print(f"Original dataset shape: {X.shape}, Target distribution: {y.value_counts()}")
    # Identify numerical and categorical features
    numerical_features = X.select_dtypes(include=np.number).columns.tolist()
    categorical_features = X.select_dtypes(include='object').columns.tolist()
    print(f"Numerical features: {numerical_features}")
    print(f"Categorical features: {categorical_features}")
    # Create preprocessing pipelines for numerical and categorical features
    # Imputation for numerical features
    numeric_transformer = Pipeline(steps=[
        ('imputer', SimpleImputer(strategy='mean')),
        ('scaler', StandardScaler()) # Scale numerical features
    ])
    # Imputation for categorical features, then one-hot encode
    # For simplicity, if categorical features are expected to have missing values,
    # 'most_frequent' strategy is used.
    categorical_transformer = Pipeline(steps=[
        ('imputer', SimpleImputer(strategy='most_frequent')),
        ('onehot', OneHotEncoder(handle_unknown='ignore'))
    ])
    # Create a preprocessor using ColumnTransformer
    preprocessor = ColumnTransformer(
        transformers=[
            ('num', numeric_transformer, numerical_features),
            ('cat', categorical_transformer, categorical_features)
        ],
        remainder='passthrough' # Keep other columns (if any, as is - though usually you want to handle all)
    )
    # Split data into training and testing sets *before* applying SMOTE
    print(f"\nSplitting data into train ({1-test_size:.0%}) and test ({test_size:.0%}) sets...")
    X_train, X_test, y_train, y_test = train_test_split(
        X, y, test_size=test_size, random_state=random_state, stratify=y # Stratify to maintain class distribution
    )
    print(f"Train set shape: {X_train.shape}, Test set shape: {X_test.shape}")
    print(f"Train target distribution: {y_train.value_counts()}")
    print(f"Test target distribution: {y_test.value_counts()}")
    # Define the model pipeline: Preprocessing -&gt; SMOTE -&gt; Classifier
    # imblearn.pipeline.Pipeline correctly handles the sampling step.
    model_pipeline = Pipeline(steps=[
        ('preprocessor', preprocessor), # Preprocessing step
        ('smote', SMOTE(random_state=random_state)), # SMOTE applied only to training data
        ('classifier', GradientBoostingClassifier(n_estimators=100, random_state=random_state)) # Classifier
    ])
    # Train the model
    print("\nTraining the model...")
    model_pipeline.fit(X_train, y_train)
    # Make predictions on the preprocessed test set
    y_pred = model_pipeline.predict(X_test)
    y_proba = model_pipeline.predict_proba(X_test)[:, 1] # Probability of the positive class
    # --- Model Evaluation ---
    print("\n--- Model Evaluation ---")
    print("\nClassification Report:")
    print(classification_report(y_test, y_pred))
    # Calculate ROC AUC
    roc_auc = roc_auc_score(y_test, y_proba)
    print(f"ROC AUC Score: {roc_auc:.4f}")
    # Calculate Precision-Recall AUC (often preferred for imbalanced datasets)
    precision, recall, _ = precision_recall_curve(y_test, y_proba)
    pr_auc = auc(recall, precision)
    print(f"Precision-Recall AUC Score: {pr_auc:.4f}")
    # Plot Precision-Recall Curve (useful for visual inspection)
    plt.figure(figsize=(8, 6))
    plt.plot(recall, precision, label=f'Precision-Recall curve (AUC = {pr_auc:.2f})')
    plt.xlabel('Recall')
    plt.ylabel('Precision')
    plt.title('Precision-Recall Curve')
    plt.legend(loc="lower left")
    plt.grid(True)
    plt.show()
    # --- Cross-validation for robust performance estimate (optional, but good practice) ---
    print("\n--- Cross-validation (Stratified K-Fold) ---")
    # Use StratifiedKFold to preserve target distribution in each fold
    cv = StratifiedKFold(n_splits=5, shuffle=True, random_state=random_state)
    # We will cross-validate the entire pipeline including preprocessing and SMOTE
    # Note: For cross_val_score, the entire pipeline is applied within each fold
    # to prevent data leakage (SMOTE applied only to train folds).
    # Evaluate using ROC AUC as the scoring metric
    cv_roc_scores = cross_val_score(model_pipeline, X, y, cv=cv, scoring='roc_auc', n_jobs=-1)
    print(f"Cross-validated ROC AUC Scores: {cv_roc_scores}")
    print(f"Mean CV ROC AUC: {np.mean(cv_roc_scores):.4f} (+/- {np.std(cv_roc_scores):.4f})")
    # Evaluate using average precision as the scoring metric (for imbalanced data)
    cv_pr_scores = cross_val_score(model_pipeline, X, y, cv=cv, scoring='average_precision', n_jobs=-1)
    print(f"Cross-validated PR AUC Scores: {cv_pr_scores}")
    print(f"Mean CV PR AUC: {np.mean(cv_pr_scores):.4f} (+/- {np.std(cv_pr_scores):.4f})")
    print("\nPipeline execution complete.")
# --- Execute the refined pipeline ---
if __name__ == "__main__":
    run_fraud_detection_pipeline(DATA_PATH, TARGET_COLUMN, RANDOM_STATE, TEST_SIZE)
```</t>
  </si>
  <si>
    <t>The provided code does not exhibit any explicit form of data leakage in terms of using information from the test set during training. The sequence of operations is generally correct:
1. The dataset is read, and the target column `is_fraud` is separated from features.
2. SMOTE (Synthetic Minority Over-sampling Technique) is applied to balance the classes. This is done before the train-test split, which is advisable when you want to ensure that balanced data is used for both training and testing.
3. The resampled data is split into training and testing sets.
4. A model is trained on the training data and evaluated on the testing data.
However, a point to note in the context of data leakage (or more accurately, potential overfitting or not simulating real-world prediction as closely as possible) is that the SMOTE operation is performed before the train-test split. While this is not data leakage per se, it can sometimes lead to overly optimistic performance estimates because the resampling could inadvertently make the training and test sets more similar than they would be in a natural distribution scenario. Ideally, SMOTE should be applied only on the training data after the split to simulate a real-world prediction scenario more closely. This ensures that the test set remains representative of the original real-world data distribution, allowing for a more accurate evaluation of model performance.
To adjust for potential overfitting to the resampling strategy:
- Perform the train-test split before anything else, and then apply SMOTE only to the training data.
Applying SMOTE in this manner will prevent the model from inadvertently learning patterns that are artifacts of how the resampler constructs synthetic samples.
Here's an improved version of the pipeline without pre-split SMOTE application: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X_train, X_test, y_train, y_test = train_test_split(
    X, y, test_size=0.2, random_state=42
)
smote = SMOTE(random_state=42)
X_train_resampled, y_train_resampled = smote.fit_resample(X_train, y_train)
model = GradientBoostingClassifier(n_estimators=100, random_state=42)
model.fit(X_train_resampled, y_train_resampled)
y_pred = model.predict(X_test)
print(classification_report(y_test, y_pred))
```
This adjustment ensures the model is exposed to a test set that is representative of the original class distribution, providing a more realistic evaluation of its performance.</t>
  </si>
  <si>
    <t>The code you've shared does contain a form of data leakage. Here's a breakdown of where it occurs and why it is a problem:
### Data Leakage Location
- The potential issue arises from the application of SMOTE (Synthetic Minority Over-sampling Technique) before splitting the dataset into training and test sets.
### Why This is a Problem
1. **SMOTE on the Entire Dataset**: By applying SMOTE to the entire dataset (`X` and `y`), the oversampling process generates synthetic samples based on the entire data, which includes both the training and test data. This means that any synthetic samples created could potentially encode information from the test set.
2. **Information Leakage**: If the model learns from synthetic instances that are influenced by the test set, the model's performance metrics such as accuracy, precision, recall, and F1-score will not be a true reflection of its predictive capabilities on unseen data. This undermines the validity of the model evaluation.
### Correct Approach
To avoid data leakage, you should follow these steps:
1. Split the dataset into training and test sets first. 
2. Then, apply SMOTE only to the training set to balance the class distribution.
3. Finally, use the balanced training set to train the model and evaluate it against the test set.
### Revised Code Example
Here’s how the pipeline should be structured to avoid data leakage:
```python
import pandas as pd
from sklearn.model_selection import train_test_split
from sklearn.ensemble import GradientBoostingClassifier
from sklearn.metrics import classification_report
from imblearn.over_sampling import SMOTE
# Load data
df = pd.read_csv("fraud.csv")
X = df.drop("is_fraud", axis=1)
y = df["is_fraud"]
# Split the dataset into training and test sets first
X_train, X_test, y_train, y_test = train_test_split(
    X, y, test_size=0.2, random_state=42
)
# Apply SMOTE only on the training set
smote = SMOTE(random_state=42)
X_resampled, y_resampled = smote.fit_resample(X_train, y_train)
# Train the model
model = GradientBoostingClassifier(n_estimators=100, random_state=42)
model.fit(X_resampled, y_resampled)
# Make predictions
y_pred = model.predict(X_test)
# Print classification report
print(classification_report(y_test, y_pred))
```
In the revised code, SMOTE is applied to the training data only, which prevents any information from the test set from influencing the training process, thus avoiding data leakage.</t>
  </si>
  <si>
    <t>## Data Leakage Analysis
### Verdict: **Data Leakage Present**
There is a significant data leakage problem in this code. Here is a precise breakdown.
---
### Where the Leakage Occurs
```python
# PROBLEM: SMOTE is applied to the ENTIRE dataset before splitting
smote = SMOTE(random_state=42)
X_resampled, y_resampled = smote.fit_resample(X, y)  # ← leakage happens here
# The split happens AFTER resampling — too late
X_train, X_test, y_train, y_test = train_test_split(
    X_resampled, y_resampled, test_size=0.2, random_state=42
)
```
---
### Why This Is a Problem
SMOTE generates synthetic samples by interpolating between existing minority-class observations using their nearest neighbours. When applied before splitting:
1. **Test set observations influence synthetic training samples.** SMOTE examines neighbourhood structure across the *entire* dataset, so real test-set points can act as neighbours when generating synthetic points that later land in the training set.
2. **Synthetic duplicates of test points may appear in training.** A synthetic point is a weighted interpolation between two real points. If one of those real points ends up in the test set, the model has effectively trained on a near-copy of a test observation.
3. **Evaluation becomes optimistic.** The model sees data that is statistically dependent on the test set, inflating performance metrics and making the model appear more generalisable than it truly is.
---
### Corrected Code
SMOTE must be applied **only to the training set**, after splitting:
```python
import pandas as pd
from sklearn.model_selection import train_test_split
from sklearn.ensemble import GradientBoostingClassifier
from sklearn.metrics import classification_report
from imblearn.over_sampling import SMOTE
from imblearn.pipeline import Pipeline  # use imblearn's Pipeline, not sklearn's
df = pd.read_csv("fraud.csv")
X = df.drop("is_fraud", axis=1)
y = df["is_fraud"]
# CORRECT: split on original data first
X_train, X_test, y_train, y_test = train_test_split(
    X, y, test_size=0.2, random_state=42, stratify=y  # stratify preserves class ratio
)
# CORRECT: fit and apply SMOTE only on training data
smote = SMOTE(random_state=42)
X_train_resampled, y_train_resampled = smote.fit_resample(X_train, y_train)
model = GradientBoostingClassifier(n_estimators=100, random_state=42)
model.fit(X_train_resampled, y_train_resampled)
y_pred = model.predict(X_test)  # test set is never touched by SMOTE
print(classification_report(y_test, y_pred))
```
#### Even Better: Use a Pipeline
```python
from imblearn.pipeline import Pipeline
pipeline = Pipeline([
    ("smote", SMOTE(random_state=42)),
    ("classifier", GradientBoostingClassifier(n_estimators=100, random_state=42))
])
pipeline.fit(X_train, y_train)
y_pred = pipeline.predict(X_test)
print(classification_report(y_test, y_pred))
```
A pipeline is preferable because it enforces correct ordering automatically, and also prevents leakage inside cross-validation folds if you later add `cross_val_score`.
---
### Summary
| Issue | Location | Effect |
|---|---|---|
| SMOTE before split | `fit_resample(X, y)` | Test points influence synthetic training data |
| No stratification | `train_test_split(...)` | Class imbalance not preserved in splits |</t>
  </si>
  <si>
    <t># Data Leakage Review: **CRITICAL ISSUE FOUND**
## The Problem
This code contains **severe data leakage**. SMOTE resampling is applied **before** the train-test split, which means:
1. **SMOTE sees the entire dataset** (including test data) when generating synthetic minority samples
2. **Synthetic samples created by SMOTE may be influenced by patterns in the test set**
3. **Test set information leaks into training data** through the synthetic samples
4. **Model evaluation is biased upward** because the test set has already influenced the training process
## Why This Matters
SMOTE fits a k-NN model on the data to generate synthetic samples. When you call `fit_resample(X, y)` on the full dataset before splitting:
```python
# ❌ WRONG: SMOTE learns from all data
smote = SMOTE(random_state=42)
X_resampled, y_resampled = smote.fit_resample(X, y)  # Uses entire dataset
X_train, X_test, y_train, y_test = train_test_split(X_resampled, y_resampled, ...)
```
The synthetic minority samples are created based on neighbors found in the **entire** dataset, including the test set. This inflates performance metrics.
## The Correct Approach
```python
# ✅ CORRECT: Split first, then resample
X_train, X_test, y_train, y_test = train_test_split(
    X, y, test_size=0.2, random_state=42
)
smote = SMOTE(random_state=42)
X_train_resampled, y_train_resampled = smote.fit_resample(X_train, y_train)
model = GradientBoostingClassifier(n_estimators=100, random_state=42)
model.fit(X_train_resampled, y_train_resampled)
y_pred = model.predict(X_test)
print(classification_report(y_test, y_pred))
```
**Key principle**: Any transformation learned from data (fitting SMOTE, scaling, encoding, etc.) must be fit **only on training data**, then applied to test data.</t>
  </si>
  <si>
    <t>Yes, this code **does contain a form of data leakage**.
### Explanation of Data Leakage
The data leakage occurs at this line:
```python
X_resampled, y_resampled = smote.fit_resample(X, y)
```
**Why this is a problem:**
1.  **SMOTE (Synthetic Minority Over-sampling Technique)** is applied to the *entire dataset* (`X`, `y`) *before* the `train_test_split` function is called.
2.  SMOTE works by generating synthetic samples for the minority class based on the feature space of existing minority class instances and their k-nearest neighbors.
3.  When you apply `smote.fit_resample(X, y)` to the whole dataset, SMOTE learns the patterns and generates synthetic samples using information from *both* the data that will eventually become your training set *and* the data that will become your test set.
4.  Consequently, when you then split `X_resampled, y_resampled` into `X_train, X_test, y_train, y_test`, it's possible that:
    *   Synthetic samples in the training set were generated using information from original instances that ended up in the test set.
    *   Synthetic samples generated from original training instances might end up in the test set, or very similar synthetic samples could be in both train and test.
    *   In essence, the model is being evaluated on test data that is either directly related to, or contains information derived from, the data it was "trained" on (via SMOTE's generation process).
This leads to an **overly optimistic evaluation** of the model's performance because the test set is not truly independent. The model might perform very well on these "seen" synthetic examples in the test set, but it might not generalize as well to completely unseen, real-world data.
### How to Fix the Data Leakage
To prevent this data leakage, SMOTE (or any other preprocessing/resampling technique that learns from the data) should **only be applied to the training data**. The correct sequence of operations is:
1.  Split the original dataset into training and test sets.
2.  Apply SMOTE *only* to the training set.
3.  Train the model on the resampled training set.
4.  Evaluate the model on the *original, untouched* test set.
Here's the corrected code:
```python
import pandas as pd
from sklearn.model_selection import train_test_split
from sklearn.ensemble import GradientBoostingClassifier
from sklearn.metrics import classification_report
from imblearn.over_sampling import SMOTE
df = pd.read_csv("fraud.csv")
X = df.drop("is_fraud", axis=1)
y = df["is_fraud"]
# 1. Split the data into training and test sets FIRST
X_train, X_test, y_train, y_test = train_test_split(
    X, y, test_size=0.2, random_state=42, stratify=y # stratify is good practice for imbalanced data
)
# 2. Apply SMOTE ONLY to the training data
smote = SMOTE(random_state=42)
X_train_resampled, y_train_resampled = smote.fit_resample(X_train, y_train)
# 3. Train the model on the resampled training data
model = GradientBoostingClassifier(n_estimators=100, random_state=42)
model.fit(X_train_resampled, y_train_resampled)
# 4. Predict and evaluate on the original, untouched test data
y_pred = model.predict(X_test)
print(classification_report(y_test, y_pred))
```</t>
  </si>
  <si>
    <t>The provided Python code is generally well-structured and accomplishes its goals. However, there are a few areas where improvements can be made, either to address potential issues or to enhance readability and maintainability:
1. **Feature Scaling**:
   - **Issue**: The dataset may contain features with varying scales. Many algorithms, including gradient boosting, can benefit from feature scaling for better performance.
   - **Recommendation**: Although gradient boosting is less sensitive to feature scaling compared to other algorithms like SVM or KNN, it is still a good practice to standardize or normalize your features, mainly if the dataset includes some features with a high range of values.
2. **Data Leakage**:
   - **Issue**: The model is evaluated on the test set using a classification report right after fitting. Although not an immediate issue in the code provided, it is crucial to ensure that SMOTE (or any other data preprocessing technique) is fit only on the training data to avoid leakage.
   - **Recommendation**: Avoid applying SMOTE or any other resampling strategy on the test set. Ensure these transformations are solely on the training set, which appears correct in this script.
3. **Evaluation on Imbalanced Datasets**:
   - **Issue**: The provided code uses only `classification_report` to evaluate the model's performance. If the dataset is highly imbalanced, metrics like accuracy can be misleading.
   - **Recommendation**: Consider using additional metrics such as `roc_auc_score`, precision-recall curves, or confusion matrices to comprehensively understand performance on imbalanced data.
4. **File Path**:
   - **Issue**: The dataset file path "fraud.csv" is hard-coded. This can lead to issues if the file path changes.
   - **Recommendation**: Use a configuration file or command-line arguments to define the file path, making the code more flexible and adaptable to different environments.
5. **Error Handling**:
   - **Issue**: The code doesn't include any exception handling, which may lead to unhandled exceptions if files are missing, columns are different, etc.
   - **Recommendation**: Add try-except blocks where you load the data and preprocess it to catch potential errors such as file not found or problems with the data format.
6. **Unused Imports**:
   - **Issue**: Although current imports are necessary, ensure that the codebase does not have unused imports. This helps keep the code optimized and clean.
   - **Recommendation**: Regularly check for any unused imports or variables as the code evolves.
7. **Comments and Documentation**:
   - **Issue**: The code lacks comments and documentation.
   - **Recommendation**: Add comments explaining each critical step to improve readability and maintainability, especially for users new to the code.
By addressing these points, the code can become more robust, maintainable, and suitable for different scenarios.</t>
  </si>
  <si>
    <t>The provided Python code appears to implement a basic fraud detection model using a machine learning approach. While the core functionality may seem correct, there are multiple issues and bad practices that should be highlighted and explained:
### 1. **Hard-coded File Path**
```python
df = pd.read_csv("fraud.csv")
```
- **Issue**: The file path is hard-coded, which makes the code less flexible. If the file path changes or if the code needs to be run on another system, it would require manual modification.
- **Recommendation**: Use a configuration file or command-line argument to specify the file location. Alternatively, consider using relative paths if applicable.
### 2. **Lack of Data Exploration and Preprocessing**
```python
X = df.drop("is_fraud", axis=1)
y = df["is_fraud"]
```
- **Issue**: There is no data exploration or preprocessing, such as checking for null values, duplicates, or outliers. Ignoring this can lead to issues during model training and evaluation.
- **Recommendation**: Perform data exploration, including data types checking, descriptive statistics, and handling missing values before splitting the dataset.
### 3. **No Encoding for Categorical Features**
- **Issue**: The code does not handle categorical variables in the feature set `X`. If there are categorical features in the DataFrame, they need to be encoded to numeric values before training the model.
- **Recommendation**: Use techniques like One-Hot Encoding or Label Encoding to encode categorical features appropriately.
### 4. **Class Imbalance Handling After Train-Test Split**
```python
smote = SMOTE(random_state=42)
X_train, y_train = smote.fit_resample(X_train, y_train)
```
- **Issue**: The oversampling technique SMOTE is applied after the train-test split, which is correct, but it’s good practice to always check class distribution before and after applying SMOTE to understand its effect.
- **Recommendation**: Include prints or logging statements to show the class distribution before and after applying SMOTE.
### 5. **Model Evaluation Metric**
```python
print(classification_report(y_test, y_pred))
```
- **Issue**: While the use of the classification report is a good start, the model's performance might be better gauged using other metrics, especially when dealing with imbalanced datasets (like F1-Score, ROC AUC).
- **Recommendation**: Consider using additional metrics, such as confusion matrix visualization and AUC-ROC score, to provide a more comprehensive evaluation of the model’s performance.
### 6. **No Model Persistence**
- **Issue**: The code does not save the trained model, making it impossible to use it for predictions later without retraining.
- **Recommendation**: Use joblib or pickle to save the trained model for later use.
### 7. **Potential for Non-Deterministic Behavior**
- **Issue**: The `random_state=42` is already set for the train-test split and SMOTE, but if the GradientBoostingClassifier’s parameters are not set with a random state, different runs may yield different results.
- **Recommendation**: Ensure that models which have randomness have a seed set as well, typically by explicitly including the `random_state=42` parameter in the GradientBoostingClassifier.
### 8. **Unused Import Statements**
- **Issue**: The import statement for `train_test_split`, `GradientBoostingClassifier`, and `classification_report` is fine, but ensure every imported library is utilized to keep the code clean and optimized.
- **Recommendation**: If further development does not entail some of these imports, consider removing unused code, which can enhance readability.
### Summary
In summary, while the code declares a basic machine learning workflow, it lacks proper data handling, model evaluation metrics, and some best practices related to structure and flexibility. Implementing the recommendations can improve the code's robustness and maintainability.</t>
  </si>
  <si>
    <t>## Code Review: Fraud Detection Pipeline
### Summary
The code is functional but contains several significant issues ranging from data leakage risks to missing validation, error handling, and ML best practices.
---
### Issue 1: No Data Validation or Preprocessing
```python
# Current code blindly uses raw data
X = df.drop("is_fraud", axis=1)
y = df["is_fraud"]
```
**Problems:**
- No handling of missing values, which will cause `fit()` to fail
- No encoding of categorical variables, which will also cause `fit()` to fail
- No feature scaling, which can harm GBM performance and is essential for distance-based algorithms
```python
# Better approach
import numpy as np
from sklearn.pipeline import Pipeline
from sklearn.compose import ColumnTransformer
from sklearn.preprocessing import StandardScaler, OneHotEncoder
from sklearn.impute import SimpleImputer
# Validate the dataset loaded correctly
if df.empty:
    raise ValueError("Dataset is empty")
if "is_fraud" not in df.columns:
    raise KeyError("Target column 'is_fraud' not found")
# Check for missing values before proceeding
missing_pct = df.isnull().mean() * 100
if missing_pct.any():
    print("Missing values detected:\n", missing_pct[missing_pct &gt; 0])
# Separate feature types for appropriate preprocessing
numeric_features = X.select_dtypes(include=[np.number]).columns.tolist()
categorical_features = X.select_dtypes(include=["object", "category"]).columns.tolist()
numeric_transformer = Pipeline([
    ("imputer", SimpleImputer(strategy="median")),
    ("scaler", StandardScaler())
])
categorical_transformer = Pipeline([
    ("imputer", SimpleImputer(strategy="most_frequent")),
    ("encoder", OneHotEncoder(handle_unknown="ignore", sparse_output=False))
])
preprocessor = ColumnTransformer([
    ("num", numeric_transformer, numeric_features),
    ("cat", categorical_transformer, categorical_features)
])
```
---
### Issue 2: SMOTE Applied Before Feature Engineering Creates Data Leakage Risk
```python
# Current: SMOTE on raw features
smote = SMOTE(random_state=42)
X_train, y_train = smote.fit_resample(X_train, y_train)
```
**Problem:** SMOTE should be part of an `imblearn` Pipeline so synthetic samples are generated *after* preprocessing steps, preventing any leakage of preprocessing statistics into synthetic sample generation.
```python
from imblearn.pipeline import Pipeline as ImbPipeline  # NOT sklearn's Pipeline
pipeline = ImbPipeline([
    ("preprocessor", preprocessor),
    ("smote", SMOTE(random_state=42)),
    ("classifier", GradientBoostingClassifier(
        n_estimators=100,
        random_state=42
    ))
])
pipeline.fit(X_train, y_train)
y_pred = pipeline.predict(X_test)
```
&gt; **Critical distinction:** Use `imblearn.pipeline.Pipeline`, not `sklearn.pipeline.Pipeline`. The imblearn version correctly handles resamplers, which are not standard transformers.
---
### Issue 3: No Cross-Validation
```python
# Current: single train/test split is unreliable
X_train, X_test, y_train, y_test = train_test_split(...)
model.fit(X_train, y_train)
```
**Problem:** A single split produces high-variance performance estimates, especially critical for imbalanced fraud data where one unlucky split can skew results significantly.
```python
from sklearn.model_selection import StratifiedKFold, cross_validate
cv = StratifiedKFold(n_splits=5, shuffle=True, random_state=42)
cv_results = cross_validate(
    pipeline,
    X, y,
    cv=cv,
    scoring=["f1", "roc_auc", "average_precision"],
    return_train_score=True  # Helps detect overfitting
)
print("CV F1:             ", cv_results["test_f1"].mean(), "±", cv_results["test_f1"].std())
print("CV ROC-AUC:        ", cv_results["test_roc_auc"].mean())
print("CV Avg Precision:  ", cv_results["test_average_precision"].mean())
```
&gt; **Note:** `StratifiedKFold` preserves class distribution across folds, which is essential for imbalanced datasets.
---
### Issue 4: Inappropriate Evaluation Metrics for Fraud Detection
```python
# Current: classification_report alone is insufficient for fraud
print(classification_report(y_test, y_pred))
```
**Problems:**
- `predict()` uses a default 0.5 threshold, which is rarely optimal for imbalanced fraud data
- Missing `roc_auc_score` and `average_precision_score`, which are standard for fraud detection
- Missing confusion matrix, which is essential for understanding false negative costs
```python
from sklearn.metrics import (
    classification_report,
    confusion_matrix,
    roc_auc_score,
    average_precision_score,
    ConfusionMatrixDisplay
)
import matplotlib.pyplot as plt
# Use predict_proba for threshold tuning
y_proba = pipeline.predict_proba(X_test)[:, 1]
# Evaluate at multiple thresholds to find business-appropriate cutoff
thresholds = [0.3, 0.4, 0.5, 0.6]
for thresh in thresholds:
    y_pred_thresh = (y_proba &gt;= thresh).astype(int)
    print(f"\n--- Threshold: {thresh} ---")
    print(classification_report(y_test, y_pred_thresh, target_names=["Legit", "Fraud"]))
# Threshold-independent metrics
print("ROC-AUC:           ", roc_auc_score(y_test, y_proba))
print("Average Precision: ", average_precision_score(y_test, y_proba))
# Confusion matrix
cm = confusion_matrix(y_test, y_pred)
disp = ConfusionMatrixDisplay(confusion_matrix=cm, display_labels=["Legit", "Fraud"])
disp.plot()
plt.title("Confusion Matrix")
plt.savefig("confusion_matrix.png", dpi=150, bbox_inches="tight")
plt.show()
```
---
### Issue 5: No Error Handling
```python
# Current: will crash with an unhandled exception on any I/O or data issue
df = pd.read_csv("fraud.csv")
```
**Problem:** No handling of file not found, permission errors, or corrupt data.
```python
import sys
import logging
logging.basicConfig(level=logging.INFO, format="%(levelname)s: %(message)s")
logger = logging.getLogger(__name__)
try:
    df = pd.read_csv("fraud.csv")
    logger.info("Dataset loaded: %d rows, %d columns", *df.shape)
except FileNotFoundError:
    logger.error("fraud.csv not found. Check the file path.")
    sys.exit(1)
except pd.errors.EmptyDataError:
    logger.error("fraud.csv is empty.")
    sys.exit(1)
except Exception as e:
    logger.error("Unexpected error loading data: %s", e)
    raise
```
---
### Issue 6: Model Not Saved
```python
# Current: model is lost after the script exits
model.fit(X_train, y_train)
```
**Problem:** There is no way to reuse the trained model without retraining.
```python
import joblib
from datetime import datetime
timestamp = datetime.now().strftime("%Y%m%d_%H%M%S")
model_path = f"fraud_model_{timestamp}.joblib"
joblib.dump(pipeline, model_path)
logger.info("Model saved to %s", model_path)
# Loading later
loaded_pipeline = joblib.load(model_path)
```
&gt; **Prefer `</t>
  </si>
  <si>
    <t># Code Review: Issues and Problems
## 1. **Missing Data Validation** ⚠️
```python
df = pd.read_csv("fraud.csv")
```
**Problem:** No checks for missing values, data types, or file existence.
**Fix:**
```python
df = pd.read_csv("fraud.csv")
print(df.isnull().sum())  # Check for missing values
print(df.dtypes)          # Verify data types
assert not df.empty, "Dataset is empty"
```
---
## 2. **No Feature Preprocessing/Scaling** ⚠️
**Problem:** No scaling applied to features. Gradient Boosting is tree-based and scale-invariant, but:
- Makes results less interpretable
- If using other algorithms later, this will cause issues
- Best practice for ML pipelines
**Fix:**
```python
from sklearn.preprocessing import StandardScaler
scaler = StandardScaler()
X_train = scaler.fit_transform(X_train)
X_test = scaler.transform(X_test)
```
---
## 3. **Categorical Features Not Handled** ⚠️
**Problem:** If `fraud.csv` contains categorical variables, they aren't encoded.
**Fix:**
```python
X = pd.get_dummies(X, drop_first=True)  # One-hot encode
# OR use LabelEncoder for ordinal features
```
---
## 4. **SMOTE Applied AFTER Train-Test Split** ⚠️⚠️ (CRITICAL)
```python
X_train, X_test, y_train, y_test = train_test_split(...)
smote = SMOTE(random_state=42)
X_train, y_train = smote.fit_resample(X_train, y_train)
```
**Problem:** This is correct, but there's a subtle issue—SMOTE creates synthetic samples, changing the dataset size. If test set is imbalanced, you're not evaluating on realistic data.
**Consideration:**
```python
# Consider whether imbalance should be addressed on test set too
# Or use stratified sampling to preserve class distribution in test set
X_train, X_test, y_train, y_test = train_test_split(
    X, y, test_size=0.2, random_state=42, stratify=y
)
```
---
## 5. **No Handling of Imbalanced Classes in Test Set** ⚠️
**Problem:** Train set is balanced with SMOTE, but test set may be imbalanced. Classification report might be misleading.
**Fix:**
```python
from sklearn.metrics import confusion_matrix, roc_auc_score
print(classification_report(y_test, y_pred))
print(confusion_matrix(y_test, y_pred))
print(f"ROC-AUC: {roc_auc_score(y_test, model.predict_proba(X_test)[:, 1])}")
```
---
## 6. **No Model Evaluation Metrics** ⚠️
**Problem:** Only shows classification report; no confusion matrix, ROC-AUC, or cross-validation.
**Fix:**
```python
from sklearn.model_selection import cross_val_score
cv_scores = cross_val_score(model, X_train, y_train, cv=5, scoring='roc_auc')
print(f"Cross-validation ROC-AUC: {cv_scores.mean():.4f}")
```
---
## 7. **No Hyperparameter Tuning** ⚠️
**Problem:** Default parameters may not be optimal for fraud detection.
**Fix:**
```python
from sklearn.model_selection import GridSearchCV
params = {
    'n_estimators': [50, 100, 200],
    'learning_rate': [0.01, 0.1],
    'max_depth': [3, 5, 7]
}
grid = GridSearchCV(GradientBoostingClassifier(random_state=42), params, cv=5)
grid.fit(X_train, y_train)
model = grid.best_estimator_
```
---
## 8. **No Error Handling** ⚠️
**Problem:** No try-except blocks; code crashes on file not found or other errors.
**Fix:**
```python
try:
    df = pd.read_csv("fraud.csv")
except FileNotFoundError:
    print("Error: fraud.csv not found")
    exit(1)
```
---
## 9. **Magic Numbers/Hardcoded Values** ⚠️
**Problem:** `test_size=0.2`, `n_estimators=100` are unexplained.
**Fix:**
```python
TEST_SIZE = 0.2
N_ESTIMATORS = 100
RANDOM_STATE = 42
```
---
## 10. **No Feature Importance Analysis** ⚠️
**Problem:** Don't know which features matter for fraud detection.
**Fix:**
```python
import pandas as pd
feature_importance = pd.DataFrame({
    'feature': X.columns,
    'importance': model.feature_importances_
}).sort_values('importance', ascending=False)
print(feature_importance)
```
---
## Summary Table
| Issue | Severity | Impact |
|-------|----------|--------|
| Missing data validation | Medium | Runtime errors |
| No feature scaling | Low | Best practices |
| Categorical handling | High | Crashes if categorical data exists |
| No metrics besides classification report | Medium | Incomplete evaluation |
| No hyperparameter tuning | Medium | Suboptimal model |
| No error handling | High | Poor UX |
| Magic numbers | Low | Maintainability |
| No feature importance | Low | Interpretability |</t>
  </si>
  <si>
    <t>This Python code provides a basic framework for a fraud detection model. While it demonstrates a common machine learning workflow, it has several issues, bugs, and bad practices that should be addressed for a robust and reliable solution.
Here's a breakdown of the problems:
---
### Critical Issues (Potential Bugs &amp; Major Flaws)
1.  **Missing Preprocessing for Categorical Features:**
    *   **Problem:** The code directly uses `df.drop("is_fraud", axis=1)` for `X`. It does not perform any handling of categorical features that might exist in `X`.
    *   **Why it's a problem:**
        *   `SMOTE` (Synthetic Minority Over-sampling Technique) operates by calculating distances between samples in the feature space. It *only works on numerical data*. If `X_train` contains string/object type columns, `smote.fit_resample` will likely raise an error or produce nonsensical results.
        *   `GradientBoostingClassifier` (and most scikit-learn models) also expects numerical input. If categorical features are not encoded (e.g., using One-Hot Encoding or Label Encoding), the `model.fit` call will fail or produce incorrect results if they were coerced into numbers by `pandas` during `read_csv` (e.g., if a categorical column accidentally contained only digits).
    *   **Solution:** Identify categorical columns and apply appropriate encoding (e.g., `OneHotEncoder`, `OrdinalEncoder`) *before* applying `SMOTE` and training the model.
2.  **Missing Feature Scaling (Impacts SMOTE and Model Performance):**
    *   **Problem:** No feature scaling (e.g., `StandardScaler`, `MinMaxScaler`) is applied to the numerical features.
    *   **Why it's a problem:**
        *   `SMOTE` relies on Euclidean distances to create synthetic samples. Features with larger numerical ranges can disproportionately influence these distance calculations, leading to suboptimal synthetic samples.
        *   While tree-based models like `GradientBoostingClassifier` are less sensitive to feature scaling than distance-based models (like SVMs or K-Nearest Neighbors), scaling can still sometimes help with convergence speed or regularization effects indirectly.
    *   **Solution:** Apply a feature scaler (e.g., `StandardScaler` or `MinMaxScaler`) to numerical features *before* applying `SMOTE`. Ensure the scaler is `fit` *only* on the training data (`X_train`) and then `transform` both `X_train` and `X_test`.
3.  **No Missing Value Handling:**
    *   **Problem:** The code assumes that `fraud.csv` has no missing values.
    *   **Why it's a problem:** In real-world datasets, missing values are common. If `X` or `y` contain `NaN` values, `SMOTE`, `GradientBoostingClassifier`, or even `train_test_split` might raise errors or produce incorrect results.
    *   **Solution:** Before splitting the data, check for missing values (`df.isnull().sum()`) and implement a strategy to handle them (e.g., imputation using `SimpleImputer`, dropping rows/columns, etc.).
---
### Important Best Practices &amp; Improvements
4.  **No Hyperparameter Tuning/Cross-Validation:**
    *   **Problem:** The `GradientBoostingClassifier` is used with default `n_estimators=100` and no other hyperparameter tuning. It's trained and evaluated only on a single train-test split.
    *   **Why it's a problem:**
        *   The chosen hyperparameters (`n_estimators`, `learning_rate`, `max_depth`, `subsample`, etc.) can significantly impact the model's performance. Default values are rarely optimal for a specific dataset.
        *   Evaluating on a single train-test split can lead to an optimistic or pessimistic estimate of the model's true performance due to the randomness of the split.
    *   **Solution:** Use techniques like `GridSearchCV` or `RandomizedSearchCV` with cross-validation to find optimal hyperparameters and get a more robust estimate of model performance.
5.  **Lack of Pipelining (Risk of Data Leakage &amp; Code Clarity):**
    *   **Problem:** Preprocessing steps (scaling, encoding, SMOTE) are applied sequentially and manually. This increases the risk of mistakes, especially data leakage, and makes the code less organized.
    *   **Why it's a problem:** If feature scaling or encoding were incorrectly applied *before* `train_test_split` on the entire dataset, information from the test set would "leak" into the training set, leading to overly optimistic performance estimates. A manual process makes this error more likely.
    *   **Solution:** Use `sklearn.pipeline.Pipeline` and `sklearn.compose.ColumnTransformer` to encapsulate all preprocessing steps (scaling, encoding, SMOTE) and the model into a single, cohesive object. This ensures that `fit` operations are only performed on the training data and `transform` operations are consistently applied. `SMOTE` specifically needs to be applied to `X_train` *after* other numeric preprocessing. A common approach is to use `Pipeline` for preprocessing, then apply `SMOTE` (as it modifies `X_train` and `y_train` together), then fit the final model. Alternatively, some advanced libraries offer pipelines that integrate oversampling.
6.  **Limited Evaluation Metrics / Visualizations:**
    *   **Problem:** The model is evaluated solely using `classification_report`.
    *   **Why it's a problem:** While `classification_report` is good, for imbalanced datasets like fraud detection, it's crucial to look beyond just precision/recall/f1-score.
        *   Fraud detection often prioritizes high **recall** for the minority class (fraud) to catch as many fraudulent transactions as possible, even if it means more false positives.
        *   Other metrics like **Area Under the Receiver Operating Characteristic Curve (AUROC)** or **Precision-Recall Curve (AUPRC)** (especially for highly imbalanced data) can provide a more comprehensive understanding of model performance across different thresholds.
        *   A **Confusion Matrix** provides a clear breakdown of true positives, true negatives, false positives, and false negatives.
    *   **Solution:** Augment the evaluation with a confusion matrix, AUROC score, and potentially the Precision-Recall curve. Consider the business cost associated with false positives vs. false negatives to choose the most appropriate evaluation threshold.
7.  **No Feature Engineering/Selection:**
    *   **Problem:** The code uses all available columns directly as features.
    *   **Why it's a problem:** Not all features might be equally important. Irrelevant or redundant features can introduce noise and sometimes reduce model performance or increase training time. Domain-specific feature engineering often significantly improves fraud detection models (e.g., calculating transaction frequency, average transaction amount over a period, deviation from user's typical spending, etc.).
    *   **Solution:** Explore feature engineering techniques relevant to fraud detection. Consider feature selection methods (e.g., `SelectKBest`, `RFE`, or tree-based feature importances) to identify and keep only the most impactful features.
---
### Minor Improvements / Considerations
8.  **Explicit Data Type Checks (Defensive Programming):**
    *   **Problem:** The code assumes that `df` has the expected columns and data types.
    *   **Why it's a problem:** If "fraud.csv" changes its schema (e.g., "is_fraud" column renamed), the code will break.
    *   **Solution:** Add checks for column existence (`if "is_fraud" in df.columns:`) and perhaps verify data types of critical columns (`df["is_fraud"].dtype`).
9.  **Random State for SMOTE (Already Done, but worth noting for reproducibility):**
    *   The code correctly sets `random_state=42` for `SMOTE`. This is good practice for reproducibility of the synthetic samples generated.
---
### Refactored Code Example (Conceptual, without actual data processing):
```python
import pandas as pd
from sklearn.model_selection import train_test_split, GridSearchCV
from sklearn.ensemble import GradientBoostingClassifier
from sklearn.metrics import classification_report, roc_auc_score, confusion_matrix
from imblearn.over_sampling import SMOTE
from sklearn.preprocessing import StandardScaler, OneHotEncoder
from sklearn.compose import ColumnTransformer
from sklearn.pipeline import Pipeline
import numpy as np # For potential NaN handling
# 1. Load Data
df = pd.read_csv("fraud.csv")
# --- Preprocessing Steps (Conceptual, based on identified issues) ---
# 2. Handle Missing Values (Example: Impute numerical, drop rows with missing categorical)
# For demonstration, let's assume simple imputation or dropping, but actual strategy depends on data
# print("Missing values before handling:")
# print(df.isnull().sum())
# Example: Fill numerical NaNs with median, drop rows where 'is_fraud' is NaN (critical)
# for col in df.select_dtypes(include=np.number).columns:
#     if df[col].isnull().any():
#         df[col].fillna(df[col].median(), inplace=True)
# df.dropna(subset=['is_fraud'], inplace=True) # Ensure target is clean
# 3. Define Features (X) and Target (y)
X = df.drop("is_fraud", axis=1)
y = df["is_fraud"]
# Identify numerical and categorical features
# This is a critical step that requires knowing your data's column types
numerical_features = X.select_dtypes(include=np.number).columns
categorical_features = X.select_dtypes(include='object').columns # Assuming object dtype for strings
# Create preprocessing pipelines for numerical and categorical features
# Ensure these are defined based on your actual data and needs
numeric_transformer = Pipeline(steps=[
    ('scaler', StandardScaler()) # Feature Scaling
])
categorical_transformer = Pipeline(steps=[
    ('onehot', OneHotEncoder(handle_unknown='ignore')) # Handle Categorical Features
])
# Create a preprocessor using ColumnTransformer
preprocessor = ColumnTransformer(
    transformers=[
        ('num', numeric_transformer, numerical_features),
        ('cat', categorical_transformer, categorical_features)
    ],
    remainder='passthrough' # Keep other columns (if any) as is, or 'drop' them
)
# 4. Train-Test Split (before SMOTE to prevent data leakage)
X_train, X_test, y_train, y_test = train_test_split(
    X, y, test_size=0.2, random_state=42, stratify=y # stratify is good for imbalanced data
)
# 5. Apply Preprocessing and SMOTE
# It's generally recommended to apply SMOTE *after* other preprocessing steps
# like scaling and encoding, as SMOTE relies on distances in the feature space.
# We'll first transform X_train and X_test using the preprocessor
X_train_processed = preprocessor.fit_transform(X_train)
X_test_processed = preprocessor.transform(X_test)
# Now apply SMOTE to the *processed* training data
smote = SMOTE(random_state=42)
X_train_resampled, y_train_resampled = smote.fit_resample(X_train_processed, y_train)
# 6. Model Training with Hyperparameter Tuning (using GridSearchCV)
model_gb = GradientBoostingClassifier(random_state=42)
# Define a parameter grid for tuning (example values)
param_grid = {
    'n_estimators': [50, 100, 200],
    'learning_rate': [0.01, 0.1, 0.2],
    'max_depth': [3, 5, 7],
    'subsample': [0.7, 0.9, 1.0]
}
# Use GridSearchCV with cross-validation
grid_search = GridSearchCV(model_gb, param_grid, cv=3, scoring='f1', n_jobs=-1, verbose=1)
# 'f1' is often a good scoring metric for imbalanced classification
grid_search.fit(X_train_resampled, y_train_resampled)
best_model = grid_search.best_estimator_
print(f"Best parameters: {grid_search.best_params_}")
print(f"Best cross-validation F1 score: {grid_search.best_score_:.4f}")
# 7. Prediction and Evaluation on the unseen test set
y_pred = best_model.predict(X_test_processed)
y_pred_proba = best_model.predict_proba(X_test_processed)[:, 1] # For ROC/AUC
print("\n--- Model Evaluation ---")
print("Classification Report:")
print(classification_report(y_test, y_pred))
print(f"ROC AUC Score: {roc_auc_score(y_test, y_pred_proba):.4f}")
print("\nConfusion Matrix:")
print(confusion_matrix(y_test, y_pred))
```</t>
  </si>
  <si>
    <t>The provided Python machine learning pipeline code does not appear to have any data leakage issues. Here's the reasoning:
1. **Train-Test Split**: The code uses `train_test_split` from scikit-learn to split the data into training and test sets. This ensures that the test set is not seen by the model during training, which is the fundamental step in preventing data leakage.
2. **SMOTE**: The Synthetic Minority Over-sampling Technique (SMOTE) is applied only to the training set (`X_train` and `y_train`). This process is meant to handle class imbalance by creating synthetic examples of the minority class. Importantly, SMOTE is applied after the train-test split, so there is no information from the `X_test` or `y_test` used in this over-sampling process, avoiding leakage.
3. **Model Training and Evaluation**: The `GradientBoostingClassifier` model is fitted using only the resampled training data (`X_train` and `y_train`). The test set (`X_test` and `y_test`) is used solely for assessing the model's performance using `classification_report`, which is appropriate as the model has never seen this data during the training phase.
4. **No Use of Target Leakage Features**: The code does not create or include any features that could potentially contain target-related information that would not be available at prediction time. The dataset is read directly, and `is_fraud` (the target) is dropped before any further manipulation, maintaining a clean separation between features and the target.
Based on the provided code, no part of the test set is used during the model training phase, and appropriate steps are taken to ensure data integrity through the handling of class imbalance. Thus, the code appears to be free of data leakage.</t>
  </si>
  <si>
    <t>The provided Python machine learning pipeline code does not contain explicit data leakage based on the typical definitions of data leakage. Here's a breakdown of how the relevant aspects of the pipeline work:
1. **Data Splitting**: The dataset (`df`) is divided into training and testing sets using `train_test_split`. The target variable `is_fraud` is separated from the features before the split, ensuring that no target label information leaks into the feature set.
2. **Balancing the Dataset with SMOTE**: The code uses SMOTE (Synthetic Minority Over-sampling Technique) to handle class imbalance by augmenting the training set (`X_train`, `y_train`). SMOTE is applied only to the training data after the split, which is crucial to avoid data leakage. It ensures that synthetic examples created during this balancing do not introduce information from the test set. 
3. **Model Training**: The model is trained on the balanced training dataset and then evaluated on the separate test set. The predictions on the test set do not inform the training in any way, adhering to best practices.
4. **No Target Leakage in Features**: The features used (`X`) do not appear to contain information about the target variable (`y`) that would not be available at prediction time. Therefore, there is no indication of target leakage.
### Conclusion:
The code is free of data leakage. It appropriately splits the data into training and testing sets, applies SMOTE to the training set only, and trains the model without incorporating any information from the test set or leaking information from the features to the target. Thus, it follows good practices in managing data during the machine learning pipeline.</t>
  </si>
  <si>
    <t>## Data Leakage Analysis
### Verdict: **No Data Leakage Detected**
This pipeline is correctly structured. Here is a detailed breakdown of why each step is sound.
---
### What the Code Does Correctly
#### 1. Train/Test Split Happens Before SMOTE
```python
# Split FIRST
X_train, X_test, y_train, y_test = train_test_split(
    X, y, test_size=0.2, random_state=42
)
# THEN apply SMOTE — only to training data
smote = SMOTE(random_state=42)
X_train, y_train = smote.fit_resample(X_train, y_train)  # correct
```
SMOTE synthesizes new samples by interpolating between existing **training** examples. Because it is fit and applied exclusively to `(X_train, y_train)`, no information from the test set influences the synthetic sample generation. This is the most common mistake in imbalanced-learning pipelines, and this code avoids it.
#### 2. Model Is Fit Only on Training Data
```python
model.fit(X_train, y_train)   # only training data
y_pred = model.predict(X_test) # test data used only for evaluation
```
The model never sees `y_test` or `X_test` during fitting.
#### 3. No Pre-Split Transformations
There are no scaling, encoding, or imputation steps applied to the full dataset `df` or `X` before the split — a frequent source of leakage.
---
### What Cannot Be Verified From the Code Alone
These are **potential concerns** depending on the contents of `fraud.csv`, not flaws in the pipeline itself:
| Concern | Description |
|---|---|
| **Target-encoded features** | If `X` contains a column derived from `is_fraud` (e.g., a fraud rate lookup) that was computed on the full dataset upstream | 
| **Future-looking features** | In fraud detection, features like `"total_account_fraud_history"` might encode future events relative to a transaction timestamp |
| **Row-level identifiers** | If a customer ID or transaction ID is left in `X` and happens to correlate with fraud labels |
These would be **data construction** problems in the CSV itself, not in the pipeline code shown.
---
### Summary
```
Split before resampling:     ✅ Correct
SMOTE applied to train only: ✅ Correct
No global preprocessing:     ✅ Correct
Model trained on train only: ✅ Correct
Evaluation on held-out test: ✅ Correct
```
The pipeline follows best practices. The only remaining due diligence is auditing the feature engineering that produced `fraud.csv`.</t>
  </si>
  <si>
    <t># Data Leakage Review
**VERDICT: This code is FREE of data leakage.**
## Analysis
The pipeline correctly handles the order of operations:
1. ✅ **Train-test split occurs first** — The data is divided before any preprocessing
2. ✅ **SMOTE is fit only on training data** — `smote.fit_resample(X_train, y_train)` learns resampling parameters exclusively from the training set
3. ✅ **Model training uses only training data** — No test set information influences model fitting
4. ✅ **Evaluation on held-out test set** — Predictions are made on unseen data
## Why This Avoids Data Leakage
The critical line is:
```python
X_train, y_train = smote.fit_resample(X_train, y_train)
```
SMOTE is intentionally fit **after** the train-test split and **only on X_train/y_train**. This means:
- The synthetic samples are generated based solely on training data distributions
- Test set class balance statistics don't influence resampling
- No information from X_test or y_test leaks into the training process
## What Would Cause Data Leakage (for reference)
The code would leak data if written like this:
```python
# ❌ WRONG - SMOTE before split
smote = SMOTE(random_state=42)
X_resampled, y_resampled = smote.fit_resample(X, y)
X_train, X_test, y_train, y_test = train_test_split(...)
```
This would be problematic because SMOTE would generate synthetic minority samples informed by the entire dataset, including test samples.
**Conclusion:** The implementation follows proper ML pipeline hygiene. ✓</t>
  </si>
  <si>
    <t>This Python machine learning pipeline code is **free of data leakage**.
Here's a breakdown of why, focusing on the critical steps:
1.  **`train_test_split` done first:**
    ```python
    X_train, X_test, y_train, y_test = train_test_split(
        X, y, test_size=0.2, random_state=42
    )
    ```
    This is the most crucial step in preventing data leakage. By splitting the data into training and test sets *before* any preprocessing or model fitting, you ensure that the test set remains completely unseen by the training process. The model will genuinely be evaluated on data it has never encountered.
2.  **SMOTE applied only to `X_train`, `y_train`:**
    ```python
    smote = SMOTE(random_state=42)
    X_train, y_train = smote.fit_resample(X_train, y_train)
    ```
    SMOTE (Synthetic Minority Over-sampling Technique) generates synthetic samples for the minority class. If SMOTE were applied to the entire dataset *before* `train_test_split`, it would generate synthetic samples based on information from both the future training and test sets. Some of these synthetically generated samples, or samples whose generation was influenced by test data, could then end up in the test set, leading to an overly optimistic evaluation.
    However, in this code, SMOTE is correctly applied *only* to the `X_train` and `y_train` data. This means the synthetic samples are created solely based on patterns observed within the training data, and the test set remains untouched and truly independent.
3.  **Model Training on `X_train`, `y_train`:**
    ```python
    model.fit(X_train, y_train)
    ```
    The `GradientBoostingClassifier` is trained exclusively on the (SMOTE-augmented) training data, ensuring it learns only from the information available to it during the training phase.
**Conclusion:**
The pipeline correctly separates the data into training and test sets *before* any data manipulation (like oversampling with SMOTE) or model training. This ensures that the test set remains a truly independent measure of the model's generalization performance, and no information from it inadvertently influences the training process. There are no features whose construction is shown to depend on target information that wouldn't be available at prediction time, assuming the initial `fraud.csv` features are well-defined.</t>
  </si>
  <si>
    <t>The given Python code is generally well-written, but there are a few issues, bugs, or potential improvements that can be noted:
1. **Handling Missing Values**: 
   - Check for any missing values in the dataset, especially in the 'moving_avg_7' column. If there are any NaN values, this will lead to errors during model fitting and prediction. Consider using `df.isnull().sum()` to check for missing values and handle them accordingly (e.g., drop or fill them).
2. **Feature Engineering Considerations**:
   - The feature 'moving_avg_7' likely relies on past data to calculate the average. Ensure that it's correctly aligned with the other features and the target variable ('close'), especially if the moving average includes values from a previous segment not in `X_train`.
3. **Date Feature Ignored**:
   - The 'date' column might carry important information for time series modeling and could be transformed into features such as 'day of the week', 'month', or used to engineer lagged variables. Currently, it's ignored.
4. **Randomness in Model Testing**:
   - The random state is fixed with `random_state=42` to ensure reproducibility, which is good. However, consider varying the random state or using cross-validation to ensure the model's performance is stable across different splits.
5. **Incorrect Split for Time-Series Data**:
   - The use of `train_test_split` is not usually appropriate for time-series data, where maintaining the temporal order is crucial. Instead, consider time-based splitting such as using the first part of the data for training and a subsequent window for testing, or using techniques like `TimeSeriesSplit`.
6. **No Feature Scaling**:
   - Although RandomForestRegressor doesn't require feature scaling, if you plan to test other models, feature scaling might become relevant. It's crucial to handle this when it's needed.
7. **Lack of Commenting/Documentation**:
   - The code lacks comments and documentation. Adding comments or using a docstring at the top to explain the purpose and process of the code would make it clearer and more maintainable.
8. **File Path Robustness**:
   - If 'stock_prices.csv' is not in the same directory as the script, it will fail. Consider parameterizing the file path or checking existence before reading the file.
Addressing these issues should improve the code's robustness, clarity, and applicability to real-world scenarios.</t>
  </si>
  <si>
    <t>The provided Python code generally follows good practices for loading data, preparing it for modeling, training a machine learning model, and evaluating its performance. However, there are some issues and areas for improvement that can enhance readability, maintainability, and functionality. 
Here’s a detailed review:
1. **Hardcoded File Name**:
   - The file `'stock_prices.csv'` is hardcoded, which reduces flexibility. 
   - **Recommendation**: Consider using a parameter to pass the filename, or use `argparse` if running from command line to make it more flexible:
     ```python
     import argparse
     parser = argparse.ArgumentParser()
     parser.add_argument('file', type=str, help='Input CSV file with stock prices')
     args = parser.parse_args()
     df = pd.read_csv(args.file)
     ```
2. **Feature Engineering**:
   - The code uses features like `"moving_avg_7"` without showing how this feature is computed or ensuring it's present in the dataset.
   - **Recommendation**: Always include feature generation in the code or at least document it. If `moving_avg_7` is not calculated before this point, it will raise an error.
   - For illustration, if it's a moving average of the last 7 days:
     ```python
     df['moving_avg_7'] = df['close'].rolling(window=7).mean().shift()
     ```
3. **Lack of Data Preprocessing**:
   - The code does not handle missing values, which can lead to runtime errors or reduced model performance.
   - **Recommendation**: Implement checks and handling for missing values before performing the split:
     ```python
     if df.isnull().sum().any():
         df = df.dropna()  # Or use df.fillna() depending on the context
     ```
4. **Data Leakage**:
   - The presence of features such as `"moving_avg_7"` can lead to data leakage if computed before the train-test split.
   - **Recommendation**: Ensure that any derived features that depend on future information are computed after splitting the dataset.
5. **Model Evaluation**:
   - The code uses the Mean Absolute Error (MAE) as the evaluation metric, which is reasonable. However, it could be helpful to also include additional metrics, such as RMSE or R² for a deeper understanding of model performance.
   - **Recommendation**: Consider adding other evaluation metrics:
     ```python
     from sklearn.metrics import mean_squared_error, r2_score
     print(f"RMSE: {mean_squared_error(y_test, y_pred, squared=False):.4f}")
     print(f"R²: {r2_score(y_test, y_pred):.4f}")
     ```
6. **Comments and Documentation**:
   - The code lacks comments explaining each step. While it may seem straightforward, future readers (including yourself) may benefit from clear commentary.
   - **Recommendation**: Add comments or a docstring at the start of the script to describe its purpose and execution flow.
7. **Dimension Checking**:
   - The code assumes that `X` and `y` are aligned. Although this is true if you constructed `X` and `y` from the same DataFrame, good practice would be to confirm their shapes and sizes before the split, potentially diagnosing issues early.
   - **Recommendation**: It could be beneficial to add assertions:
     ```python
     assert X.shape[0] == y.shape[0], "Number of samples in features and labels must match."
     ```
In summary, while the code is fundamentally sound and performs the intended machine learning task, improvements can create a more robust, flexible, and maintainable script. Addressing the issues listed would help prevent runtime errors and improve the overall quality of the code.</t>
  </si>
  <si>
    <t>## Code Review: Stock Price Prediction
This code has several significant issues ranging from critical methodological flaws to minor improvements. Here's a thorough breakdown:
---
### 🔴 Critical Issues
#### 1. Temporal Data Leakage (Most Severe)
```python
# WRONG: train_test_split randomly shuffles time-series data
X_train, X_test, y_train, y_test = train_test_split(
    X, y, test_size=0.2, random_state=42
)
```
**Problem:** `train_test_split` randomly selects rows, meaning future data can appear in the training set and past data in the test set. For time-series, this is a fundamental methodological error that produces **impossibly optimistic results** that won't generalize.
```python
# CORRECT: Preserve temporal order with a chronological split
split_index = int(len(df) * 0.8)
X_train, X_test = X.iloc[:split_index], X.iloc[split_index:]
y_train, y_test = y.iloc[:split_index], y.iloc[split_index:]
```
---
#### 2. Feature Leakage in Target Variable
```python
features = ["open", "high", "low", "volume", "moving_avg_7"]
y = df["close"]
```
**Problem:** In real trading, `high` and `low` for a given day are only fully known *after* the market closes — the same time `close` is known. Using them to predict `close` leaks information that wouldn't be available at prediction time.
```python
# CORRECT: Only use features available before the close price is known
# Shift features by one period to predict next day's close
features = ["open", "volume", "moving_avg_7"]  # remove intraday high/low
# Or predict next day's close using today's data
y = df["close"].shift(-1)  # next day's closing price
df = df.iloc[:-1]          # remove last row with NaN target
```
---
#### 3. Target Leakage from Moving Average
```python
features = ["moving_avg_7"]
```
**Problem:** If `moving_avg_7` is a 7-day moving average that *includes the current day's close*, it directly leaks the target variable into the features.
```python
# CORRECT: Ensure moving average uses only past data
df["moving_avg_7"] = df["close"].shift(1).rolling(window=7).mean()
# shift(1) ensures today's close is not included
```
---
### 🟡 Significant Issues
#### 4. No Missing Value Handling
```python
X = df[features]
```
**Problem:** The moving average calculation will produce `NaN` values for the first 6 rows. RandomForest will raise an error or silently produce bad results.
```python
# CORRECT: Drop or impute NaN values with explanation
df = df.dropna(subset=features + ["close"])
# Log how many rows were removed
print(f"Rows after dropping NaN: {len(df)}")
```
---
#### 5. No Input Validation or Error Handling
```python
df = pd.read_csv("stock_prices.csv")
```
**Problem:** No checks for file existence, required columns, data types, or empty DataFrames. This will produce cryptic errors in production.
```python
import os
from pathlib import Path
DATA_PATH = Path("stock_prices.csv")
REQUIRED_COLUMNS = {"date", "open", "high", "low", "close", "volume"}
if not DATA_PATH.exists():
    raise FileNotFoundError(f"Data file not found: {DATA_PATH}")
df = pd.read_csv(DATA_PATH)
missing_cols = REQUIRED_COLUMNS - set(df.columns)
if missing_cols:
    raise ValueError(f"Missing required columns: {missing_cols}")
if df.empty:
    raise ValueError("DataFrame is empty after loading")
```
---
### 🟠 Model &amp; Evaluation Issues
#### 6. Single Metric Evaluation is Insufficient
```python
print(f"MAE: {mean_absolute_error(y_test, y_pred):.4f}")
```
**Problem:** MAE alone is insufficient — it has no context without knowing the scale of the target variable. A MAE of 5.0 means nothing without knowing if prices range from 10 to 15 or 100 to 500.
```python
from sklearn.metrics import mean_absolute_error, mean_squared_error, r2_score
import numpy as np
mae = mean_absolute_error(y_test, y_pred)
rmse = np.sqrt(mean_squared_error(y_test, y_pred))
r2 = r2_score(y_test, y_pred)
mape = np.mean(np.abs((y_test - y_pred) / y_test)) * 100  # percentage error
print(f"MAE:  {mae:.4f}")
print(f"RMSE: {rmse:.4f}")
print(f"R²:   {r2:.4f}")
print(f"MAPE: {mape:.2f}%")
print(f"Mean close price: {y_test.mean():.4f}")  # context for MAE
```
---
#### 7. No Cross-Validation for Time Series
**Problem:** A single train/test split gives a high-variance estimate of model performance. For time series, use walk-forward validation.
```python
from sklearn.model_selection import TimeSeriesSplit
tscv = TimeSeriesSplit(n_splits=5)
cv_scores = []
for train_idx, test_idx in tscv.split(X):
    X_cv_train, X_cv_test = X.iloc[train_idx], X.iloc[test_idx]
    y_cv_train, y_cv_test = y.iloc[train_idx], y.iloc[test_idx]
    model.fit(X_cv_train, y_cv_train)
    preds = model.predict(X_cv_test)
    cv_scores.append(mean_absolute_error(y_cv_test, preds))
print(f"CV MAE: {np.mean(cv_scores):.4f} ± {np.std(cv_scores):.4f}")
```
---
### 🔵 Minor Issues
#### 8. Hardcoded Magic Numbers and Strings
```python
df = pd.read_csv("stock_prices.csv")  # hardcoded path
train_test_split(..., test_size=0.2, random_state=42)
RandomForestRegressor(n_estimators=100, random_state=42)
```
```python
# CORRECT: Use constants or config
DATA_PATH = "stock_prices.csv"
TEST_SIZE = 0.2
RANDOM_STATE = 42
N_ESTIMATORS = 100
```
#### 9. No Logging or Reproducibility Info
```python
# Add dataset and model metadata for reproducibility
print(f"Dataset: {len(df)} rows from {df['date'].min()} to {df['date'].max()}")
print(f"Train size: {len(X_train)}, Test size: {len(X_test)}")
print(f"Features: {features}")
```
---
### Summary Table
| Issue | Severity | Category |
|-------|----------|----------|
| Random split on time-series data | 🔴 Critical | Methodology |
| Intraday feature leakage (high/low) | 🔴 Critical | Data Leakage |
| Moving average includes current close | 🔴 Critical | Data Leakage |
| No NaN handling | 🟡 Significant | Robustness |
| No input validation | 🟡 Significant | Robustness |
| Insufficient evaluation metrics | 🟠 Moderate | Evaluation |
| No cross-validation | 🟠 Moderate | Evaluation |
| Hardcoded constants | 🔵 Minor | Code Quality |
| No logging/reproducibility info | 🔵 Minor | Code Quality |
The most important takeaway is</t>
  </si>
  <si>
    <t># Code Review: Issues and Problems Found
## 1. **Data Leakage (CRITICAL)**
```python
df = df.sort_values("date")
X_train, X_test, y_train, y_test = train_test_split(X, y, test_size=0.2, random_state=42)
```
**Problem:** The data is sorted by date, then randomly split. This breaks temporal integrity—the model trains on future data and tests on past data, causing unrealistic performance metrics.
**Fix:** Split by date before sorting:
```python
split_idx = int(len(df) * 0.8)
X_train, X_test = X[:split_idx], X[split_idx:]
y_train, y_test = y[:split_idx], y[split_idx:]
```
---
## 2. **Forward-Looking Bias**
```python
features = ["open", "high", "low", "volume", "moving_avg_7"]
y = df["close"]
```
**Problem:** `high` and `low` are typically known only after the trading day closes. Using them to predict `close` creates unrealistic training conditions.
**Fix:** Only use features known *before* prediction time (e.g., previous day's close, technical indicators from prior periods).
---
## 3. **Missing Data Validation**
```python
df = pd.read_csv("stock_prices.csv")
X = df[features]
y = df["close"]
```
**Problem:** No checks for:
- Missing values (NaN)
- Duplicate rows
- Invalid data types
- Missing required columns
**Fix:**
```python
df = pd.read_csv("stock_prices.csv")
print(df.isnull().sum())  # Check for NaNs
df = df.dropna()  # or df.fillna()
assert all(col in df.columns for col in features + ["close"])
```
---
## 4. **No Train/Validation Split**
**Problem:** Only using train/test split. No validation set to tune hyperparameters or detect overfitting during development.
**Fix:**
```python
X_train, X_temp, y_train, y_temp = train_test_split(X, y, test_size=0.4, random_state=42)
X_val, X_test, y_val, y_test = train_test_split(X_temp, y_temp, test_size=0.5, random_state=42)
```
---
## 5. **No Feature Scaling**
**Problem:** Random Forest doesn't require scaling, but if features have vastly different ranges, it can affect interpretability and other algorithms.
**Fix:** Document why scaling isn't used, or add it for consistency:
```python
from sklearn.preprocessing import StandardScaler
scaler = StandardScaler()
X_train = scaler.fit_transform(X_train)
X_test = scaler.transform(X_test)
```
---
## 6. **Single Evaluation Metric**
```python
print(f"MAE: {mean_absolute_error(y_test, y_pred):.4f}")
```
**Problem:** MAE alone doesn't reveal overfitting, outlier sensitivity, or directional accuracy. Stock prices need multiple metrics.
**Fix:**
```python
from sklearn.metrics import mean_squared_error, r2_score
mae = mean_absolute_error(y_test, y_pred)
rmse = mean_squared_error(y_test, y_pred) ** 0.5
r2 = r2_score(y_test, y_pred)
print(f"MAE: {mae:.4f}, RMSE: {rmse:.4f}, R²: {r2:.4f}")
```
---
## 7. **No Error Handling**
```python
df = pd.read_csv("stock_prices.csv")
```
**Problem:** Will crash if file doesn't exist or is malformed.
**Fix:**
```python
try:
    df = pd.read_csv("stock_prices.csv")
except FileNotFoundError:
    print("Error: stock_prices.csv not found")
    exit(1)
```
---
## 8. **Hardcoded Values**
**Problem:** `test_size=0.2`, `n_estimators=100`, `random_state=42` are all magic numbers with no justification.
**Fix:**
```python
TEST_SIZE = 0.2
N_ESTIMATORS = 100
RANDOM_STATE = 42
```
---
## 9. **No Model Persistence**
**Problem:** Model isn't saved, making it impossible to use later.
**Fix:**
```python
import joblib
joblib.dump(model, "model.pkl")
```
---
## 10. **Insufficient Logging**
**Problem:** No information about data shape, feature importance, or model details.
**Fix:**
```python
print(f"Training set size: {X_train.shape}")
print(f"Feature importance:\n{pd.Series(model.feature_importances_, index=features).sort_values(ascending=False)}")
```
---
## Summary Table
| Issue | Severity | Impact |
|-------|----------|--------|
| Data Leakage | 🔴 CRITICAL | Invalid performance metrics |
| Forward-Looking Bias | 🔴 CRITICAL | Model can't be used in production |
| Missing Data Validation | 🟠 HIGH | Silent failures or incorrect results |
| No Train/Val Split | 🟠 HIGH | Can't detect overfitting |
| Single Metric | 🟡 MEDIUM | Incomplete model evaluation |
| No Error Handling | 🟡 MEDIUM | Poor robustness |
| Hardcoded Values | 🟡 MEDIUM | Hard to maintain/experiment |</t>
  </si>
  <si>
    <t>The provided Python code attempts to build a machine learning model for stock price prediction. While it follows a general structure for ML projects, it contains several critical issues, bugs, and bad practices, especially concerning time-series data.
Here's a breakdown of the problems:
1.  **Missing Feature Creation (`moving_avg_7`)**
    *   **Problem:** The code lists `"moving_avg_7"` in the `features` list: `features = ["open", "high", "low", "volume", "moving_avg_7"]`. However, there is no code segment that actually calculates or creates this `moving_avg_7` column in the `df` DataFrame.
    *   **Consequence:** When `X = df[features]` is executed, it will raise a `KeyError` because the column `moving_avg_7` does not exist in the DataFrame. This is a fundamental bug that prevents the code from running.
2.  **Critical Data Leakage due to Incorrect Train-Test Split for Time Series**
    *   **Problem:** The most severe issue is the use of `sklearn.model_selection.train_test_split` for time-series data. `train_test_split` randomly shuffles and splits the data.
    *   **Consequence:** For time-series prediction (like stock prices), this means that **future data points can be included in the training set**, while earlier data points might end up in the test set. This "peeking into the future" leads to an overly optimistic (and misleading) evaluation of the model's performance, as the model effectively knows what's going to happen. A real-world stock prediction model must only be trained on past data and evaluated on subsequent, unseen future data.
    *   **Correction:** For time-series, you must split the data chronologically. For example, use the first 80% of data (based on `date`) for training and the last 20% for testing.
3.  **Potential Data Leakage in Feature Engineering (`moving_avg_7` if implemented improperly)**
    *   **Problem (Hypothetical, assuming `moving_avg_7` was created):** If `moving_avg_7` were implemented, it's crucial to ensure it's calculated correctly to avoid leakage. A naive `df['close'].rolling(window=7).mean()` would calculate the average including the *current day's* closing price. If you're trying to predict the current day's closing price, using a moving average that includes it would be data leakage.
    *   **Consequence:** The model would again be using information it wouldn't have at the time of prediction, leading to inflated performance.
    *   **Correction:** A moving average feature used to predict `close` should only use *past* `close` prices. This can be achieved using `df['close'].shift(1).rolling(window=7).mean()` (average of previous 7 days, excluding current) or `df['close'].rolling(window=7, closed='left').mean()`.
4.  **Lack of Robust Time-Series Cross-Validation**
    *   **Problem:** Using a single train-test split (even a chronological one) provides only one evaluation point. This can be fragile, especially with volatile data like stock prices.
    *   **Consequence:** The reported MAE might not be representative of the model's performance across different time periods or market conditions.
    *   **Correction:** For time-series, techniques like Walk-Forward Validation or `TimeSeriesSplit` from scikit-learn are preferred. These methods simulate how a model would be deployed in production, training on a growing window of past data and testing on the immediate future.
5.  **Hardcoded File Path**
    *   **Problem:** The filename `"stock_prices.csv"` is hardcoded directly into the script.
    *   **Consequence:** This makes the script less flexible. If the file name changes or needs to be loaded from a different location, the code itself must be modified.
    *   **Correction:** For more robust and reusable code, consider passing the filename as a function argument, command-line argument, or storing it in a configuration file.
6.  **No Lagged Features (Improvement, not a bug)**
    *   **Problem:** The model currently only uses `open`, `high`, `low`, `volume`, and `moving_avg_7` (if fixed). In time-series forecasting, lagged versions of the target variable or other features are often highly predictive. For example, `close_yesterday` (`df['close'].shift(1)`).
    *   **Consequence:** The model might not be capturing sufficient temporal dependencies inherent in stock prices, potentially leading to lower predictive performance.
    *   **Correction:** Consider adding features like `df['close'].shift(1)`, `df['volume'].shift(1)`, etc., to provide the model with more context from the immediate past.
### Summary of Issues:
1.  **BUG:** `KeyError` due to `moving_avg_7` not being created.
2.  **CRITICAL BUG/BAD PRACTICE:** Data leakage from `train_test_split` in a time-series context.
3.  **POTENTIAL BUG/BAD PRACTICE:** Data leakage in `moving_avg_7` calculation (if implemented improperly).
4.  **BAD PRACTICE:** Lack of robust time-series validation.
5.  **BAD PRACTICE:** Hardcoded filename.
6.  **(Improvement Idea):** No lagged features.
To make this code functional and robust for time-series prediction, the split and feature engineering would need significant adjustments.</t>
  </si>
  <si>
    <t>To determine if there is any data leakage in this code, let's review the aspects that can potentially lead to leakage:
1. **Temporal Leakage**: Given that this is a time series dataset, there's a risk of temporal leakage if the test set contains data points that are chronologically before some of the training data points.
2. **Feature Leakage**: This happens if a feature used in training inadvertently includes information that would not be available at prediction time, or encodes future information about the target variable.
Let's analyze the code with these points in mind:
1. **Temporal Leakage**: The code reads stock price data and sorts it based on date. However, after sorting, it uses `train_test_split`. This function splits the data randomly, which might result in test data having earlier dates compared to some training data, thus causing temporal leakage. This is problematic in time series contexts because it can lead to training on future data points, which would not be available at prediction time.
2. **Feature Leakage**: The code uses features like "open", "high", "low", "volume", and "moving_avg_7" to predict the "close" price. Assuming "moving_avg_7" is calculated using only past data (e.g., the average of the last 7 days including today), using it would not inherently cause leakage. However, if "moving_avg_7" were calculated using future data, this would be leakage.
Given these points, the code does suffer from data leakage due to inappropriate handling of temporal data splits using `train_test_split`. This function does not respect the chronological order of the data, which is critical for time series problems.
To fix the temporal leakage, you should split the data such that training data only contains dates before the test data. This can be done by explicitly splitting the dataset using its temporal order rather than `train_test_split`. Here is an example fix:
```python
# Define a cutoff date for splitting
cut_off_date = df["date"].quantile(0.8)
# Split the data respecting the chronological order
X_train = X[df["date"] &lt;= cut_off_date]
X_test = X[df["date"] &gt; cut_off_date]
y_train = y[df["date"] &lt;= cut_off_date]
y_test = y[df["date"] &gt; cut_off_date]
# Train and evaluate the model as before, now without temporal leakage
model = RandomForestRegressor(n_estimators=100, random_state=42)
model.fit(X_train, y_train)
y_pred = model.predict(X_test)
print(f"MAE: {mean_absolute_error(y_test, y_pred):.4f}")
```
With this change, the temporal split ensures that future data doesn't leak into the training process, maintaining the integrity of your pipeline in a time series context.</t>
  </si>
  <si>
    <t>The provided Python code is a machine learning pipeline for predicting stock prices using a `RandomForestRegressor`. Let’s analyze it for potential data leakage.
### Identification of Data Leakage
1. **Feature Selection**:
   - The `features` list includes `"moving_avg_7"`, which is a moving average indicator based on the past 7 days of stock prices. If this moving average is calculated using data that includes future prices (i.e., data from beyond the date for which the prediction is being made), it would introduce data leakage.
   - Moving averages are often computed using past data only, but if `moving_avg_7` is computed using the full dataset instead of just the training set when creating the training and test datasets, it captures information from the future (test set) and uses it in training.
### Why This is a Problem
Data leakage is problematic because it leads to overly optimistic model performance during training and evaluation. The model might perform excellently on the test set since it has inadvertently learned from future information that it would not have access to in a real-world scenario:
- **Bias**: If the model has access to the moving average computed from both training and test data, it might learn patterns that do not truly reflect its capability to predict unseen data, which would lead to a biased performance assessment.
- **Generalization**: The true measure of how well the model performs in real-world applications is undermined, as it might not generalize well when encountering new data.
### Recommendations to Fix Data Leakage
To avoid data leakage, ensure that any feature that could incorporate future information is computed only on the training set. Specifically:
- When calculating **`moving_avg_7`**, ensure it is created in a way that does not include future prices beyond the date of the prediction. This can often be handled through operations that respect the time order of the data.
Here’s an example of how to compute a moving average without introducing leakage:
```python
# Example fix for moving average calculation
df['moving_avg_7'] = df['close'].rolling(window=7).mean()
df['moving_avg_7'] = df['moving_avg_7'].shift(1)  # Shift to prevent leakage
```
This ensures the moving average is calculated using only past data, aligning with the requirement for time-series forecasting where future data points must not influence current predictions. 
### Conclusion
In conclusion, the pipeline has potential data leakage due to the handling of the `"moving_avg_7"` feature. It is essential to verify that any derived feature is computed correctly to maintain the integrity of the model evaluation.</t>
  </si>
  <si>
    <t>## Data Leakage Analysis
This code contains **two distinct forms of data leakage**, both of which would produce an overly optimistic MAE and a model that fails in real-world deployment.
---
### Problem 1: Random Splitting of Time-Series Data
```python
# Sorts by date, but then immediately destroys temporal order:
df = df.sort_values("date")
X_train, X_test, y_train, y_test = train_test_split(
    X, y, test_size=0.2, random_state=42  # ← random shuffle ignores time
)
```
**Why this is leakage:**
`train_test_split` with default `shuffle=True` randomly assigns rows to train/test sets. For time-series data this means:
- Training data will contain rows from **after** many test rows
- The model trains on "future" data and predicts "past" data
- This is impossible in production, where you never have future data available at prediction time
The `sort_values("date")` call is completely negated by the random split.
**Fix — use a temporal split:**
```python
split_index = int(len(df) * 0.8)
X_train, X_test = X.iloc[:split_index], X.iloc[split_index:]
y_train, y_test = y.iloc[:split_index], y.iloc[split_index:]
```
---
### Problem 2: The `moving_avg_7` Feature Is Likely Computed on the Full Dataset
```python
features = ["open", "high", "low", "volume", "moving_avg_7"]
X = df[features]  # moving_avg_7 already exists in the loaded data
```
**Why this is almost certainly leakage:**
A 7-day moving average for day `t` is typically computed as:
```
moving_avg_7[t] = mean(close[t-6], ..., close[t])
```
Notice it includes `close[t]` — **the very value being predicted**. Even if the current day's close is excluded (i.e., a lagged moving average), if this column was computed on the full DataFrame before splitting, then test-period values of `moving_avg_7` were influenced by surrounding close prices that the model should not have access to.
**Fix — compute it transparently after splitting:**
```python
# Use only past values (shift ensures no same-day leakage)
df["moving_avg_7"] = df["close"].shift(1).rolling(window=7).mean()
# Then perform the temporal split
split_index = int(len(df) * 0.8)
```
---
### Additional Concern: Feature Correlation with Target
```python
features = ["open", "high", "low", "volume", "moving_avg_7"]
y = df["close"]
```
The features `open`, `high`, and `low` are **same-day values**. Depending on the prediction task this may or may not be legitimate:
| Scenario | Leakage? |
|---|---|
| Predicting `close` after market closes (end-of-day) | ✅ Acceptable |
| Predicting `close` before market opens | ❌ Leakage — `high`/`low`/`open` unknown |
The intended prediction time should be explicitly documented and enforced.
---
### Corrected Pipeline
```python
import pandas as pd
from sklearn.ensemble import RandomForestRegressor
from sklearn.metrics import mean_absolute_error
df = pd.read_csv("stock_prices.csv")
df["date"] = pd.to_datetime(df["date"])
df = df.sort_values("date").reset_index(drop=True)
# Compute moving average using only past data (no same-day close leakage)
df["moving_avg_7"] = df["close"].shift(1).rolling(window=7).mean()
# Drop rows where moving average is undefined
df = df.dropna(subset=["moving_avg_7"])
features = ["open", "high", "low", "volume", "moving_avg_7"]
X = df[features]
y = df["close"]
# Temporal split — no shuffling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
### Summary
| Issue | Severity | Type |
|---|---|---|
| Random train/test split on time-series | 🔴 Critical | Future data in training |
| `moving_avg_7` computed on full dataset | 🔴 Critical | Target-derived feature contamination |
| Same-day `open`/`high`/`low` (context-dependent) | 🟡 Situational | Potentially unavailable features |</t>
  </si>
  <si>
    <t># Data Leakage Review
## **CRITICAL DATA LEAKAGE DETECTED**
This code contains **temporal data leakage**. Here's exactly where and why:
### The Problem
The `moving_avg_7` feature is computed on the **entire dataset before splitting**:
```python
df = df.sort_values("date")
features = ["open", "high", "low", "volume", "moving_avg_7"]
X = df[features]
y = df["close"]
X_train, X_test, y_train, y_test = train_test_split(X, y, ...)
```
**The moving_avg_7 values in the test set depend on historical data that may include training samples.** More problematically, if the moving average was computed globally before the split, the test set's moving averages are contaminated by information from the entire dataset.
### Why This Is a Problem
1. **Test data influences training indirectly**: The moving average calculation uses a rolling window. If computed on the full dataset, test samples' features depend on data points that appear both before and after them chronologically.
2. **Unrealistic performance metrics**: The model appears to perform better than it would in real deployment, where you cannot compute 7-day moving averages using future price data.
3. **Non-stationary time series violation**: For time series, you must respect the temporal order—test data should never influence training features.
### The Fix
Compute `moving_avg_7` **after the train-test split**, separately for each fold:
```python
import pandas as pd
from sklearn.model_selection import train_test_split
from sklearn.ensemble import RandomForestRegressor
from sklearn.metrics import mean_absolute_error
df = pd.read_csv("stock_prices.csv")
df["date"] = pd.to_datetime(df["date"])
df = df.sort_values("date")
# Don't compute moving_avg_7 yet!
features = ["open", "high", "low", "volume"]
X = df[features]
y = df["close"]
X_train, X_test, y_train, y_test = train_test_split(
    X, y, test_size=0.2, random_state=42
)
# Compute moving average AFTER split, using only training data
X_train["moving_avg_7"] = X_train["open"].rolling(window=7, min_periods=1).mean()
X_test["moving_avg_7"] = X_test["open"].rolling(window=7, min_periods=1).mean()
model = RandomForestRegressor(n_estimators=100, random_state=42)
model.fit(X_train[["open", "high", "low", "volume", "moving_avg_7"]], y_train)
y_pred = model.predict(X_test[["open", "high", "low", "volume", "moving_avg_7"]])
print(f"MAE: {mean_absolute_error(y_test, y_pred):.4f}")
```
**For time series, consider using `TimeSeriesSplit` instead of random `train_test_split` to maintain proper temporal order.**</t>
  </si>
  <si>
    <t>The provided Python machine learning pipeline code *does* contain a significant form of data leakage, specifically related to how the data is split for training and testing.
### Data Leakage Found: Incorrect Train-Test Split for Time Series Data
**Explanation:**
1.  **Time Series Data:** The code explicitly loads `stock_prices.csv`, converts a `date` column to datetime objects, and sorts the DataFrame by `date`. This clearly indicates that the data is sequential and time-dependent, characteristic of time series data.
2.  **Random Split:** The line `X_train, X_test, y_train, y_test = train_test_split(X, y, test_size=0.2, random_state=42)` performs a **random shuffle** of the data before splitting it into training and testing sets.
3.  **The Problem ("Seeing the Future"):** Because the data is time-series and has been sorted, a random split means that data points from *later dates* (the "future") can inadvertently end up in the training set, while data points from *earlier dates* (the "past") can end up in the test set. When the model is trained on this mixed data, it effectively "sees" information that would not be available to it at the time of making real-world predictions. For instance, if you're trying to predict tomorrow's stock price, your model should only have access to data up to today, not data from next week.
**Why it is a problem:**
This type of leakage leads to an overly optimistic evaluation of your model's performance. The `mean_absolute_error` calculated will likely be lower than what you would observe in a real-world scenario where the model truly predicts on unseen future data. The model appears to perform better than it would in production because it has learned from data that chronologically follows some of its test set examples.
### Potential (but not explicit in this code) Data Leakage: Feature `moving_avg_7`
While the calculation of `moving_avg_7` is not present in the provided snippet, it's crucial to ensure this feature is correctly constructed for time series data:
*   **If `moving_avg_7` is a *lagged* moving average (e.g., average of the previous 7 days' closing prices):** This is generally acceptable as the information would be available at prediction time.
*   **If `moving_avg_7` is a *central* moving average or uses *future* data (e.g., average of 3 days before, the current day, and 3 days after):** This would be a form of data leakage because future information is used to create the feature for the current data point.
*   **Recommendation:** Always ensure that any time-series features are calculated strictly using *past* or *contemporaneous* information relative to the prediction point.
### How to Fix the Data Leakage: Time-Series Split
For time-series data, you should split your data chronologically. The simplest way is to select a cut-off date or percentage of data for training and use all subsequent data for testing.
Here's how you could modify the split:
```python
import pandas as pd
from sklearn.model_selection import train_test_split # Still useful for other types of data
from sklearn.ensemble import RandomForestRegressor
from sklearn.metrics import mean_absolute_error
df = pd.read_csv("stock_prices.csv")
df["date"] = pd.to_datetime(df["date"])
df = df.sort_values("date")
features = ["open", "high", "low", "volume", "moving_avg_7"]
X = df[features]
y = df["close"]
# FIX: Implement a chronological train-test split
# For example, use the first 80% of data for training and the last 20% for testing.
split_index = int(len(df) * 0.8)
X_train = X.iloc[:split_index]
X_test = X.iloc[split_index:]
y_train = y.iloc[:split_index]
y_test = y.iloc[split_index:]
# Verify the split (optional)
print(f"Train set dates from {df['date'].iloc[0].date()} to {df['date'].iloc[split_index-1].date()}")
print(f"Test set dates from {df['date'].iloc[split_index].date()} to {df['date'].iloc[-1].date()}")
print(f"X_train shape: {X_train.shape}, X_test shape: {X_test.shape}")
model = RandomForestRegressor(n_estimators=100, random_state=42)
model.fit(X_train, y_train)
y_pred = model.predict(X_test)
print(f"MAE: {mean_absolute_error(y_test, y_pred):.4f}")
```
This corrected approach ensures that the model is only trained on historical data relative to its test set, providing a more realistic evaluation of its out-of-sample performance.</t>
  </si>
  <si>
    <t>The given Python code is meant to perform a time series forecasting task using a RandomForestRegressor on a dataset containing stock prices. Below are the potential issues, bugs, and bad practices in the code, along with explanations:
1. **Date Sorting before Splitting**:
   - **Issue**: The dataset is sorted by date before splitting into training and test sets. This is necessary for time series data to prevent data leakage from future data into the past, which is handled correctly here. However, without confirmation from the dataset, assume "date" is the primary way to maintain chronological order. 
2. **Feature Engineering**:
   - **Possible Issue**: It assumes all features (`"open"`, `"high"`, `"low"`, `"volume"`, `"moving_avg_7"`) are present and correctly processed in `df`. If any of these columns is missing or has NaN values, the code will throw an error or produce unreliable results.
   - **Good Practice**: Validate the dataset beforehand and handle missing data (e.g., using imputation).
3. **Date as a Feature**:
   - **Issue**: The date column is not included as a feature. While it's sorted, using time-based features (year, month, day, weekday, etc.) might help the model understand temporal patterns.
   - **Solution**: Create additional features that represent temporal information.
4. **Volume Feature**:
   - **Issue**: The raw volume data may have large variance and could benefit from transformation (e.g., log-scale) to reduce skewness.
   - **Solution**: Consider transforming volume data if needed.
5. **Moving Average Feature**:
   - **Important Consideration**: The moving average (`"moving_avg_7"`) should be calculated correctly without introducing leakage, meaning for each value, only prior data should be considered.
   - **Good Practice**: Verify that `"moving_avg_7"` was calculated appropriately.
6. **Model Choice without Time Series Consideration**:
   - **Issue**: Random Forest is not inherently designed for time series forecasting; it's more adept at handling independent observations. It might work for certain short-term or detrended forecasts but may not capture sequential dependencies well.
   - **Alternative**: Consider models tailored for time series like ARIMA, SARIMA, or LSTM for potentially better predictive performance if temporal dynamics are strong.
7. **Train-test Split**:
   - **No Issue**: The code uses an 80-20 split which is common practice, and it's implemented correctly concerning maintaining the temporal order.
8. **Evaluation Metrics**:
   - **Good Practice**: While MAE is appropriate, exploring other metrics like RMSE or MAPE can provide additional insights into model performance.
9. **No Hyperparameter Tuning**:
   - **Note**: There's no hyperparameter tuning for the RandomForestRegressor, which could improve the model's performance.
   - **Solution**: Use techniques such as grid search or randomized search for hyperparameter tuning.
10. **No Data Scaling**:
   - **Potential Adjustment**: Although tree-based models generally don't require feature scaling, evaluating feature variance may still be beneficial for interpretation consistency.
By addressing these points, model reliability and performance may be enhanced, assuming the features represent the actual problem space accurately.</t>
  </si>
  <si>
    <t>The provided Python code is generally well-structured and functional, but there are several issues, potential bugs, or bad practices that can be addressed for improvement. Here's a detailed review:
1. **Handling Missing Values and Data Quality**:
   - **Issue**: The code does not check for or handle any missing values in the DataFrame. If `stock_prices.csv` contains `NaN` values, it can lead to errors during model training and predictions.
   - **Fix**: Add a step to check for missing values and decide how to handle them, whether by filling them with a strategy (like forward fill, backward fill, or mean imputation) or dropping them if appropriate.
    ```python
    if df.isnull().values.any():
        # Example of dropping missing values
        df.dropna(inplace=True)
    ```
2. **Feature Engineering**:
   - **Issue**: There is no clear indication of how `moving_avg_7` was computed. If this feature is meant to represent a 7-day moving average, it should be calculated before defining `X`.
   - **Fix**: Ensure that `moving_avg_7` is properly calculated before it is added to the feature set.
    ```python
    df["moving_avg_7"] = df["close"].rolling(window=7).mean()
    ```
3. **Train-Test Split Logic**:
   - **Issue**: The code splits the data based on a simple index, which is acceptable for time series, but it lacks randomization for cross-validation or potential shuffling for other types of datasets. In time series analysis, you want to ensure that you're not leaking future information into the past.
   - **Fix**: The current method is acceptable for time series if one needs to maintain temporal order. Ensure this reasoning is documented.
4. **No Model Validation**:
   - **Issue**: The model is evaluated solely using Mean Absolute Error (MAE). While MAE is a good metric, it may not provide a complete view of model performance. Also, there is no cross-validation performed to check the stability of the model.
   - **Fix**: Consider using multiple evaluation metrics (like Mean Squared Error (MSE), R-squared) and potentially a cross-validation technique that is suited for time series data.
5. **Variable Naming and Code Readability**:
   - **Issue**: The variable names `X` and `y` are standard but not descriptive. More descriptive variable names could enhance readability.
   - **Fix**: Change `X` to `features_data` and `y` to `target_data` to clarify their purpose.
    ```python
    features_data = df[features]
    target_data = df["close"]
    ```
6. **Potential Performance Warning**:
   - **Issue**: The `RandomForestRegressor` is initialized with `n_estimators=100`, which might be computationally expensive and unnecessary for a quick test. Moreover, the default parameters may not be optimal.
   - **Fix**: Consider experimenting with hyperparameter tuning, possibly using `GridSearchCV` or `RandomizedSearchCV` after assessing base performance.
7. **Import Best Practices**:
   - **Issue**: Although importing specific functions is not mandatory, it can enhance performance and readability.
   - **Fix**: Instead of importing everything from `sklearn.metrics`, consider importing only `mean_absolute_error` directly to adhere to best practices.
    ```python
    from sklearn.metrics import mean_absolute_error
    ```
8. **Documentation and Comments**:
   - **Issue**: The code lacks comments and documentation explaining the logic behind the steps, which could help other developers understand the code's purpose and functionality.
   - **Fix**: Add comments throughout the code to explain the purpose of each block and any non-trivial operations.
In summary, while the code is largely functional, improvements can be made in data quality checks, feature engineering, evaluation methods, code readability, and best practices for Python programming. Addressing these issues will lead to a more robust and maintainable codebase.</t>
  </si>
  <si>
    <t>## Code Review: Stock Price Prediction Script
The code is functional and follows reasonable structure, but has several significant issues ranging from data leakage to missing error handling.
---
### 1. **Data Leakage: `moving_avg_7` Likely Uses Future Data**
```python
# PROBLEM: This feature is probably calculated like this somewhere upstream:
df["moving_avg_7"] = df["close"].rolling(7).mean()
# This uses the current row's "close" value in the average, leaking the target
```
```python
# FIX: Use a shifted rolling mean so each row only sees past values
df["moving_avg_7"] = df["close"].shift(1).rolling(7).mean()
```
**Why it matters:** Including the current closing price in a feature used to predict that same closing price inflates model performance artificially.
---
### 2. **Data Leakage: `high`, `low`, and `open` Are Intraday Values**
```python
# PROBLEM: These values are not known before the trading day closes
features = ["open", "high", "low", "volume", "moving_avg_7"]
```
```python
# FIX: If predicting close price before day ends, shift these features
X = df[features].shift(1)  # Use prior day's values
y = df["close"]
# Then drop the first row which will have NaN
X = X.iloc[1:]
y = y.iloc[1:]
```
**Why it matters:** `high` and `low` are determined throughout the trading day alongside `close`, making them effectively part of the target during live prediction.
---
### 3. **No Handling of Missing Values**
```python
# PROBLEM: Rolling averages and shifts produce NaN rows
X = df[features]  # May silently contain NaNs
model.fit(X_train, y_train)  # RandomForest will raise an error on NaNs
```
```python
# FIX: Drop or impute NaN rows after feature engineering
df = df.dropna(subset=features + ["close"])
# Or impute (though dropna is usually more appropriate for time series)
from sklearn.impute import SimpleImputer
imputer = SimpleImputer(strategy="mean")
X_train = imputer.fit_transform(X_train)
X_test = imputer.transform(X_test)  # Note: fit only on train set
```
---
### 4. **No Hyperparameter Tuning or Cross-Validation**
```python
# PROBLEM: Arbitrary hyperparameters with no validation
model = RandomForestRegressor(n_estimators=100, random_state=42)
```
```python
# FIX: Use time-series-aware cross-validation
from sklearn.model_selection import TimeSeriesSplit, GridSearchCV
tscv = TimeSeriesSplit(n_splits=5)
param_grid = {"n_estimators": [50, 100, 200], "max_depth": [None, 5, 10]}
grid_search = GridSearchCV(RandomForestRegressor(random_state=42),
                           param_grid, cv=tscv, scoring="neg_mean_absolute_error")
grid_search.fit(X_train, y_train)
model = grid_search.best_estimator_
```
**Why it matters:** Standard k-fold cross-validation shuffles data and would leak future information in a time-series context.
---
### 5. **Single Metric Is Insufficient**
```python
# PROBLEM: MAE alone gives an incomplete picture
print(f"MAE: {mean_absolute_error(y_test, y_pred):.4f}")
```
```python
# FIX: Report multiple relevant metrics
from sklearn.metrics import mean_squared_error, r2_score
import numpy as np
mae = mean_absolute_error(y_test, y_pred)
rmse = np.sqrt(mean_squared_error(y_test, y_pred))
r2 = r2_score(y_test, y_pred)
mape = np.mean(np.abs((y_test - y_pred) / y_test)) * 100
print(f"MAE:  {mae:.4f}")
print(f"RMSE: {rmse:.4f}")
print(f"R²:   {r2:.4f}")
print(f"MAPE: {mape:.2f}%")
```
---
### 6. **No Feature Scaling (Minor for Random Forest, Important for Extensibility)**
```python
# PROBLEM: No normalization applied
X = df[features]
```
```python
# FIX: Scale features — required if switching to models like SVR or neural nets
from sklearn.preprocessing import StandardScaler
scaler = StandardScaler()
X_train = scaler.fit_transform(X_train)  # Fit only on training data
X_test = scaler.transform(X_test)        # Transform test using train statistics
```
---
### 7. **No Error Handling for File Loading or Missing Columns**
```python
# PROBLEM: Will crash with unhelpful errors if file or columns are missing
df = pd.read_csv("stock_prices.csv")
X = df[features]
```
```python
# FIX: Validate early and fail with clear messages
import os
if not os.path.exists("stock_prices.csv"):
    raise FileNotFoundError("Dataset 'stock_prices.csv' not found.")
df = pd.read_csv("stock_prices.csv")
required_columns = features + ["close", "date"]
missing = [col for col in required_columns if col not in df.columns]
if missing:
    raise ValueError(f"Missing required columns: {missing}")
```
---
### Summary Table
| # | Issue | Severity |
|---|-------|----------|
| 1 | `moving_avg_7` data leakage | 🔴 Critical |
| 2 | `high`/`low` are intraday leakage | 🔴 Critical |
| 3 | No NaN handling | 🟠 High |
| 4 | No time-series cross-validation | 🟠 High |
| 5 | Single evaluation metric | 🟡 Medium |
| 6 | No feature scaling | 🟢 Low |
| 7 | No error handling | 🟡 Medium |
The most critical issues are the **data leakage problems**, which would make the model appear far more accurate than it actually is in production.</t>
  </si>
  <si>
    <t># Code Review: Stock Price Prediction
## Issues Found
### 1. **No Missing Value Handling** ⚠️ HIGH PRIORITY
```python
X = df[features]
y = df["close"]
```
**Problem:** The code doesn't check for or handle missing values. The `moving_avg_7` column likely has NaN values in the first 6 rows.
**Fix:**
```python
df = df.dropna()  # or df.fillna(method='ffill')
```
---
### 2. **No Feature Scaling** ⚠️ MEDIUM PRIORITY
**Problem:** While Random Forest is scale-invariant, mixing normalized and non-normalized features can affect:
- Feature importance interpretation
- Model training stability
- If the model is later replaced with gradient-based models
**Fix:**
```python
from sklearn.preprocessing import StandardScaler
scaler = StandardScaler()
X_train = scaler.fit_transform(X_train)
X_test = scaler.transform(X_test)
```
---
### 3. **Data Leakage from Time Series** ⚠️ CRITICAL
**Problem:** Using simple train/test split on time series data violates temporal ordering:
- Test set has information about past events
- Real-world stock prices cannot be predicted with future data
- Results are overly optimistic
**Fix:**
```python
# Use time-based split (no shuffle!)
split_index = int(len(df) * 0.8)
X_train, X_test = X.iloc[:split_index], X.iloc[split_index:]
y_train, y_test = y.iloc[:split_index], y.iloc[split_index:]
# Already correct, but add comment and consider cross-validation:
from sklearn.model_selection import TimeSeriesSplit
tscv = TimeSeriesSplit(n_splits=5)
for train_idx, test_idx in tscv.split(X):
    X_train, X_test = X.iloc[train_idx], X.iloc[test_idx]
    y_train, y_test = y.iloc[train_idx], y.iloc[test_idx]
```
---
### 4. **No Error Handling** ⚠️ MEDIUM PRIORITY
**Problem:** Multiple failure points without try-except:
- File doesn't exist
- CSV is malformed
- Required columns missing
- Features don't exist in dataframe
**Fix:**
```python
try:
    df = pd.read_csv("stock_prices.csv")
except FileNotFoundError:
    print("Error: stock_prices.csv not found")
    exit(1)
except Exception as e:
    print(f"Error reading CSV: {e}")
    exit(1)
# Validate required columns
required_cols = features + ["close", "date"]
if not all(col in df.columns for col in required_cols):
    print(f"Error: Missing required columns. Need: {required_cols}")
    exit(1)
```
---
### 5. **No Data Validation** ⚠️ MEDIUM PRIORITY
**Problem:** Assumes data quality without checking for:
- Duplicate dates
- Negative prices/volumes
- Outliers
- Sufficient data size
**Fix:**
```python
if df.shape[0] &lt; 100:
    print("Warning: Very small dataset")
if (df[["open", "high", "low", "close", "volume"]] &lt; 0).any().any():
    print("Error: Negative values in price/volume data")
if df.duplicated(subset=["date"]).any():
    print("Warning: Duplicate dates found")
```
---
### 6. **Arbitrary Hyperparameters** ⚠️ LOW-MEDIUM PRIORITY
**Problem:** Using default/arbitrary values without tuning:
```python
model = RandomForestRegressor(n_estimators=100, random_state=42)
```
**Fix:**
```python
from sklearn.model_selection import GridSearchCV
param_grid = {
    'n_estimators': [50, 100, 200],
    'max_depth': [10, 20, None],
    'min_samples_split': [2, 5, 10]
}
grid_search = GridSearchCV(RandomForestRegressor(random_state=42), 
                          param_grid, cv=5)
grid_search.fit(X_train, y_train)
model = grid_search.best_estimator_
```
---
### 7. **Single Metric Evaluation** ⚠️ LOW-MEDIUM PRIORITY
**Problem:** Only using MAE; doesn't show complete picture:
```python
print(f"MAE: {mean_absolute_error(y_test, y_pred):.4f}")
```
**Fix:**
```python
from sklearn.metrics import mean_absolute_error, mean_squared_error, r2_score
import numpy as np
mae = mean_absolute_error(y_test, y_pred)
rmse = np.sqrt(mean_squared_error(y_test, y_pred))
r2 = r2_score(y_test, y_pred)
print(f"MAE:  {mae:.4f}")
print(f"RMSE: {rmse:.4f}")
print(f"R²:   {r2:.4f}")
```
---
### 8. **No Feature Importance Analysis** ⚠️ LOW PRIORITY
**Problem:** Trained model but no insight into which features matter.
**Fix:**
```python
feature_importance = pd.DataFrame({
    'feature': features,
    'importance': model.feature_importances_
}).sort_values('importance', ascending=False)
print(feature_importance)
```
---
## Summary
| Issue | Severity | Type |
|-------|----------|------|
| Missing value handling | HIGH | Bug |
| Data leakage (time series) | CRITICAL | Logic Error |
| No error handling | MEDIUM | Robustness |
| No data validation | MEDIUM | Robustness |
| Feature scaling | MEDIUM | Best Practice |
| Single metric | MEDIUM | Analysis |
| Hyperparameter tuning | MEDIUM | Model Quality |
| Feature importance | LOW | Analysis |
**Recommended priority order:** Data leakage → Missing values → Error handling → Data validation → Everything else</t>
  </si>
  <si>
    <t>This Python code attempts to predict stock prices using a Random Forest Regressor. While it follows a general machine learning workflow, it has several critical issues, particularly regarding data leakage and feature engineering, which are common pitfalls in time series and financial modeling.
Here's a breakdown of the problems:
---
### Critical Issues (Bugs &amp; Major Flaws)
1.  **Future Data Leakage (Using Same-Day Features for Prediction):**
    *   **Problem:** The most severe issue. The model uses `open`, `high`, `low`, and `volume` of the *current day* to predict the `close` price of the *current day*. In a real-world scenario, when you want to predict the `close` price, you will *not* have access to the `high`, `low`, or `volume` for that entire day *before* the day ends or before the `close` price is known. You might have `open`, but `high`, `low`, and `volume` are realized throughout the day. This fundamentally breaks the predictive task, allowing the model to "see into the future" and will result in artificially excellent (but unrealistic) performance.
    *   **Explanation:** When you predict `close_today`, your features must only include information known *before* the market opens today (e.g., `close_yesterday`, `open_today`) or information accumulated *up to the point of prediction* (e.g., if predicting mid-day, then current volume, current highest, lowest, etc., but *not* the final day's high/low/volume).
    *   **Solution:** For predicting `close_today`, features should primarily be *lagged* values (e.g., `open_today`, `high_yesterday`, `low_yesterday`, `close_yesterday`, `volume_yesterday`, `moving_avg_7_yesterday`). If predicting `close_tomorrow`, all features must be from `today` or earlier.
2.  **Missing Feature: `moving_avg_7` Assumption:**
    *   **Problem:** The code assumes `moving_avg_7` is a column already present in `stock_prices.csv`. There is no code to calculate this feature.
    *   **Explanation:** If `moving_avg_7` is not in the CSV, the line `X = df[features]` will raise a `KeyError`. Even if it *is* in the CSV, it's a critical missing step in feature engineering. For time series, moving averages are typically calculated based on past data (e.g., a 7-day moving average of the `close` price).
    *   **Solution:** Explicitly calculate the `moving_avg_7` feature *before* using it, ensuring it only uses past data to avoid further leakage. For example: `df['moving_avg_7'] = df['close'].rolling(window=7, closed='left').mean()`. Using `closed='left'` ensures the current day's close is not included in its own MA.
---
### Important Issues (Bad Practices &amp; Improvements)
3.  **Lack of Lagged Features for Time Series Prediction:**
    *   **Problem:** For robust time series prediction, especially financial series, lagged versions of the target variable and other relevant features are crucial. The model currently only uses same-day features (which are leaky) and a moving average (which is assumed).
    *   **Explanation:** Past prices and volumes carry significant predictive power for future prices. Without them, the model is missing key temporal information.
    *   **Solution:** Create lagged features. For example:
        ```python
        df['close_lag_1'] = df['close'].shift(1)
        df['volume_lag_1'] = df['volume'].shift(1)
        # ... and so on for other relevant features
        ```
        Remember to handle the `NaN` values introduced by `shift()` (e.g., drop the first row, or fill with appropriate values).
4.  **No Handling for Missing Values (NaNs):**
    *   **Problem:** The code doesn't explicitly check for or handle missing values in the DataFrame (`df`).
    *   **Explanation:** Stock data can have missing entries. If `moving_avg_7` is calculated, the first `window-1` values will be `NaN`. If lagged features are added, the first `lag` values will be `NaN`. `RandomForestRegressor` can often handle `NaN`s internally to some extent (depending on the scikit-learn version and specific implementation details for categorical features), but it's generally best practice to explicitly deal with them (e.g., drop rows, impute) to ensure consistent behavior and avoid unexpected errors.
    *   **Solution:** Before defining `X` and `y`, consider:
        ```python
        df.dropna(inplace=True) # or df.fillna(...) for imputation
        ```
        This is especially important after creating lagged features or moving averages.
5.  **No Error Handling for File/Column Existence:**
    *   **Problem:** The script assumes "stock_prices.csv" exists and contains all required columns (`date`, `open`, `high`, `low`, `volume`, `close`, `moving_avg_7`).
    *   **Explanation:** If the file is missing or a column is misspelled/absent, the script will crash with an `IOError` or `KeyError`.
    *   **Solution:** Use `try-except` blocks for file operations and checks for column existence.
6.  **Limited Evaluation Metrics:**
    *   **Problem:** Only Mean Absolute Error (MAE) is reported.
    *   **Explanation:** While MAE is a good measure of average error, for financial prediction, other metrics can be more insightful. For instance, you might be interested in:
        *   **Directional Accuracy:** Did the model correctly predict if the price would go up or down?
        *   **R-squared:** How much variance in the target is explained by the model?
        *   **Simulated Trading Performance:** How would a simple trading strategy based on these predictions perform (e.g., Sharpe Ratio, cumulative returns)?
    *   **Solution:** Consider adding other relevant metrics, especially directional accuracy for stock price movement.
7.  **No Hyperparameter Tuning:**
    *   **Problem:** The `RandomForestRegressor` uses default `n_estimators=100` and `random_state=42`.
    *   **Explanation:** While `n_estimators=100` is a reasonable starting point, optimal performance for a Random Forest often requires tuning hyperparameters (e.g., `n_estimators`, `max_depth`, `min_samples_split`, `min_samples_leaf`).
    *   **Solution:** Implement hyperparameter tuning using techniques like GridSearchCV or RandomizedSearchCV, combined with a robust cross-validation strategy (e.g., TimeSeriesSplit).
8.  **Hardcoded Filename:**
    *   **Problem:** "stock_prices.csv" is hardcoded into the script.
    *   **Explanation:** This makes the script less flexible. If the filename changes, the code needs to be modified.
    *   **Solution:** Define the filename as a constant at the top of the script or pass it as an argument (e.g., using `argparse`).
9.  **Lack of Comments and Docstrings:**
    *   **Problem:** The code is functional but lacks comments explaining its steps or a docstring for the overall script.
    *   **Explanation:** This makes the code harder to understand, maintain, and debug for others or even for the original author after some time.
    *   **Solution:** Add comments to explain complex logic and a docstring at the top of the file to describe its purpose.
10. **Implicit Feature Scaling (Not an issue for RF, but good general awareness):**
    *   **Problem (for other models):** While Random Forests are tree-based and generally not sensitive to feature scaling, other models (like SVMs, neural networks, or even linear models) would require features to be scaled (e.g., using StandardScaler) for optimal performance.
    *   **Explanation:** It's a good practice to be aware of this, especially if experimenting with different model types.
---
### Revised Code Structure (Conceptual)
```python
import pandas as pd
from sklearn.ensemble import RandomForestRegressor
from sklearn.metrics import mean_absolute_error, r2_score
# from sklearn.model_selection import TimeSeriesSplit, GridSearchCV # for tuning
# --- Configuration ---
DATA_FILE = "stock_prices.csv"
TARGET_COLUMN = "close"
# --- 1. Data Loading ---
try:
    df = pd.read_csv(DATA_FILE)
except FileNotFoundError:
    print(f"Error: The file '{DATA_FILE}' was not found.")
    exit()
# --- 2. Initial Preprocessing ---
if "date" not in df.columns:
    print("Error: 'date' column not found in the CSV.")
    exit()
df["date"] = pd.to_datetime(df["date"])
df = df.sort_values("date").reset_index(drop=True)
# --- 3. Feature Engineering (Crucial for time series, avoiding leakage) ---
# Calculate moving average using ONLY PAST data
# closed='left' means the current row's date is not included in its own MA calculation
df['moving_avg_7'] = df['close'].rolling(window=7, closed='left').mean()
# Create lagged features for realistic prediction
# For predicting today's close, we use yesterday's data
df['close_lag_1'] = df['close'].shift(1)
df['open_lag_1'] = df['open'].shift(1)
df['high_lag_1'] = df['high'].shift(1)
df['low_lag_1'] = df['low'].shift(1)
df['volume_lag_1'] = df['volume'].shift(1)
df['moving_avg_7_lag_1'] = df['moving_avg_7'].shift(1)
# Add other potentially useful features (e.g., day of week, day of month)
df['day_of_week'] = df['date'].dt.dayofweek
df['day_of_month'] = df['date'].dt.day
# --- 4. Handle Missing Values (introduced by shifting and rolling) ---
# Drop rows where any of the engineered features or target are NaN
# This will remove the first few rows after shifting/rolling
original_rows = len(df)
df.dropna(inplace=True)
print(f"Dropped {original_rows - len(df)} rows due to NaN values.")
# --- 5. Define Features (X) and Target (y) ---
# Ensure NO same-day future information is used
features = [
    "open_lag_1", "high_lag_1", "low_lag_1", "volume_lag_1",
    "close_lag_1", "moving_avg_7_lag_1",
    "day_of_week", "day_of_month"
]
# Check if all features exist after preprocessing
missing_features = [f for f in features if f not in df.columns]
if missing_features:
    print(f"Error: The following features are missing after engineering: {missing_features}")
    exit()
X = df[features]
y = df[TARGET_COLUMN]
# --- 6. Train-Test Split (Time-Series Split) ---
split_index = int(len(df) * 0.8)
X_train, X_test = X.iloc[:split_index], X.iloc[split_index:]
y_train, y_test = y.iloc[:split_index], y.iloc[split_index:]
# --- 7. Model Training ---
model = RandomForestRegressor(n_estimators=100, random_state=42, n_jobs=-1) # n_jobs=-1 uses all cores
# Optional: Hyperparameter Tuning (example placeholder)
# tscv = TimeSeriesSplit(n_splits=5)
# param_grid = {'n_estimators': [50, 100, 200], 'max_depth': [None, 5, 10]}
# grid_search = GridSearchCV(model, param_grid, cv=tscv, scoring='neg_mean_absolute_error', n_jobs=-1)
# grid_search.fit(X_train, y_train)
# model = grid_search.best_estimator_
# print(f"Best hyperparameters: {grid_search.best_params_}")
model.fit(X_train, y_train)
# --- 8. Prediction ---
y_pred = model.predict(X_test)
# --- 9. Evaluation ---
mae = mean_absolute_error(y_test, y_pred)
r2 = r2_score(y_test, y_pred)
print(f"Mean Absolute Error (MAE): {mae:.4f}")
print(f"R-squared (R2): {r2:.4f}")
# Optional: Directional Accuracy
y_test_direction = (y_test.diff() &gt; 0).astype(int).dropna()
y_pred_direction = (pd.Series(y_pred, index=y_test.index).diff() &gt; 0).astype(int).dropna()
# Align indices for comparison, drop the first element as diff creates NaN
# For comparison, we need to shift y_test_direction and y_pred_direction by 1
# because y_pred and y_test are for day 't', and direction is for day 't' vs 't-1'
# The y_pred_direction is the predicted direction for the next day, assuming y_pred is the price for next day.
# Let's reconsider. If y_pred is the price of close for day 't', and y_test is the actual close for day 't'.
# Then we compare (y_pred[t] - y_test[t-1]) and (y_test[t] - y_test[t-1])
# We need previous day's close for directional accuracy. Let's use the actual previous close.
y_test_shifted = y_test.shift(1).dropna()
y_pred_series = pd.Series(y_pred, index=y_test.index)
y_pred_direction_calc = (y_pred_series[y_test_shifted.index] &gt; y_test_shifted).astype(int)
y_actual_direction_calc = (y_test[y_test_shifted.index] &gt; y_test_shifted).astype(int)
# This needs careful index alignment. Let's simplify and assume the 'lagged_close' is available in X_test.
# Or just compare sign of prediction error for a simpler view.
# A proper directional accuracy would compare `(y_pred - X_test['close_lag_1'])` with `(y_test - X_test['close_lag_1'])`.
# For simplicity for this review, let's use the basic predicted vs actual value comparison's sign.
correct_direction = ( (y_pred_series &gt; y_test.shift(1)) == (y_test &gt; y_test.shift(1)) ).dropna().sum()
total_direction_predictions = ( (y_pred_series &gt; y_test.shift(1)) == (y_test &gt; y_test.shift(1)) ).dropna().count()
# The above will count for y_test[t] vs y_test[t-1] and y_pred[t] vs y_test[t-1]
# For robustness, ensure indices align
y_test_prev = y_test.shift(1)
valid_indices = y_test.index.intersection(y_test_prev.index)
directional_accuracy = ( (y_pred_series[valid_indices] &gt; y_test_prev[valid_indices]) == (y_test[valid_indices] &gt; y_test_prev[valid_indices]) ).mean()
print(f"Directional Accuracy: {directional_accuracy:.4f}")
# --- 10. (Optional) Feature Importance ---
# importances = model.feature_importances_
# feature_names = X.columns
# feature_importances_df = pd.DataFrame({'feature': feature_names, 'importance': importances})
# print("\nFeature Importances:")
# print(feature_importances_df.sort_values(by='importance', ascending=False))
```</t>
  </si>
  <si>
    <t>The provided Python machine learning pipeline code contains data leakage issues related to the computation of the `moving_avg_7` feature.
### Data Leakage Issue:
1. **Moving Average Feature (`moving_avg_7`)**: 
    - The `moving_avg_7` feature appears to be a moving average of the stock prices. If this feature is computed using future prices that aren't available at the prediction time, it leads to data leakage.
    - Assuming `moving_avg_7` is calculated as a backward-looking average of the `close` prices over the last 7 days, the problem can arise if the calculation uses future information at any point after a test set split is made.
2. **Point of Leakage**:
    - If `moving_avg_7` was calculated using all available data ahead of splitting into train and test sets and includes future test data information, then this creates data leakage as the test set information infiltrates the training data.
    - For each sample in the test set, this feature should only include past information available up to that sample's date. If the calculation (possibly done outside this code snippet) includes future dates for each test sample, it results in leakage.
### Recommendations:
- Ensure `moving_avg_7` is computed in a way that strictly uses past data available at each respective time point up until that date (i.e., before the day being predicted) when preparing the dataset.
- Recompute `moving_avg_7` after splitting into train and test sets, using only past data points within each split respectively. This might involve recalculating such features using a rolling window that respects the split's index boundaries.
If the `moving_avg_7` feature was correctly computed with only past data per each date and before any train-test split with proper handling, then the script would not contain data leakage in terms of feature engineering related to target leakage. Nonetheless, due diligence to address possible concerns around the handling of this feature in practical usage should always be maintained.</t>
  </si>
  <si>
    <t>Upon reviewing the provided Python machine learning pipeline code, I can confirm that it contains potential forms of data leakage, specifically regarding the feature `moving_avg_7`. 
### Explanation of Data Leakage:
1. **Feature `moving_avg_7`**:
   - The `moving_avg_7` feature likely represents a 7-day moving average of some variable, such as the stock price. If this feature is computed using the entire dataset (i.e., using both the training and test sets together), then it will indeed contain information from the future (the test set) when it is included in the training dataset.
   - For example, if you're calculating the moving average for a given day using the past 7 days, the calculation of this moving average must exclude any data points from the future. If only the training data is used — i.e., dates prior to the test set — then it is valid. However, if the moving average calculation inadvertently includes rows from the test set, this results in data leakage. 
### Why This is a Problem:
Data leakage undermines the integrity of the model's training process and leads to overly optimistic performance estimates during evaluation. By using information from the test set during the training phase (or through the features created from that set), the model may perform exceptionally well during testing but will likely fail to generalize to unseen data in production.
### Recommendations:
1. **Recalculate `moving_avg_7`**:
   - Ensure that the moving average is calculated only on the training data before splitting the dataset into train and test sets.
   - You can calculate moving averages using a rolling window method on `X_train` alone and then apply the same logic sequentially to produce the value for the test set without including any future data points.
2. **Split Before Feature Engineering**:
   - Perform the data split (train-test) before calculating any features that could potentially cause leakage, ensuring that all features are derived solely from the training data.
By addressing the feature creation process and ensuring that no future data points are included when forming features, you can effectively eliminate the risk of data leakage from this pipeline.</t>
  </si>
  <si>
    <t>## Data Leakage Analysis
This code contains **multiple data leakage issues**. Here is a detailed breakdown:
---
### Problem 1: `moving_avg_7` Is Computed Before the Train/Test Split (Implied Leakage)
The most critical issue is the `moving_avg_7` feature. Although its computation isn't shown, it is almost certainly calculated over the **entire dataset before splitting**.
**Why this is a problem:**
For any row near the split boundary, a 7-day moving average calculated on the full dataset would incorporate future values that would not be available at prediction time. For example, a row on day *t* that falls just before the split point would have its `moving_avg_7` partially computed using days *t+1* through *t+6*, which belong to the test set.
**What correct code looks like:**
```python
# WRONG: computed on full dataset before split
df["moving_avg_7"] = df["close"].rolling(window=7).mean()
# RIGHT: split first, then compute only on training data
# and apply the same transformation to test data using only past values
split_index = int(len(df) * 0.8)
train_df = df.iloc[:split_index].copy()
test_df = df.iloc[split_index:].copy()
# Compute on the full sorted dataframe but AFTER acknowledging
# that rolling naturally looks backward — verify no future data bleeds in
combined = pd.concat([train_df, test_df])
combined["moving_avg_7"] = combined["close"].rolling(window=7).mean()
```
---
### Problem 2: `high`, `low`, and `open` May Encode the Target
The features `high`, `low`, and `open` are **same-day values** relative to the target `close`.
```python
features = ["open", "high", "low", "volume", "moving_avg_7"]
y = df["close"]  # same-day close price
```
**Why this is a problem:**
In a realistic prediction scenario, you are trying to predict the **closing price** before the market closes. The same-day `high` and `low` values are not fully known until the market closes — the same moment `close` is determined. Using them as features means the model learns from information it would not have at actual prediction time.
`open` is available at market open and is legitimate, but `high` and `low` are problematic.
---
### Problem 3: No Scaling Pipeline Fitted Only on Training Data
While `RandomForestRegressor` does not require scaling, this is worth noting as a general structural concern. If a scaler were added, it **must** be fit only on training data:
```python
# WRONG pattern (if scaling were used)
scaler.fit(X)  # fits on all data including test set
# RIGHT pattern
scaler.fit(X_train)  # fits only on training data
X_train_scaled = scaler.transform(X_train)
X_test_scaled = scaler.transform(X_test)
```
---
### Summary Table
| Issue | Location | Leakage Type |
|---|---|---|
| `moving_avg_7` uses full dataset | Feature engineering before split | Future data leakage |
| `high` / `low` same-day values | Feature selection | Target-encoding leakage |
| No temporal cross-validation | Model evaluation | Optimistic evaluation bias |
---
### Recommended Fix
```python
import pandas as pd
from sklearn.ensemble import RandomForestRegressor
from sklearn.metrics import mean_absolute_error
df = pd.read_csv("stock_prices.csv")
df["date"] = pd.to_datetime(df["date"])
df = df.sort_values("date").reset_index(drop=True)
# Step 1: Split BEFORE any feature engineering
split_index = int(len(df) * 0.8)
# Step 2: Use only truly available features at prediction time
# Exclude same-day high/low as they aren't known before market close
# Use PREVIOUS day's values instead
df["prev_high"] = df["high"].shift(1)
df["prev_low"] = df["low"].shift(1)
df["prev_close"] = df["close"].shift(1)
# Step 3: Compute rolling features — rolling() is backward-looking by default,
# but must be computed on the full sorted series to be correct;
# however, verify no NaN-filling uses future data
df["moving_avg_7"] = df["close"].shift(1).rolling(window=7).mean()
# shift(1) ensures we only use PAST closes, not today's close
df = df.dropna()  # remove rows with NaN from rolling/shifting
features = ["open", "prev_high", "prev_low", "volume", "moving_avg_7"]
X = df[features]
y = df["close"]
# Recompute split after dropna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The core principle: **any information used as a feature must be provably available at the time a real prediction would be made**, and **no statistics should be computed using test set data**.</t>
  </si>
  <si>
    <t># Data Leakage Review
## **CRITICAL DATA LEAKAGE FOUND**
This code contains **data leakage** in the feature engineering step. Here's the problem:
### The Issue: `moving_avg_7`
The `moving_avg_7` feature (a 7-day moving average) is computed on the **entire dataset** before the train-test split:
```python
df["moving_avg_7"]  # ← computed on full df before splitting
X = df[features]
split_index = int(len(df) * 0.8)
X_train, X_test = X.iloc[:split_index], X.iloc[split_index:]
```
**Why this is leakage:**
For any test sample at position `t`, its 7-day moving average includes information from up to **7 days into the future** (relative to that point). This means:
1. **Test data information enters training**: The moving average values in `X_test` were computed using data from the entire dataset, including future prices beyond the test period.
2. **Unavailable at prediction time**: In a real production scenario, you cannot compute a 7-day moving average for a date without having the next 7 days of data. You'd only have historical data available.
3. **Inflated performance**: The model learns to exploit future information, producing unrealistically optimistic evaluation metrics.
### How to Fix It
Compute `moving_avg_7` **after** the train-test split:
```python
# Create features BEFORE splitting
df["date"] = pd.to_datetime(df["date"])
df = df.sort_values("date")
split_index = int(len(df) * 0.8)
df_train = df.iloc[:split_index].copy()
df_test = df.iloc[split_index:].copy()
# Compute moving average separately for train and test
df_train["moving_avg_7"] = df_train["close"].rolling(window=7, min_periods=1).mean()
df_test["moving_avg_7"] = df_test["close"].rolling(window=7, min_periods=1).mean()
features = ["open", "high", "low", "volume", "moving_avg_7"]
X_train = df_train[features]
X_test = df_test[features]
y_train = df_train["close"]
y_test = df_test["close"]
model = RandomForestRegressor(n_estimators=100, random_state=42)
model.fit(X_train, y_train)
y_pred = model.predict(X_test)
print(f"MAE: {mean_absolute_error(y_test, y_pred):.4f}")
```
This ensures each moving average only uses data available up to that point in time.</t>
  </si>
  <si>
    <t>The provided Python machine learning pipeline code **contains a potential form of data leakage**, specifically related to the `moving_avg_7` feature.
Here's a breakdown:
**Where the data leakage occurs:**
The potential data leakage occurs with the feature `moving_avg_7`. The code snippet does not show how this feature is calculated. However, in the context of stock price prediction, a "moving average" feature (especially if it refers to the closing price, which is your target `y`) is a very common source of leakage if not handled carefully.
1.  **If `moving_avg_7` is a simple moving average of the `close` price (your target variable) that includes the current day's `close` price:**
    *   Example calculation (if it were in the code): `df["moving_avg_7"] = df["close"].rolling(window=7).mean()`
    *   **Why it's a problem:** When you train your model for a given day `N`, the `moving_avg_7` for day `N` would include the `close` price of day `N` itself (and `N-1` through `N-6`). This means your model is using the very value it's trying to predict as an input feature during training. This is a direct form of target leakage.
    *   **Why it wouldn't be available at prediction time:** When you go to predict the `close` price for tomorrow (or any future day `N`), you would not know the actual `close` price for day `N` yet. Therefore, you couldn't calculate `moving_avg_7` for day `N` using day `N`'s `close` price. The feature you trained on (which included `close` for the current day) would not be available in the same form at inference time.
2.  **Even if `moving_avg_7` is a moving average of `open`, `high`, `low`, or `volume`, and it's calculated using a "forward-looking" window (e.g., a centered moving average or one that includes future values):**
    *   **Why it's a problem:** If the calculation for `moving_avg_7` for a particular row `i` involves data from rows `i+1`, `i+2`, etc., then even though the train-test split is chronological, the feature itself would embed information from the future (relative to that row) into your training data. This is less common for standard rolling means but important to consider.
    *   **Why it wouldn't be available at prediction time:** At prediction time for day `N`, you would only have historical data up to day `N-1`. Any feature that requires data from day `N` or later would not be available.
**Specific Code Observation:**
The line `features = ["open", "high", "low", "volume", "moving_avg_7"]` simply selects the feature. The critical missing piece is the *definition* of `moving_avg_7`. Without seeing how `df["moving_avg_7"]` is created, we must assume the most common (and problematic) interpretation for a stock prediction task.
**Other parts of the code (which are good):**
*   **Time-series sorting:** `df = df.sort_values("date")` is crucial for time-series data.
*   **Chronological train-test split:** `X.iloc[:split_index], X.iloc[split_index:]` correctly splits the data chronologically, ensuring that the training set only contains historical data relative to the test set. This prevents a common form of test-set leakage in time-series problems.
*   **Model training and evaluation:** The model is trained on `X_train` and evaluated on `X_test`, which is standard and correct, assuming the features themselves are clean.
**How to fix the data leakage for `moving_avg_7` (assuming it's a moving average of `close`):**
To ensure `moving_avg_7` is a valid feature available at prediction time and doesn't leak target information, you should calculate it as a *lagged* moving average of the `close` price (or another relevant feature), meaning it only uses *past* data relative to the current row:
```python
import pandas as pd
from sklearn.ensemble import RandomForestRegressor
from sklearn.metrics import mean_absolute_error
df = pd.read_csv("stock_prices.csv")
df["date"] = pd.to_datetime(df["date"])
df = df.sort_values("date")
# --- FIX FOR DATA LEAKAGE ---
# Calculate moving_avg_7 as a LAG of the previous 7 days' closing prices.
# This ensures that for a given day N, moving_avg_7 uses data from N-7 to N-1,
# which would be available when predicting for day N.
df["moving_avg_7"] = df["close"].rolling(window=7, closed='left').mean()
# Using closed='left' means the window ends at the day *before* the current row.
# Alternatively, calculate with default 'right' and then shift:
# df["moving_avg_7"] = df["close"].rolling(window=7).mean().shift(1)
# Drop NaN values introduced by rolling window at the beginning of the DataFrame
df.dropna(subset=["moving_avg_7"], inplace=True)
# --- END FIX ---
features = ["open", "high", "low", "volume", "moving_avg_7"]
X = df[features]
y = df["close"]
split_index = int(len(df) * 0.8)
X_train, X_test = X.iloc[:split_index], X.iloc[split_index:]
y_train, y_test = y.iloc[:split_index], y.iloc[split_index:]
model = RandomForestRegressor(n_estimators=100, random_state=42)
model.fit(X_train, y_train)
y_pred = model.predict(X_test)
print(f"MAE: {mean_absolute_error(y_test, y_pred):.4f}")
```
By using `closed='left'` (or `shift(1)`), the `moving_avg_7` for a given day N would be the average of `close` prices from day N-7 to N-1, which would be known at the time of predicting day N's `close` price, thus preventing leakage.</t>
  </si>
  <si>
    <t>The provided Python code, which uses `pandas` and `scikit-learn` to build a logistic regression model, generally looks correct and follows decent practices. However, there are several areas where potential issues and improvements can be identified:
1. **Data Preprocessing:**
   - **Handling Missing Values:** The code does not account for missing values in the dataset. If there are any NaNs in the input data, it could result in errors or unreliable model results. You should check for and handle missing values appropriately before training the model.
   - **Feature Scaling:** Logistic regression can benefit from feature scaling, such as standardization or normalization, especially when features have different units or scales. Consider using `StandardScaler` or a similar scaler from `sklearn.preprocessing` to scale the features.
2. **Checking for Categorical Variables:**
   - If there are any categorical variables in the features list, you need to convert them to a numerical representation using one-hot encoding or similar methods. The current code assumes all features are numeric.
3. **Model Parameters:**
   - **Hyperparameter Tuning:** The Logistic Regression model uses default hyperparameters, which might not be optimal. Consider using techniques like cross-validation and grid search (using `GridSearchCV`) to find the best hyperparameters for the model.
4. **Output and Result Interpretation:**
   - **Informative Output:** The code prints only the accuracy score. In a binary classification task like this, it is often useful to look at additional metrics, such as precision, recall, F1-score, and the confusion matrix. These can give more insight into the model's performance.
   - **Thresholds:** Logistic regression outputs probabilities. The default threshold for the `predict` method is 0.5. It might be beneficial to investigate if a different threshold provides better results for the business context.
5. **Improvement in Logging and Debugging:**
   - **Logging:** Currently, the code uses `print` statements for outputting results. For larger applications, consider using Python's `logging` module to provide better control over the logging levels and outputs.
6. **Error Handling:**
   - **Exceptions:** There is no error handling. It could be beneficial to wrap data loading and model training in try-except blocks to catch exceptions and handle them gracefully, especially for file reading (`pd.read_csv`) and model training (`model.fit`).
By addressing these points, the robustness and reliability of the code can be significantly improved, especially when used in real-world applications with diverse datasets.</t>
  </si>
  <si>
    <t>The provided Python code has several issues, potential pitfalls, and areas for improvement. Here's a review of those problems:
1. **Data Validation**: 
   - **Issue**: The code does not check whether the CSV file exists or contains the required columns before proceeding with data processing and model training.
   - **Explanation**: If "loans.csv" doesn't exist or if the expected columns (features and target) are missing, the code will raise an error. It's a good practice to validate input data and handle exceptions appropriately.
2. **Feature Handling**: 
   - **Issue**: There is no preprocessing applied to the features.
   - **Explanation**: Features like `income`, `credit_score`, and `loan_amount` may need scaling, and categorical variables should be encoded. Since the code does not address these potential data preprocessing requirements, it may lead to poor model performance or errors if the data types are incompatible with `LogisticRegression`.
3. **Missing Values**: 
   - **Issue**: The code does not handle missing values in the dataset.
   - **Explanation**: If any of the selected features or the target variable (`defaulted`) contains NaN values, the model training will fail. It’s crucial to clean the data before model fitting, by either removing or imputing missing values.
4. **Model Evaluation**: 
   - **Issue**: Model evaluation is only done using accuracy score.
   - **Explanation**: Using accuracy alone can be misleading, especially if the dataset is imbalanced (e.g., many more non-defaulted loans than defaulted ones). It's better to evaluate models using other metrics like precision, recall, F1-score, and AUC-ROC.
5. **Logging and Output Handling**: 
   - **Issue**: The accuracy is printed directly to the console without using any logging methods.
   - **Explanation**: For better maintainability and debugging purposes, using a logging framework would be preferable instead of printing directly to the console. This would help track information in production environments.
6. **Model and Feature Selection**: 
   - **Issue**: There is no mechanism for feature selection.
   - **Explanation**: The decision to include specific features is hardcoded without any prior feature importance assessment or correlation analysis. It might be useful to analyze feature importance or test which features contribute most to the model's predictions.
7. **Hard-coded File Name**: 
   - **Issue**: The CSV file name is hard-coded.
   - **Explanation**: For flexibility and code reuse, consider passing the file name as a parameter or using a configuration file.
8. **No Pipeline for Processing**: 
   - **Issue**: There is no use of machine learning pipelines.
   - **Explanation**: Using `sklearn.pipeline.Pipeline` to bundle preprocessing and model fitting would enhance maintainability and ensure that the same preprocessing is applied during both model training and inference.
9. **No Random State**: 
   - **Issue**: While a random state is set for train-test splitting, it’s not used in the `LogisticRegression` or any cross-validation.
   - **Explanation**: Consider using consistent random states for model training and evaluation to ensure reproducibility.
Here’s how the code could be improved by addressing some of these issues:
```python
import pandas as pd
from sklearn.model_selection import train_test_split
from sklearn.linear_model import LogisticRegression
from sklearn.metrics import accuracy_score, classification_report
from sklearn.preprocessing import StandardScaler
# Load the dataset with error handling
try:
    df = pd.read_csv("loans.csv")
except FileNotFoundError:
    raise Exception("The file 'loans.csv' was not found. Please check the path.")
# Validate the required columns
required_columns = ["income", "credit_score", "loan_amount", "employment_years", "collection_recovery_fee", "defaulted"]
if not all(column in df.columns for column in required_columns):
    raise Exception("The dataset must contain the required columns.")
# Handle missing values
if df.isnull().any().any():
    df = df.dropna()  # or use imputation methods to fill missing values
features = [
    "income", "credit_score", "loan_amount",
    "employment_years", "collection_recovery_fee"
]
X = df[features]
y = df["defaulted"]
# Split the data
X_train, X_test, y_train, y_test = train_test_split(
    X, y, test_size=0.2, random_state=42
)
# Scale the features
scaler = StandardScaler()
X_train = scaler.fit_transform(X_train)
X_test = scaler.transform(X_test)
# Train the model
model = LogisticRegression(max_iter=1000)
model.fit(X_train, y_train)
y_pred = model.predict(X_test)
# Evaluate the model
print(f"Accuracy: {accuracy_score(y_test, y_pred):.4f}")
print(classification_report(y_test, y_pred))
```
By making these adjustments, the code would become more robust and better suited for practical applications.</t>
  </si>
  <si>
    <t>## Code Review: Loan Default Prediction
Overall the code is functional and follows a recognizable ML pipeline pattern, but it has several significant issues ranging from data quality concerns to modeling problems, some of which could lead to silently wrong results.
---
### 1. No Data Validation After Loading
```python
# Current code - blind trust in the CSV
df = pd.read_csv("loans.csv")
# Better approach
df = pd.read_csv("loans.csv")
print(df.shape)
print(df.dtypes)
print(df.isnull().sum())
assert not df.empty, "DataFrame is empty"
assert "defaulted" in df.columns, "Target column missing"
```
**Problem:** There is no check that the file loaded successfully with expected content. The file could be empty, malformed, or missing expected columns, and the code would fail with a cryptic error much later in execution.
---
### 2. Missing Value Handling Absent
```python
# Current code - silently produces NaN-contaminated data
X = df[features]
# Better approach
print(f"Missing values:\n{df[features].isnull().sum()}")
# Option A: Drop rows with missing values
df = df.dropna(subset=features + ["defaulted"])
# Option B: Impute missing values
from sklearn.impute import SimpleImputer
imputer = SimpleImputer(strategy="median")
X = imputer.fit_transform(X_train)  # fit only on training data
```
**Problem:** `LogisticRegression` will raise a `ValueError` if `X` contains `NaN` values, but more dangerously, some preprocessing steps can silently propagate `NaN` values, producing wrong predictions. Real loan datasets almost always have missing values.
---
### 3. Data Leakage via Preprocessing Before Split
```python
# Current code - split happens AFTER feature selection, which is fine here,
# but any preprocessing applied to X before the split causes leakage
X = df[features]
y = df["defaulted"]
X_train, X_test, y_train, y_test = train_test_split(X, y, test_size=0.2)
# Better approach - use a Pipeline to prevent leakage
from sklearn.pipeline import Pipeline
from sklearn.preprocessing import StandardScaler
from sklearn.impute import SimpleImputer
pipeline = Pipeline([
    ("imputer", SimpleImputer(strategy="median")),
    ("scaler", StandardScaler()),
    ("model", LogisticRegression(max_iter=1000))
])
pipeline.fit(X_train, y_train)
y_pred = pipeline.predict(X_test)
```
**Problem:** While this specific code avoids the most obvious leakage, there is no scaling applied (see issue 4), and any future addition of preprocessing before the split would cause leakage. Using a `Pipeline` enforces correct ordering and prevents this class of bug.
---
### 4. No Feature Scaling for Logistic Regression
```python
# Current code - unscaled features fed directly to model
model = LogisticRegression(max_iter=1000)
model.fit(X_train, y_train)
# Better approach
from sklearn.preprocessing import StandardScaler
scaler = StandardScaler()
X_train_scaled = scaler.fit_transform(X_train)  # fit only on training data
X_test_scaled = scaler.transform(X_test)         # transform only, no fit
model = LogisticRegression(max_iter=1000)
model.fit(X_train_scaled, y_train)
y_pred = model.predict(X_test_scaled)
```
**Problem:** Logistic Regression uses gradient-based optimization and is sensitive to feature scale. `income` might be in the tens of thousands while `employment_years` is in single digits. Without scaling, convergence is slower, the `max_iter` limit may be hit prematurely, and the learned coefficients are not meaningfully comparable.
---
### 5. Accuracy Is a Misleading Metric for Loan Default
```python
# Current code - single metric, likely misleading
print(f"Accuracy: {accuracy_score(y_test, y_pred):.4f}")
# Better approach - use metrics suited to imbalanced classification
from sklearn.metrics import (
    classification_report,
    confusion_matrix,
    roc_auc_score,
    ConfusionMatrixDisplay
)
print(classification_report(y_test, y_pred, target_names=["No Default", "Default"]))
print(f"ROC-AUC: {roc_auc_score(y_test, model.predict_proba(X_test)[:, 1]):.4f}")
cm = confusion_matrix(y_test, y_pred)
ConfusionMatrixDisplay(cm).plot()
```
**Problem:** Loan default datasets are typically heavily imbalanced (e.g., 95% non-default). A model that predicts "no default" for every borrower would achieve 95% accuracy while being completely useless. Precision, recall, F1, and ROC-AUC are far more informative metrics here.
---
### 6. Suspicious Feature: `collection_recovery_fee`
```python
features = [
    "income", "credit_score", "loan_amount",
    "employment_years", "collection_recovery_fee"  # red flag
]
```
**Problem:** `collection_recovery_fee` is a fee charged *after* a loan has gone into collection, meaning it is a consequence of defaulting, not a predictor of it. Including it is a form of target leakage — the model learns a shortcut that will not exist at prediction time (when you are trying to predict future defaults). This would produce artificially high performance metrics that completely collapse in production.
---
### 7. No Cross-Validation
```python
# Current code - single train/test split
X_train, X_test, y_train, y_test = train_test_split(X, y, test_size=0.2, random_state=42)
# Better approach
from sklearn.model_selection import StratifiedKFold, cross_val_score
cv = StratifiedKFold(n_splits=5, shuffle=True, random_state=42)
scores = cross_val_score(pipeline, X, y, cv=cv, scoring="roc_auc")
print(f"CV ROC-AUC: {scores.mean():.4f} ± {scores.std():.4f}")
```
**Problem:** A single split gives a high-variance estimate of model performance. The `random_state=42` makes results reproducible but not necessarily representative. Stratified K-Fold cross-validation gives a more reliable performance estimate and is especially important with imbalanced classes, since `StratifiedKFold` preserves the class ratio in each fold.
---
### 8. Class Imbalance Not Addressed in Model
```python
# Current code - model unaware of class imbalance
model = LogisticRegression(max_iter=1000)
# Better approach
model = LogisticRegression(max_iter=1000, class_weight="balanced")
# Or use resampling
from imblearn.over_sampling import SMOTE
smote = SMOTE(random_state=42)
X_train_resampled, y_train_resampled = smote.fit_resample(X_train, y_train)
```
**Problem:** Without addressing class imbalance, the model is implicitly optimized to predict the majority class. The `class_weight="balanced"` parameter makes `LogisticRegression` automatically adjust weights inversely proportional to class frequencies, with no extra code needed.
---
### Summary Table
| # | Issue | Severity | Impact |
|---|-------|----------|--------|
| 1 | No data validation | Medium | Runtime errors |
| 2 | Missing value handling | High | Errors or silent wrong results |
| 3 | No Pipeline for leakage prevention | Medium | Future leakage risk |
| 4 | No feature scaling | High | Poor convergence, wrong coefficients |
| 5 | Accuracy as sole metric | High | Misleading evaluation |
| 6 | Target leakage via recovery fee | Critical | Useless in production |
| 7 | No cross-validation |</t>
  </si>
  <si>
    <t># Code Review: Issues and Problems
## 1. **No Data Validation or Error Handling** ⚠️
**Severity: High**
```python
df = pd.read_csv("loans.csv")
```
- No check if the file exists
- No error handling for malformed CSV
- No verification that required columns exist
- Missing values not checked before model training
**Fix:**
```python
try:
    df = pd.read_csv("loans.csv")
    if df.empty:
        raise ValueError("CSV file is empty")
except FileNotFoundError:
    print("Error: loans.csv not found")
    exit(1)
except Exception as e:
    print(f"Error reading CSV: {e}")
    exit(1)
# Check for required columns
required_cols = features + ["defaulted"]
missing_cols = [col for col in required_cols if col not in df.columns]
if missing_cols:
    raise ValueError(f"Missing columns: {missing_cols}")
```
---
## 2. **No Feature Scaling** ⚠️
**Severity: Medium**
LogisticRegression performs better with scaled features, especially when features have different units/ranges (income vs. credit_score).
**Fix:**
```python
from sklearn.preprocessing import StandardScaler
scaler = StandardScaler()
X_train_scaled = scaler.fit_transform(X_train)
X_test_scaled = scaler.transform(X_test)
model.fit(X_train_scaled, y_train)
y_pred = model.predict(X_test_scaled)
```
---
## 3. **Missing Data Handling** ⚠️
**Severity: High**
No check for NaN/null values. If present, `model.fit()` will raise an error.
**Fix:**
```python
# Check for missing values
print(df[features + ["defaulted"]].isnull().sum())
# Handle missing values (example strategies)
X = df[features].fillna(X[features].mean())  # or drop rows
y = df["defaulted"].dropna()
```
---
## 4. **Insufficient Model Evaluation** ⚠️
**Severity: Medium**
Using only accuracy is problematic:
- Accuracy is misleading with imbalanced datasets
- No insight into precision, recall, or confusion matrix
- No cross-validation
**Fix:**
```python
from sklearn.metrics import (
    accuracy_score, precision_score, recall_score, 
    f1_score, confusion_matrix, classification_report
)
print(f"Accuracy:  {accuracy_score(y_test, y_pred):.4f}")
print(f"Precision: {precision_score(y_test, y_pred):.4f}")
print(f"Recall:    {recall_score(y_test, y_pred):.4f}")
print(f"F1-Score:  {f1_score(y_test, y_pred):.4f}")
print("\nConfusion Matrix:")
print(confusion_matrix(y_test, y_pred))
print("\nClassification Report:")
print(classification_report(y_test, y_pred))
```
---
## 5. **No Feature Engineering or EDA** ⚠️
**Severity: Medium**
- No exploration of data distribution
- No check for outliers
- No correlation analysis
- No feature importance validation
**Fix:**
```python
print(df.describe())
print(df[features].corr())
print(f"Target distribution:\n{df['defaulted'].value_counts()}")
```
---
## 6. **Hardcoded File Path** 🔴
**Severity: Low**
Makes code non-portable and difficult to test.
**Fix:**
```python
import os
from pathlib import Path
data_path = Path(__file__).parent / "loans.csv"
df = pd.read_csv(data_path)
```
---
## 7. **No Class Imbalance Handling** ⚠️
**Severity: Medium**
If the dataset has imbalanced classes, the model may be biased.
**Fix:**
```python
model = LogisticRegression(
    max_iter=1000,
    class_weight='balanced'  # Adjust for imbalanced data
)
```
---
## 8. **Hard-coded Hyperparameters** 🟡
**Severity: Low**
`max_iter=1000` is arbitrary. No hyperparameter tuning.
**Fix:**
```python
from sklearn.model_selection import GridSearchCV
param_grid = {
    'C': [0.001, 0.01, 0.1, 1, 10],
    'max_iter': [500, 1000, 2000]
}
grid_search = GridSearchCV(
    LogisticRegression(),
    param_grid,
    cv=5
)
grid_search.fit(X_train_scaled, y_train)
model = grid_search.best_estimator_
```
---
## Summary Table
| Issue | Severity | Impact |
|-------|----------|--------|
| No error handling | High | Runtime crash |
| Missing data not handled | High | Runtime crash |
| No feature scaling | Medium | Poor model performance |
| Only accuracy metric | Medium | Misleading results |
| No EDA | Medium | Missed insights |
| No class imbalance handling | Medium | Biased predictions |
| Hard-coded paths | Low | Non-portable |
| No hyperparameter tuning | Low | Suboptimal model |</t>
  </si>
  <si>
    <t>This Python code provides a basic framework for training a Logistic Regression model to predict loan defaults. While it demonstrates the fundamental steps, it has several issues, bugs, and bad practices common in initial machine learning scripts.
Here's a breakdown of the problems:
---
### Issues, Bugs, and Bad Practices:
1.  **No Data Exploration or Understanding:**
    *   **Problem:** The code jumps straight into model training without any preliminary exploration of the dataset (`loans.csv`). This is a critical first step in any ML project.
    *   **Why it's bad:**
        *   We don't know the **shape** of the data, the **data types** of columns, or if there are **missing values**.
        *   We don't know the **distribution** of features or the target variable (`defaulted`).
        *   Without understanding the data, feature selection (`features` list) is arbitrary and could include irrelevant or problematic columns.
    *   **Example missing code:** `df.head()`, `df.info()`, `df.describe()`, `df.isnull().sum()`.
2.  **Missing Value Handling:**
    *   **Problem:** There's no code to handle missing values (`NaN`s) in the DataFrame.
    *   **Why it's bad:** If `X` or `y` contain `NaN` values, `sklearn` estimators (like `LogisticRegression`) will raise an error during `fit()` because they expect numerical input with no missing data.
    *   **Solution:** Before `train_test_split`, one should use methods like `df.dropna()`, `df.fillna()`, or more sophisticated imputation techniques.
3.  **No Feature Scaling:**
    *   **Problem:** Logistic Regression, like many other linear models, can be sensitive to the scale of features. The code directly uses raw feature values.
    *   **Why it's bad:** Features like `income` (e.g., thousands to hundreds of thousands) will have a much larger magnitude than `credit_score` (e.g., 300-850) or `employment_years` (e.g., 0-50). This can cause the optimization algorithm (gradient descent) to converge slowly or give disproportionate importance to features with larger scales, even if they are not more predictive.
    *   **Solution:** Apply a scaling technique like `StandardScaler` or `MinMaxScaler` to `X_train` and `X_test` *after* the train-test split.
4.  **Potential Data Leakage with `collection_recovery_fee`:**
    *   **Problem:** The feature `collection_recovery_fee` sounds like an event that occurs *after* a loan has already defaulted and entered collections.
    *   **Why it's bad:** If this fee is only charged *after* a default, then using it as a predictor for default is a form of data leakage. It essentially tells the model the answer ("this loan defaulted and went to collections, so it defaulted"). This would lead to an artificially inflated accuracy score and a model that would perform poorly on truly new, unseen loan applications *before* any default events or collection actions have occurred.
    *   **Solution:** Carefully consider the timing and meaning of features. If this fee is indeed post-default, it should be removed from the features list for predicting *initial* default risk.
5.  **Implicit Assumption of Numerical Features (No Categorical Handling):**
    *   **Problem:** The code assumes all features in the `features` list are numerical and ready for use.
    *   **Why it's bad:** If the `loans.csv` file contains categorical features (e.g., 'loan_type', 'education_level') that are not numerical, they would need to be encoded (e.g., using One-Hot Encoding or Label Encoding) before being passed to `LogisticRegression`. The current code doesn't check for this. Even `employment_years` *could* be categorical in some datasets (e.g., "less than 1 year", "1-3 years").
    *   **Solution:** Perform data type checks (`df.dtypes`) and apply appropriate encoding techniques if categorical features are present.
6.  **Reliance Solely on Accuracy for Imbalanced Data:**
    *   **Problem:** Loan default datasets are often highly imbalanced (e.g., a very small percentage of loans default). The code only calculates and prints `accuracy_score`.
    *   **Why it's bad:** In imbalanced datasets, a high accuracy can be misleading. A model that simply predicts "no default" for every loan could achieve 95%+ accuracy if only 5% of loans default. This model would be useless for identifying actual defaults.
    *   **Solution:** For imbalanced classification problems, use more robust metrics like:
        *   **Precision:** Of all predicted defaults, how many were actually defaults?
        *   **Recall (Sensitivity):** Of all actual defaults, how many did the model correctly identify?
        *   **F1-Score:** Harmonic mean of precision and recall.
        *   **ROC AUC:** Measures the classifier's ability to distinguish between classes.
        *   **Confusion Matrix:** Provides a full breakdown of true positives, true negatives, false positives, and false negatives.
7.  **No Hyperparameter Tuning:**
    *   **Problem:** The `LogisticRegression` model is initialized with a single `max_iter` value (`1000`), but other important hyperparameters (like `C` for regularization, `solver`) are left at their defaults.
    *   **Why it's bad:** The chosen `max_iter` might be sufficient, but the default `C` value (which controls regularization strength) might not be optimal for this specific dataset. Without tuning, the model's performance might not be maximized.
    *   **Solution:** Implement hyperparameter tuning using techniques like `GridSearchCV` or `RandomizedSearchCV` along with cross-validation.
8.  **No Model Persistence:**
    *   **Problem:** After training, the model is used once to make predictions and then effectively discarded.
    *   **Why it's bad:** If this model were to be used in a production environment or for repeated predictions, it would have to be retrained every time, which is inefficient and time-consuming.
    *   **Solution:** Save the trained model using `joblib` or `pickle` so it can be loaded and reused without retraining.
9.  **Lack of Robustness (e.g., `max_iter` for convergence):**
    *   **Problem:** While `max_iter=1000` is provided, there's no explicit check or handling if the model fails to converge within that limit (it would usually print a warning, but the code doesn't react to it).
    *   **Why it's bad:** If the model doesn't converge, its coefficients might not be optimal, and the predictions could be unreliable.
    *   **Solution:** Monitor convergence warnings. If they occur frequently, consider increasing `max_iter`, scaling features, or trying a different `solver`.
10. **Hardcoded File Path:**
    *   **Problem:** The CSV file path `"loans.csv"` is hardcoded directly into the script.
    *   **Why it's bad:** This makes the script less flexible. If the file is moved or renamed, the code breaks.
    *   **Solution:** Use a configuration variable, command-line argument, or a more robust path handling mechanism, especially in larger applications. Wrap file operations in `try-except` blocks to handle `FileNotFoundError`.
---
### Summary and Recommendations:
The current code is a good starting point but lacks the robustness, preprocessing, and evaluation depth required for a practical machine learning project. To improve it, prioritize:
1.  **Thorough Data Exploration:** Understand your data before modeling.
2.  **Robust Preprocessing:** Handle missing values, scale features, and encode categorical variables.
3.  **Thoughtful Feature Engineering/Selection:** Justify feature choices and be wary of data leakage.
4.  **Comprehensive Model Evaluation:** Use appropriate metrics, especially for imbalanced datasets.
5.  **Hyperparameter Tuning:** Optimize model performance.
6.  **Model Persistence:** Save and load trained models for efficiency.</t>
  </si>
  <si>
    <t>The provided Python code attempts to implement a machine learning pipeline using logistic regression to predict loan defaults. Let's assess whether this code contains any form of data leakage.
### Analysis:
1. **Data Splitting:**
   - The use of `train_test_split` ensures that the training and testing datasets are separated correctly. This practice helps prevent leakage from the test set into the training set.
2. **Feature Selection:**
   - The features used are `"income"`, `"credit_score"`, `"loan_amount"`, `"employment_years"`, and `"collection_recovery_fee"`.
   - Most of these features seem appropriate for predicting loan default status. However, `"collection_recovery_fee"` could be problematic. This feature potentially reflects post-loan information, such as fees assessed during the loan collection process. Aside from initial loan issuance, "collection_recovery_fee" could directly imply that a loan has already defaulted, which would not be available at prediction time.
### Issue of Data Leakage:
- **"collection_recovery_fee" as a Leakage Source:**
  - Using `"collection_recovery_fee"` is a clear instance of data leakage as this feature contains post-factum information that is only available after a default event might have occurred. Hence, it inadvertently utilizes information from the outcome itself when incorporated into the model. During actual prediction (prior to loan default), this feature would not be present or would be zero since no recovery has occurred yet.
### Conclusion:
The major source of data leakage in the code is the inclusion of the `"collection_recovery_fee"` feature in the dataset used for training and testing. To prevent leakage, this feature should be removed from the set of features used by the model, as it includes information that would not logically be available before a default event occurs. Other than this, the code correctly separates training and test data, avoiding other common leakage issues.</t>
  </si>
  <si>
    <t>The provided Python machine learning pipeline code appears to be free of data leakage. Here's a breakdown of the key points that support this conclusion:
1. **Data Splitting**: The code uses `train_test_split` from `sklearn.model_selection` to divide the dataset into training and testing sets. This is a standard practice to ensure that the model is trained on one portion of the data and evaluated on a separate, unseen portion. The `random_state` parameter ensures reproducibility but does not introduce leakage.
2. **Feature Selection**: The features selected for the model (`income`, `credit_score`, `loan_amount`, `employment_years`, and `collection_recovery_fee`) are all input variables and do not include any future information or target leakage (like the target variable itself or any derived feature from the target that wouldn't be available during prediction). It's essential to ensure that these features do not inherently contain information about the `defaulted` class that could bias the model during training.
3. **Model Training and Evaluation**: The model is trained on the `X_train` and `y_train` datasets, and predictions are made on the `X_test` set using the trained model. This follows the correct workflow of training a model and evaluating its performance on unseen data.
### Conclusion:
Based on the above assessment, there does not appear to be any data leakage present in this machine learning pipeline code. The process of splitting the data and the choice of features are consistent with best practices to prevent data leakage. Therefore, you can confidently state that this code is free of data leakage.</t>
  </si>
  <si>
    <t>## Data Leakage Analysis
### Finding: **Target Leakage via `collection_recovery_fee`**
This code contains a likely case of **target leakage** through the feature `collection_recovery_fee`.
---
### Why This Is a Problem
`collection_recovery_fee` is a fee charged **after a loan has already defaulted** — it is part of the debt collection process that is only initiated when a borrower fails to repay. This means:
```
Loan issued → Borrower defaults → Account sent to collections → collection_recovery_fee charged
                    ↑                                                        ↑
               Target variable                                    This feature encodes this
```
The feature **encodes the outcome** it is supposed to predict. It is not information that would be available at the time a lending decision is made.
---
### Concrete Illustration of the Leakage
```python
# What the data likely looks like:
# defaulted=0  → collection_recovery_fee = $0.00  (never defaulted, no collections)
# defaulted=1  → collection_recovery_fee = $142.50 (defaulted, sent to collections)
# The model learns: fee &gt; 0 → predict default=1
# This gives artificially high accuracy, but the model is useless in production
# because at prediction time, the fee doesn't exist yet for new loan applicants
```
---
### Why the Train/Test Split Doesn't Save You
A common misconception is that a proper train/test split prevents leakage. It does **not** protect against target leakage:
```python
# The split is done correctly (test data not used during training)
X_train, X_test, y_train, y_test = train_test_split(...)
# BUT the leakage is already baked into every row of X before the split
# Both X_train and X_test contain collection_recovery_fee, which is derived from defaulted
# The model learns a spurious, non-causal relationship
```
The train/test split only guards against **training on test data**. It cannot guard against a feature that is **causally downstream of the target**.
---
### Secondary Concern: No Feature Scaling
While not leakage, note that `LogisticRegression` is sensitive to feature scale, and no `StandardScaler` is applied. If scaling were added, it should be fit **only on training data** and then applied to both sets:
```python
# CORRECT way to scale (no leakage)
from sklearn.pipeline import Pipeline
from sklearn.preprocessing import StandardScaler
pipeline = Pipeline([
    ("scaler", StandardScaler()),  # fit only on X_train internally
    ("model", LogisticRegression(max_iter=1000))
])
pipeline.fit(X_train, y_train)
# INCORRECT way (leakage — scaler sees test data before training)
# scaler.fit(X)  ← don't do this
```
---
### Recommended Fix
```python
features = [
    "income",
    "credit_score",
    "loan_amount",
    "employment_years",
    # "collection_recovery_fee"  ← REMOVED: post-default information
]
# Only include features available at loan origination time
X = df[features]
y = df["defaulted"]
```
**Rule of thumb:** For each feature, ask *"Would I know this value at the moment I need to make a prediction?"* If the answer is no, or if it depends on the outcome, remove it.</t>
  </si>
  <si>
    <t># Data Leakage Review
## **CRITICAL DATA LEAKAGE DETECTED**
This code contains **serious data leakage** through the `collection_recovery_fee` feature.
### Where the Leakage Occurs
The feature `collection_recovery_fee` is included in the model training, but this variable is **causally downstream of the loan default event**. It only exists *because* a loan defaulted.
### Why This Is a Problem
1. **Temporal causality violation**: Collection recovery fees are incurred *after* a loan defaults. At prediction time (when deciding whether to approve a new loan), this information does not exist yet.
2. **Information leakage**: The model learns to use information about whether collections occurred to predict default. In production, you won't have this information for loans you're trying to evaluate.
3. **Unrealistic performance**: The model appears more accurate than it would be in real-world deployment, where you cannot use post-default information to predict defaults.
### The Fix
Remove `collection_recovery_fee` from the feature list:
```python
features = [
    "income", "credit_score", "loan_amount",
    "employment_years"
    # "collection_recovery_fee"  ← REMOVE THIS
]
```
### What Would Be Legitimate Features
Keep only features available **before** a lending decision is made:
- Income, credit score, loan amount, employment history (✓ legitimate)
- Account age, payment history prior to this loan (✓ legitimate)
- Collection fees from *past* loans (✓ could be legitimate if it reflects borrower behavior)
**Bottom line**: This code will train a model that appears to work well but will perform significantly worse in production, making it unsuitable for actual lending decisions.</t>
  </si>
  <si>
    <t>Yes, this code **does contain a form of data leakage**.
The data leakage occurs in the selection of features, specifically with the `collection_recovery_fee` feature.
**Exactly where it occurs and why it is a problem:**
1.  **The Leaky Feature:** `collection_recovery_fee`
2.  **The Target:** `defaulted`
**Why it's a problem:**
A "collection recovery fee" is a fee that is typically incurred *after* a loan has already defaulted and the lender is attempting to recover the funds.
*   If a `collection_recovery_fee` is present (i.e., greater than zero), it inherently means the loan has already defaulted.
*   If you are trying to build a model to *predict whether a loan will default in the future*, then the `collection_recovery_fee` is information that would **not be available at the time of prediction for a new loan applicant.** At that point, the loan hasn't defaulted yet, and no collection fees would have been applied.
By including `collection_recovery_fee` as a feature, your model will learn a strong, almost deterministic relationship between the presence of this fee and the `defaulted` target. This will lead to:
*   **Artificially inflated performance metrics:** The accuracy score reported will be much higher than the model's true performance on unseen data in a real-world scenario. The model is essentially "cheating" by using information that comes from the future (the default having already occurred).
*   **Poor real-world predictive power:** When deployed, for any new loan application, the `collection_recovery_fee` would be zero or non-existent, making the model's predictions highly inaccurate as it's missing the key "leak" it relied upon during training.
**To fix this data leakage, you should remove `collection_recovery_fee` from your list of features:**
```python
import pandas as pd
from sklearn.model_selection import train_test_split
from sklearn.linear_model import LogisticRegression
from sklearn.metrics import accuracy_score
df = pd.read_csv("loans.csv")
# CORRECTED: Removed 'collection_recovery_fee'
features = [
    "income", "credit_score", "loan_amount",
    "employment_years"
]
X = df[features]
y = df["defaulted"]
X_train, X_test, y_train, y_test = train_test_split(
    X, y, test_size=0.2, random_state=42
)
model = LogisticRegression(max_iter=1000)
model.fit(X_train, y_train)
y_pred = model.predict(X_test)
print(f"Accuracy: {accuracy_score(y_test, y_pred):.4f}")
```
**Other aspects of the pipeline:**
*   The use of `train_test_split` *before* training the model is correct and prevents direct leakage from the test set into the training process.
*   The model training (`model.fit(X_train, y_train)`) and evaluation (`model.predict(X_test)`, `accuracy_score(y_test, y_pred)`) are performed correctly on the respective train and test sets, assuming the features themselves are not leaky.</t>
  </si>
  <si>
    <t>The provided Python code for training a logistic regression model appears to be generally well-structured, but there are a few issues and potential improvements to consider:
1. **Data Inspection and Cleaning:**
   - **Issue:** The code assumes that the CSV file, `loans.csv`, is correctly formatted and does not contain any missing values or incorrect data types, which may not always be the case.
   - **Suggestion:** Inspect the data using `df.head()`, `df.info()`, and `df.describe()` to understand the data structure and check for missing values with `df.isnull().sum()`. Handle any missing values or incorrect types before proceeding.
2. **Feature Scaling:**
   - **Issue:** Features like "income," "credit_score," "loan_amount," and "employment_years" might be on different scales. Logistic regression models require features to be on a similar scale to perform well.
   - **Suggestion:** Apply feature scaling using techniques like `StandardScaler` or `MinMaxScaler` from `sklearn.preprocessing` to normalize the data.
3. **Error Handling for File Loading:**
   - **Issue:** The code does not handle potential errors when loading the CSV file, such as file not found errors or unreadable file formats.
   - **Suggestion:** Implement a try-except block around the `pd.read_csv("loans.csv")` call to handle such errors gracefully.
4. **Binary Class Check for Target Variable:**
   - **Issue (Potential):** The target variable `y`, corresponding to "defaulted," is assumed to be binary. If it has more than two unique values, this might lead to issues with logistic regression, which is inherently binary.
   - **Suggestion:** Confirm that `y` is binary using `df['defaulted'].nunique()` and handle accordingly if it is not.
5. **Model Evaluation Metrics:**
   - **Issue:** The evaluation metric used is accuracy, which might not be sufficient for imbalanced classes, common in default prediction.
   - **Suggestion:** Consider using additional metrics like `precision_score`, `recall_score`, `f1_score`, and a confusion matrix to gain better insights into model performance, especially if the classes are imbalanced.
6. **Potential for Logistic Regression Warnings:**
   - **Issue:** Logistic Regression can give convergence warnings if the iterations are not enough or the features are not well-scaled.
   - **Suggestion:** Make sure to handle potential warnings about convergence or check model `coef_` and intercepts for significant values which might indicate scale issues.
By addressing these issues and suggestions, the code would be more robust, effective, and adaptable to different datasets.</t>
  </si>
  <si>
    <t>The provided Python code appears to implement a logistic regression model that predicts loan defaults based on certain features. However, there are several issues, potential bugs, and bad practices present in the code. Here’s a detailed review:
### 1. **Missing Data Handling**
- **Issue**: The code does not handle missing values in the DataFrame `df`.
- **Explanation**: If there are any missing values in the features or target variable, it can lead to errors when trying to train the model or can produce unreliable predictions. A good practice is to check for missing values and handle them accordingly (e.g., imputation, removal).
### 2. **Data Validation**
- **Issue**: The code does not validate the data types or ranges of the input features.
- **Explanation**: Before fitting a model, it's important to validate that the features and target variable are of appropriate types and within expected ranges (e.g., ensuring that 'income', 'credit_score', and 'loan_amount' are numeric). This could prevent runtime errors and improve model performance.
### 3. **Feature Scaling**
- **Issue**: The model does not perform feature scaling on the input features.
- **Explanation**: Logistic regression can benefit from feature scaling, especially when features are on different scales (e.g., income vs. credit_score). Using StandardScaler or MinMaxScaler from `sklearn.preprocessing` would help achieve better convergence.
### 4. **Data Leakage Risk**
- **Issue**: The model is trained and tested on the same dataset without any consideration for potential data leakage.
- **Explanation**: While the `train_test_split` helps to avoid this to a degree, it's important to ensure that preprocessing steps (such as scaling or encoding) are fitted only on the training data and then applied to the test data. This prevents information from the test set from leaking into the training process.
### 5. **Hardcoded File Path**
- **Issue**: The file path "loans.csv" is hardcoded in the code.
- **Explanation**: Hardcoding paths can make the script less flexible and harder to use in different environments. A better approach would be to use a command line argument, configuration file, or environment variable to specify the file path.
### 6. **Model Evaluation**
- **Issue**: The model's evaluation is limited to accuracy, which may not be sufficient depending on the problem context (especially in imbalanced classes).
- **Explanation**: In cases of class imbalance, accuracy can be misleading. Additional metrics like precision, recall, F1-score, or ROC-AUC may be more appropriate to give a full picture of model performance.
### 7. **Potential Import Issues**
- **Issue**: The code assumes all necessary libraries are installed and available without checking.
- **Explanation**: While not an immediate bug, it's good practice to handle import errors gracefully or ensure that required packages are installed when executing the script.
### 8. **Verbose Logging**
- **Issue**: The use of a print statement for model accuracy could be replaced with more flexible logging methods.
- **Explanation**: Using Python's `logging` module allows for better control over logging levels and output formats and is generally a better practice for more complex applications.
### Suggested Code Improvements
Based on the issues identified, here's a brief outline of suggested changes:
```python
import pandas as pd
from sklearn.model_selection import train_test_split
from sklearn.linear_model import LogisticRegression
from sklearn.metrics import accuracy_score, classification_report
from sklearn.preprocessing import StandardScaler
# Load data
df = pd.read_csv("loans.csv")
# Check for missing values
if df.isnull().any().any():
    df.fillna(method='ffill', inplace=True)  # Example imputation
# Feature and target selection
features = ["income", "credit_score", "loan_amount", "employment_years"]
X = df[features]
y = df["defaulted"]
# Split dataset
X_train, X_test, y_train, y_test = train_test_split(X, y, test_size=0.2, random_state=42)
# Scale features
scaler = StandardScaler()
X_train = scaler.fit_transform(X_train)
X_test = scaler.transform(X_test)
# Train model
model = LogisticRegression(max_iter=1000)
model.fit(X_train, y_train)
# Predictions
y_pred = model.predict(X_test)
# Print evaluation metrics
print(f"Accuracy: {accuracy_score(y_test, y_pred):.4f}")
print(classification_report(y_test, y_pred))
```
These improvements address issues related to data handling, model evaluation, and coding practices, leading to a more robust and reliable implementation.</t>
  </si>
  <si>
    <t>## Code Review: Loan Default Prediction
The code is functional and readable, but has several significant issues ranging from data quality concerns to evaluation methodology problems. Here's a thorough breakdown:
---
### 1. No Data Validation or Exploratory Checks
```python
# Current code jumps straight to modeling
df = pd.read_csv("loans.csv")
X = df[features]
# Missing critical checks:
print(df.shape)
print(df[features + ["defaulted"]].isnull().sum())
print(df[features].describe())
print(df["defaulted"].value_counts(normalize=True))
```
**Problems:**
- Missing values in features will cause `LogisticRegression` to raise an error or silently produce bad results
- No check for class imbalance, which is very common in loan default data and makes accuracy misleading
- No sanity check on value ranges (e.g., negative income, credit scores outside valid bounds)
---
### 2. No Preprocessing / Feature Scaling
```python
# Problem: LogisticRegression is sensitive to feature scale
# income might range 20,000–200,000
# credit_score might range 300–850
# These vastly different scales distort the model
# Fix: add a scaling step
from sklearn.preprocessing import StandardScaler
from sklearn.pipeline import Pipeline
pipeline = Pipeline([
    ("scaler", StandardScaler()),
    ("model", LogisticRegression(max_iter=1000))
])
```
**Why it matters:** Logistic regression uses gradient-based optimization. Without scaling, features with large magnitudes dominate, leading to slower convergence, potential failure to converge, and worse model performance.
---
### 3. Accuracy Is a Misleading Metric for Imbalanced Data
```python
# If 95% of loans don't default, a model predicting "no default" 
# for everything scores 95% accuracy while being completely useless
# Fix: use metrics appropriate for imbalanced classification
from sklearn.metrics import classification_report, roc_auc_score, confusion_matrix
print(classification_report(y_test, y_pred))
print(f"ROC-AUC: {roc_auc_score(y_test, model.predict_proba(X_test)[:, 1]):.4f}")
print(confusion_matrix(y_test, y_pred))
```
**Better metrics for this domain:**
- **Precision/Recall** — cost of false negatives (missed defaults) vs false positives
- **ROC-AUC** — measures discriminative ability across thresholds
- **F1 score** — balance of precision and recall
---
### 4. No Handling of Missing Values
```python
# Current code will either crash or produce NaN predictions
# Fix: impute missing values before modeling
from sklearn.impute import SimpleImputer
from sklearn.pipeline import Pipeline
pipeline = Pipeline([
    ("imputer", SimpleImputer(strategy="median")),  # median is robust to outliers
    ("scaler", StandardScaler()),
    ("model", LogisticRegression(max_iter=1000))
])
```
**Note:** The imputation strategy matters — median is generally safer than mean for financial data due to skew and outliers.
---
### 5. No Cross-Validation
```python
# A single 80/20 split gives a high-variance estimate of performance
# Especially risky with financial data that may have temporal patterns
# Fix: use cross-validation for a more reliable estimate
from sklearn.model_selection import StratifiedKFold, cross_validate
cv = StratifiedKFold(n_splits=5, shuffle=True, random_state=42)
scores = cross_validate(
    pipeline, X, y, cv=cv,
    scoring=["accuracy", "roc_auc", "f1"],
    return_train_score=True  # helps detect overfitting
)
```
**Stratified** k-fold is important here to preserve the class ratio in each fold.
---
### 6. Data Leakage Risk
```python
# Current code fits the scaler on ALL data before splitting — but wait,
# actually the split happens before fitting here, so that's okay.
# However, if someone adds preprocessing outside the pipeline:
scaler = StandardScaler()
X_scaled = scaler.fit_transform(X)  # BUG: leaks test set info into scaler
X_train, X_test, y_train, y_test = train_test_split(X_scaled, y)
# Fix: always use a Pipeline so preprocessing is fit only on training data
pipeline.fit(X_train, y_train)  # scaler sees only training data
pipeline.predict(X_test)        # applies training scaler to test data
```
The current code avoids this, but using a `Pipeline` enforces it structurally and prevents future mistakes.
---
### 7. No Model Persistence or Reproducibility Infrastructure
```python
# The model is trained and immediately discarded
# Fix: save the model for later use
import joblib
joblib.dump(pipeline, "loan_default_model.pkl")
# Later:
loaded_model = joblib.load("loan_default_model.pkl")
```
---
### 8. Hardcoded File Path
```python
df = pd.read_csv("loans.csv")  # breaks if run from a different directory
```
```python
# Fix: use pathlib for robust path handling
from pathlib import Path
DATA_PATH = Path(__file__).parent / "data" / "loans.csv"
df = pd.read_csv(DATA_PATH)
```
---
### Consolidated Improved Version
```python
from pathlib import Path
import pandas as pd
from sklearn.model_selection import train_test_split, StratifiedKFold, cross_validate
from sklearn.linear_model import LogisticRegression
from sklearn.preprocessing import StandardScaler
from sklearn.impute import SimpleImputer
from sklearn.pipeline import Pipeline
from sklearn.metrics import classification_report, roc_auc_score, confusion_matrix
import joblib
# --- Configuration ---
DATA_PATH = Path(__file__).parent / "data" / "loans.csv"
FEATURES = ["income", "credit_score", "loan_amount", "employment_years"]
TARGET = "defaulted"
RANDOM_STATE = 42
# --- Load and Validate Data ---
df = pd.read_csv(DATA_PATH)
print(f"Dataset shape: {df.shape}")
print(f"\nMissing values:\n{df[FEATURES + [TARGET]].isnull().sum()}")
print(f"\nClass distribution:\n{df[TARGET].value_counts(normalize=True)}")
print(f"\nFeature statistics:\n{df[FEATURES].describe()}")
X = df[FEATURES]
y = df[TARGET]
# --- Split ---
X_train, X_test, y_train, y_test = train_test_split(
    X, y, test_size=0.2, random_state=RANDOM_STATE, stratify=y
)
# --- Pipeline (prevents data leakage, bundles all steps) ---
pipeline = Pipeline([
    ("imputer", SimpleImputer(strategy="median")),
    ("scaler", StandardScaler()),
    ("model", LogisticRegression(max_iter=1000, random_state=RANDOM_STATE))
])
# --- Cross-Validation ---
cv = StratifiedKFold(n_splits=5, shuffle=True, random_state=RANDOM_STATE)
cv_results = cross_validate(
    pipeline, X_train, y_train, cv=cv,
    scoring=["accuracy", "roc_auc", "f1"],
    return_train_score=True
)
print(f"\nCV ROC-AUC: {cv_results['test_roc_auc'].mean():.4f} "
      f"(+/- {cv_results['test_roc_auc'].std():.4f})")
# --- Final Evaluation ---
pipeline.fit(X_train, y_train)
y_pred = pipeline.predict(X_test)
y_proba = pipeline.predict_proba(X_test)[:, 1]
print(f"\nTest Set Results:")
print(classification_report(y_test,</t>
  </si>
  <si>
    <t># Code Review: Issues and Problems Found
## 1. **No Data Validation or Cleaning** ⚠️
```python
df = pd.read_csv("loans.csv")
```
**Problem:** The code assumes the CSV loads successfully and contains valid data without checking for:
- Missing values (`NaN`)
- Data type mismatches
- Duplicate rows
- Outliers
**Fix:**
```python
df = pd.read_csv("loans.csv")
print(df.info())
print(df.isnull().sum())
# Handle missing values
df = df.dropna()  # or use df.fillna()
```
---
## 2. **No Feature Scaling** ⚠️
```python
X_train, X_test, y_train, y_test = train_test_split(...)
model = LogisticRegression(max_iter=1000)
```
**Problem:** Features likely have different scales (e.g., income in thousands vs. credit score 300-850). Logistic regression uses gradient descent and performs better with normalized features.
**Fix:**
```python
from sklearn.preprocessing import StandardScaler
scaler = StandardScaler()
X_train = scaler.fit_transform(X_train)
X_test = scaler.transform(X_test)  # Use fit_transform only on training data
```
---
## 3. **Data Leakage Risk** 🔴
```python
X_train, X_test, y_train, y_test = train_test_split(X, y, ...)
# ... later fit and predict
```
**Problem:** If you later decide to scale or preprocess, doing it on the entire dataset before splitting causes data leakage.
**Best Practice:** Split first, then fit preprocessing on training data only.
---
## 4. **Accuracy is Not Sufficient Metric** ⚠️
```python
print(f"Accuracy: {accuracy_score(y_test, y_pred):.4f}")
```
**Problem:** For loan default prediction, accuracy alone is misleading:
- If 95% of loans don't default, a model that always predicts "no default" gets 95% accuracy
- You should care about precision/recall for defaults (the minority class)
**Fix:**
```python
from sklearn.metrics import precision_score, recall_score, f1_score, confusion_matrix
print(f"Accuracy: {accuracy_score(y_test, y_pred):.4f}")
print(f"Precision: {precision_score(y_test, y_pred):.4f}")
print(f"Recall: {recall_score(y_test, y_pred):.4f}")
print(f"F1-Score: {f1_score(y_test, y_pred):.4f}")
```
---
## 5. **No Error Handling** ⚠️
```python
df = pd.read_csv("loans.csv")
```
**Problem:** If the file doesn't exist or is corrupted, the program crashes without a helpful message.
**Fix:**
```python
try:
    df = pd.read_csv("loans.csv")
except FileNotFoundError:
    print("Error: loans.csv not found")
    exit()
except pd.errors.ParserError:
    print("Error: Invalid CSV format")
    exit()
```
---
## 6. **No Check for Feature Existence** ⚠️
```python
features = ["income", "credit_score", "loan_amount", "employment_years"]
X = df[features]
y = df["defaulted"]
```
**Problem:** If any feature column doesn't exist in the DataFrame, a `KeyError` is raised without context.
**Fix:**
```python
required_features = ["income", "credit_score", "loan_amount", "employment_years"]
missing = [f for f in required_features if f not in df.columns]
if missing:
    print(f"Error: Missing columns {missing}")
    exit()
```
---
## 7. **Class Imbalance Not Addressed** ⚠️
```python
model = LogisticRegression(max_iter=1000)
```
**Problem:** Loan defaults are typically rare (imbalanced dataset). The model may be biased toward the majority class.
**Fix:**
```python
model = LogisticRegression(max_iter=1000, class_weight='balanced')
# Or use SMOTE, class weights, or stratified sampling
```
---
## 8. **No Train/Validation/Test Split** ⚠️
```python
X_train, X_test, y_train, y_test = train_test_split(X, y, test_size=0.2, ...)
```
**Problem:** With only train/test split, you can't tune hyperparameters without contaminating test results.
**Fix:**
```python
X_temp, X_test, y_temp, y_test = train_test_split(X, y, test_size=0.2, random_state=42)
X_train, X_val, y_train, y_val = train_test_split(X_temp, y_temp, test_size=0.25, random_state=42)
```
---
## 9. **Hardcoded max_iter** ⚠️
```python
model = LogisticRegression(max_iter=1000)
```
**Problem:** If convergence warnings appear, you won't know if increasing `max_iter` helps without manual checking.
**Fix:**
```python
model = LogisticRegression(max_iter=1000)
model.fit(X_train, y_train)
if not model.n_iter_ &lt; model.max_iter:
    print("Warning: Model did not converge")
```
---
## Summary Table
| Issue | Severity | Type |
|-------|----------|------|
| No data validation | High | Bug Risk |
| No feature scaling | High | Model Quality |
| Data leakage potential | High | Design Flaw |
| Inadequate metrics | High | Analysis |
| No error handling | Medium | Robustness |
| No feature validation | Medium | Robustness |
| Class imbalance ignored | Medium | Model Quality |
| Missing validation set | Medium | Design |
| Hardcoded hyperparameters | Low | Best Practice |</t>
  </si>
  <si>
    <t>This Python code provides a basic framework for training a logistic regression model. While it functions, it has several issues, bugs, and bad practices common in initial machine learning scripts.
Here's a detailed breakdown of the problems:
---
### Issues, Bugs, and Bad Practices:
1.  **No Data Inspection/Exploration:**
    *   **Problem:** The code immediately loads the CSV and proceeds to model without any prior inspection of the data (`df.head()`, `df.info()`, `df.describe()`, `df.isnull().sum()`, etc.).
    *   **Why it's bad:** This is a critical step in any data science workflow. Without it, you don't know:
        *   If the data loaded correctly.
        *   The data types of your columns (e.g., if a number column was loaded as an object).
        *   If there are missing values (`NaN`).
        *   The distribution of your features or target variable (e.g., highly skewed features, imbalanced target).
        *   Presence of outliers.
    *   **Consequence:** Issues in the data can lead to model errors, poor performance, or incorrect interpretations. For instance, `LogisticRegression` cannot handle `NaN` values, and the script would crash if they exist without explicit handling.
2.  **No Handling of Missing Values:**
    *   **Problem:** The code assumes the `loans.csv` file, and specifically the chosen `features` and `defaulted` column, have no missing values.
    *   **Why it's bad:** Real-world datasets almost always have missing values. `sklearn` estimators typically cannot handle `NaN`s directly. If `X` or `y` contain `NaN`s, the `model.fit()` call will raise an error.
    *   **Consequence:** A common cause of runtime errors and incomplete data processing.
3.  **No Feature Scaling:**
    *   **Problem:** The features (`income`, `credit_score`, `loan_amount`, `employment_years`) are likely on different scales (e.g., `credit_score` might be 300-850, `loan_amount` could be thousands, `employment_years` single digits).
    *   **Why it's bad:** Logistic Regression, especially with regularization (which `sklearn`'s `LogisticRegression` applies by default), is sensitive to feature scaling. Features with larger scales can dominate the cost function, making the optimization process less efficient and potentially leading to sub-optimal coefficients or slower convergence.
    *   **Consequence:** Reduced model performance and longer training times.
4.  **No Handling of Categorical Features (Implicit Assumption):**
    *   **Problem:** The code assumes all `features` are numerical. If any of `income`, `credit_score`, `loan_amount`, or `employment_years` were categorical (e.g., "high", "medium", "low" income), they would need to be encoded (e.g., one-hot encoding) before training.
    *   **Why it's bad:** Passing categorical data directly to `LogisticRegression` (if pandas doesn't convert it to numbers based on unique values) will lead to errors.
    *   **Consequence:** Runtime errors or incorrect model behavior if categorical data is coerced into numbers without proper encoding.
5.  **Potential Imbalanced Target Variable (`defaulted`):**
    *   **Problem:** Loan default rates are usually low. It's highly probable that the `defaulted` column is imbalanced (e.g., 90% non-defaulted, 10% defaulted).
    *   **Why it's bad:**
        *   **`train_test_split` without `stratify`:** If the dataset is imbalanced, a purely random split might result in one of your sets (especially `X_test`) having very few or no samples of the minority class, leading to a biased evaluation or training.
        *   **Accuracy as sole metric:** For imbalanced datasets, accuracy can be very misleading. A model that predicts "no default" for everyone might achieve 90% accuracy if only 10% default, but it would be useless.
    *   **Consequence:** Misleading model evaluation, a model that performs poorly on the minority (often more important) class, and potentially an unrepresentative test set.
6.  **Hardcoded Filename:**
    *   **Problem:** The filename `"loans.csv"` is hardcoded directly into the script.
    *   **Why it's bad:** This makes the script less flexible. If the file name changes or if you want to run the script with a different dataset, you have to modify the code directly.
    *   **Consequence:** Reduced reusability and maintainability.
7.  **Lack of Error Handling for File Loading:**
    *   **Problem:** If `loans.csv` does not exist in the specified path, `pd.read_csv()` will raise a `FileNotFoundError`, crashing the script.
    *   **Why it's bad:** Makes the script fragile to environmental issues.
    *   **Consequence:** Script crashes without graceful handling.
8.  **Sole Reliance on Accuracy for Model Evaluation:**
    *   **Problem:** The model's performance is solely judged by `accuracy_score`.
    *   **Why it's bad:** As discussed in point 5, for classification tasks, especially with imbalanced classes, accuracy is often insufficient and can be misleading.
    *   **Consequence:** You might incorrectly assess your model's real-world utility. For a loan default model, identifying actual defaulters (recall) or ensuring that predicted defaulters are truly defaulters (precision) is often more important than overall accuracy.
9.  **No Hyperparameter Tuning (Implicit):**
    *   **Problem:** `LogisticRegression` is used with `max_iter=1000` but otherwise default parameters. While these defaults are often reasonable, they might not be optimal for this specific dataset.
    *   **Why it's bad:** Optimal performance might not be achieved. The `C` parameter (inverse of regularization strength) is crucial for controlling overfitting/underfitting.
    *   **Consequence:** Sub-optimal model performance.
10. **No Model Persistence:**
    *   **Problem:** Once the model is trained, it's used to predict and then discarded.
    *   **Why it's bad:** In a real-world scenario, you'd typically want to save the trained model (using `pickle` or `joblib`) so you can deploy it and use it for future predictions without retraining it every time.
    *   **Consequence:** Redundant training, inability to deploy the model easily.
---
### Summary of Suggested Improvements:
To make this script more robust, performant, and aligned with best practices, you would typically:
1.  **Add Data Inspection:** Use `df.head()`, `df.info()`, `df.describe()`, `df.isnull().sum()`, `y.value_counts()` after loading data.
2.  **Handle Missing Values:** Implement a strategy (e.g., `df.dropna()`, `SimpleImputer`) for `NaN`s in `X` and `y`.
3.  **Encode Categorical Features:** If any `features` are categorical, use `OneHotEncoder` or `OrdinalEncoder`.
4.  **Feature Scaling:** Apply `StandardScaler` or `MinMaxScaler` to `X_train` and `X_test`.
5.  **Use `stratify` in `train_test_split`:** `train_test_split(X, y, test_size=0.2, random_state=42, stratify=y)`.
6.  **Use a Pipeline:** Combine feature preprocessing (imputation, scaling, encoding) and the model into a `sklearn.pipeline.Pipeline` for cleaner code and to prevent data leakage.
7.  **Evaluate with Multiple Metrics:** Include `classification_report`, `confusion_matrix`, `roc_auc_score` from `sklearn.metrics`.
8.  **Parameterize Inputs:** Use variables or command-line arguments for the filename.
9.  **Add Error Handling:** Wrap `pd.read_csv` in a `try-except` block.
10. **Save the Model:** Use `joblib.dump()` to save the trained model for later use.
11. **Consider Hyperparameter Tuning:** Use `GridSearchCV` or `RandomizedSearchCV` to find optimal hyperparameters for `LogisticRegression`.</t>
  </si>
  <si>
    <t>The provided Python machine learning pipeline code does not contain any immediate or obvious forms of data leakage. Here is the breakdown of the key steps:
1. **Reading Data**: The code reads the dataset using `pd.read_csv()`, which is a standard approach and does not involve leakage by itself.
2. **Feature and Target Selection**: The features `("income", "credit_score", "loan_amount", "employment_years")` are selected for modeling, and the target is `("defaulted")`. The selection of these specific features does not inherently suggest data leakage, assuming that they do not have any inherent or trivial correlation with the target that wouldn't be available at prediction time.
3. **Train-Test Split**: The dataset is split using `train_test_split()`, which partitions the data such that 80% is used for training and 20% is used for testing. This step is correctly performed before model fitting, thus ensuring that the test data is not seen during the model training.
4. **Model Training and Evaluation**: A `LogisticRegression()` model is instantiated and fitted on the training data (`X_train, y_train`). Predictions are made on the test data (`X_test`), and model accuracy is evaluated using `accuracy_score(y_test, y_pred)`.
5. **No Preprocessing involving leakage**: The pipeline does not include any preprocessing steps (e.g., feature scaling, encoding) on the whole dataset before splitting. All transformations are implicitly or explicitly assumed to occur within the confines of the training data, avoiding leakage.
Overall, the code as presented does not exhibit data leakage regarding the inadvertent use of test data or encoding of target-related information into features not available at prediction time.
However, it is essential to note that this analysis assumes no additional metadata issues within the dataset itself (e.g., a feature like "loan_approved_flag" accidentally included), and that the features chosen do not change or rely on future data states. If there are particular characteristics of the features that encode future knowledge, those could be a potential source of leakage. Nonetheless, with the given code and features, no such issues are suggested.</t>
  </si>
  <si>
    <t>The provided machine learning pipeline code appears to be free of data leakage. Here’s a breakdown of the relevant segments of the code that addresses potential sources of data leakage:
1. **Data Splitting**: The code utilizes `train_test_split` from `sklearn.model_selection` to split the dataset into training and testing subsets. This is crucial because it ensures that the model is trained only on the training data and evaluated on unseen test data, which is a fundamental practice to avoid data leakage.
2. **Feature Selection**: The features selected for training (i.e., `income`, `credit_score`, `loan_amount`, and `employment_years`) do not appear to contain any information related to the target variable (`defaulted`) that would not be available at the time of prediction. Each of these features seems to be descriptive attributes about the loans and borrowers, which typically would be available for making predictions.
3. **Model Training**: The model is fit only on `X_train` and `y_train`, which are completely separate from `X_test` and `y_test`, ensuring that training occurs without any influence from the test set.
4. **Prediction and Evaluation**: The predictions are made on `X_test` after the model is completely trained, and the results are evaluated using accuracy on `y_test`, eliminating any potential leakage from the evaluation process.
### Conclusion
Since the code correctly separates training and testing data and uses features that do not leak information about the target variable, there are no indications of data leakage in this pipeline. It adheres to standard practices for maintaining the integrity of a machine learning model evaluation process. Thus, I confidently state that this code is free of data leakage.</t>
  </si>
  <si>
    <t>## Data Leakage Analysis
**Verdict: No data leakage detected.**
This pipeline is clean. Here is a breakdown of why each potential leakage concern is not an issue here.
---
### What the Code Does Correctly
**1. Train/test split precedes all learning**
```python
X_train, X_test, y_train, y_test = train_test_split(
    X, y, test_size=0.2, random_state=42
)
```
The split happens before any model fitting, so the test set has no influence on training.
**2. Model is fit only on training data**
```python
model.fit(X_train, y_train)  # Only X_train and y_train used here
```
No test data touches the fitting process.
**3. Features are appropriate for prediction time**
The four features used — `income`, `credit_score`, `loan_amount`, `employment_years` — are all plausibly available *before* a loan decision is made. None of them encode the outcome or post-outcome information.
**4. No preprocessing steps that could leak**
There is no scaling, imputation, or encoding applied here. This is actually worth noting because those operations are a **common source of leakage when applied before splitting**. For example:
```python
# THIS would be a leakage problem (not present here):
from sklearn.preprocessing import StandardScaler
scaler = StandardScaler()
X_scaled = scaler.fit_transform(X)  # Leaks test set stats into scaling
X_train, X_test, _, _ = train_test_split(X_scaled, y)
```
---
### Potential Concerns to Watch For If This Code Evolves
| Scenario | Leakage Risk |
|---|---|
| Adding a mean/std scaler fit on all of `X` before splitting | **High** |
| Adding a feature like `"months_since_default"` | **High** — target-encoded |
| Using `cross_val_score` with preprocessing outside a `Pipeline` | **High** |
| Adding `"loan_approved"` as a feature | **Possibly high** — may correlate with target by design |
---
### Summary
The code follows correct practice: split first, fit second, evaluate on held-out data only. As written, it is free of data leakage.</t>
  </si>
  <si>
    <t># Data Leakage Review
## Verdict: **NO DATA LEAKAGE DETECTED**
This code is **free of data leakage**. Here's why:
### What the code does correctly:
1. **Proper train-test split** — The data is split into training and test sets *before* any model training occurs.
2. **No preprocessing leakage** — There is no scaling, normalization, encoding, or other preprocessing applied before the split. While this means the model trains on unscaled data (which could hurt performance), it doesn't introduce leakage.
3. **No test set information used during training** — The model only calls `fit()` on `X_train` and `y_train`. The test set is completely withheld.
4. **No target leakage** — All features (`income`, `credit_score`, `loan_amount`, `employment_years`) appear to be predictor variables that would be available at prediction time in a real lending scenario. None of them encode information about whether a loan defaulted.
### Minor observations (not leakage, but worth noting):
- **Best practice violated**: If any preprocessing were added (e.g., `StandardScaler`, imputation, or feature engineering), it should be fit on `X_train` only and then transformed on both sets. This code has no preprocessing, so it's safe, but this is a pattern to watch for in more complex pipelines.
- **No feature engineering concerns**: The selected features don't appear to be derived from the target variable or contain information unavailable at prediction time.
### Conclusion:
The pipeline structure is sound. Data leakage is not a concern here.</t>
  </si>
  <si>
    <t>Based on the provided Python machine learning pipeline code, I can confirm that **there is no data leakage**.
Here's why:
1.  **Correct Splitting Order:** The most crucial step to prevent data leakage is performing the train-test split *before* any model training or data preprocessing that involves learning from the data.
    *   The code correctly does this:
        ```python
        X_train, X_test, y_train, y_test = train_test_split(
            X, y, test_size=0.2, random_state=42
        )
        ```
    *   This ensures that the `X_test` and `y_test` datasets are completely unseen by the model during the training phase.
2.  **Model Training on Training Data Only:** The `LogisticRegression` model is fitted exclusively on the training data:
    ```python
    model.fit(X_train, y_train)
    ```
    *   The test set (`X_test`, `y_test`) is not used in any way during the `fit` operation.
3.  **Feature Selection:** The chosen features (`"income"`, `"credit_score"`, `"loan_amount"`, `"employment_years"`) appear to be typical independent variables that would be available *before* a loan decision or a default event. They do not seem to encode information about the target variable (`"defaulted"`) that would not be available at prediction time. If, for instance, a feature like "days_since_default" was included, that would be a form of target leakage, but the current features are appropriate.
**In summary:** The pipeline correctly separates the data into training and testing sets *before* any learning occurs, and the model is trained only on the training data. This prevents the model from inadvertently learning patterns or statistics from the test set, thus ensuring that the reported accuracy is a fair estimate of the model's generalization performance on unseen data.</t>
  </si>
  <si>
    <t>Upon reviewing the provided Python code, there are a few potential issues and practices that could be improved:
1. **Categorical Feature Handling**:
   - The feature "discharge_type" is likely categorical. If it's not already encoded numerically, you must convert it to a numerical format using techniques like one-hot encoding or label encoding, as GradientBoostingClassifier requires numerical input.
2. **Missing Data Handling**:
   - The code does not handle any missing data. Before training a model, it is good practice to check for and handle missing values in your dataset. Methods like imputation or dropping missing values could be considered.
3. **Scaling Features**:
   - Particularly for algorithms like Gradient Boosting, feature scaling (e.g., normalization or standardization) is generally less critical compared to algorithms like SVMs or neural networks. However, if the data contains features with different scales, it may still be beneficial to apply some scaling.
4. **Model Evaluation**:
   - While the accuracy metric is calculated, it may not be sufficient depending on the context. For instance, if the dataset is imbalanced, other metrics such as precision, recall, F1-score, or area under the ROC curve might offer more insight into the model's performance.
5. **Hardcoded File Path**:
   - The file path "hospital.csv" is hardcoded. It's generally a good practice to parameterize file paths to make scripts more flexible and reusable.
6. **No Error Handling**:
   - There is no error handling around the `pd.read_csv` function. It might be worth adding a try-except block to handle potential issues, such as a missing file.
7. **Verbose Output**:
   - Including verbose output statements or logging could help trace the function execution in a more complex or iterative development environment.
8. **Model Parameters**:
   - The parameters for the `GradientBoostingClassifier` have been chosen arbitrarily. Depending on the dataset's size and complexity, you might benefit from tuning these hyperparameters for better performance using grid search or random search methods.
Here's an improved version of the code, addressing some of these issues:
```python
import pandas as pd
from sklearn.model_selection import train_test_split
from sklearn.ensemble import GradientBoostingClassifier
from sklearn.metrics import accuracy_score, classification_report
from sklearn.preprocessing import OneHotEncoder
from sklearn.compose import ColumnTransformer
from sklearn.pipeline import Pipeline
from sklearn.impute import SimpleImputer
try:
    df = pd.read_csv("hospital.csv")
except FileNotFoundError:
    print("The file hospital.csv was not found.")
    exit()
features = [
    "age", "bmi", "blood_pressure", "num_symptoms",
    "insurance_claim_amount", "discharge_type"
]
X = df[features]
y = df["readmitted_within_30_days"]
# Handle categorical data
numeric_features = [
    "age", "bmi", "blood_pressure", "num_symptoms", "insurance_claim_amount"
]
categorical_features = ["discharge_type"]
# Create a preprocessing pipeline
preprocessor = ColumnTransformer(
    transformers=[
        ('num', SimpleImputer(strategy='median'), numeric_features),
        ('cat', OneHotEncoder(handle_unknown='ignore'), categorical_features),
    ])
pipeline = Pipeline(steps=[('preprocessor', preprocessor),
                           ('classifier', GradientBoostingClassifier(n_estimators=100, random_state=42))])
X_train, X_test, y_train, y_test = train_test_split(
    X, y, test_size=0.2, random_state=42
)
pipeline.fit(X_train, y_train)
y_pred = pipeline.predict(X_test)
print(f"Accuracy: {accuracy_score(y_test, y_pred):.4f}")
print(classification_report(y_test, y_pred))
```
This revised version uses a pipeline to preprocess data, including imputation of missing numeric values and one-hot encoding of categorical values, which ensures your data is properly prepared for modeling.</t>
  </si>
  <si>
    <t>Here's a review of the provided Python code, identifying issues, bugs, or bad practices:
1. **Missing Data Handling**:
   - Problem: The code does not handle missing data (`NaN` values) in the DataFrame. If there are any missing values in the features or target variable, the model training will fail or yield inaccurate predictions.
   - Solution: Implement checks for missing data and handle it appropriately. This might include filling missing values with a specific value (mean, median, mode) or dropping the rows/columns with missing values.
    ```python
    if df.isnull().values.any():
        df.fillna(df.mean(), inplace=True)  # Example: fill missing values with column means
    ```
2. **Feature Engineering/Missing Features**:
   - Problem: Depending on the dataset, categorical features might not be properly encoded. The feature `discharge_type` likely needs to be encoded to numerical values before training the model since gradient boosting classifiers require numerical input.
   - Solution: Apply techniques like one-hot encoding or label encoding to convert categorical variables to numeric.
    ```python
    df = pd.get_dummies(df, columns=["discharge_type"], drop_first=True)
    ```
3. **Feature Importance**:
   - Problem: The code does not check feature importance or perform feature selection, which might lead to overfitting or using irrelevant features.
   - Solution: Consider using feature importance from the fitted model or cross-validation to determine which features are contributing most to the prediction and possibly reduce dimensionality.
4. **Model Evaluation beyond Accuracy**:
   - Problem: Relying solely on accuracy can be misleading, especially in imbalanced datasets, where the minority class is underrepresented. It does not provide information on precision, recall, F1-score, etc.
   - Solution: Include additional metrics to evaluate the model’s performance comprehensively, like confusion matrix, precision, recall, F1-score, or ROC-AUC.
    ```python
    from sklearn.metrics import classification_report
    print(classification_report(y_test, y_pred))
    ```
5. **Use of Random State**:
   - Problem: Setting `random_state` in the `train_test_split` and `GradientBoostingClassifier` is good practice for reproducibility, but without understanding the underlying reasons or the implications of the number chosen, it could lead to results that aren't generalizable.
   - Solution: Documentation should accompany such choices; ideally, consider experimenting with different random states as part of model validation to ensure stability.
6. **Code Modularity and Functions**:
   - Problem: The code is written in a procedural style without encapsulating logic into functions. This reduces reusability and readability.
   - Solution: Create functions to load data, preprocess it, train the model, and evaluate performance. This enhances code organization.
    ```python
    def load_data(filepath):
        return pd.read_csv(filepath)
    def preprocess_data(df):
        # Handle missing values and encode categorical features
        pass
    def train_model(X_train, y_train):
        model = GradientBoostingClassifier(n_estimators=100, random_state=42)
        model.fit(X_train, y_train)
        return model
    ```
7. **Potential Data Leakage**:
   - Problem: If any preprocessing is done on the entire dataset before splitting, it might lead to data leakage. For instance, if you normalize, scale, or encode the features before dividing into train and test, information from the test set can influence the training.
   - Solution: Ensure any preprocessing steps such as normalization or scaling are applied separately to training and test datasets.
8. **File Path Management**:
   - Problem: The code uses a hard-coded string for the filename. If the file path changes or the code is moved, it might fail.
   - Solution: Consider using relative paths or configuration files to manage file paths or add error handling around file reading to inform the user if the file does not exist.
9. **Insufficient Comments and Documentation**:
   - Problem: The code lacks comments and documentation. Future readers may struggle to understand the intent and function of particular lines.
   - Solution: Add comments explaining each step, particularly around important processing and modeling steps.
By addressing these points, the Python code can be improved in terms of robustness, maintainability, and clarity, leading to better outcomes in model training and evaluation.</t>
  </si>
  <si>
    <t>## Code Review: Hospital Readmission Classifier
This code has several significant issues spanning data quality, modeling methodology, and software engineering practices. Here's a thorough breakdown:
---
### 1. No Data Validation or Error Handling
```python
# Current code - will crash or silently produce bad results
df = pd.read_csv("hospital.csv")
X = df[features]
```
**Problems:**
- No check that the file loaded successfully or contains expected columns
- No verification that required columns exist before accessing them
- Silent failures if the CSV has unexpected structure
```python
# Better approach
import os
if not os.path.exists("hospital.csv"):
    raise FileNotFoundError("Dataset not found")
df = pd.read_csv("hospital.csv")
required_columns = features + ["readmitted_within_30_days"]
missing = set(required_columns) - set(df.columns)
if missing:
    raise ValueError(f"Missing required columns: {missing}")
```
---
### 2. No Missing Value Handling
```python
# Current code skips this entirely
X = df[features]
```
**Problem:** Real hospital data almost always has missing values. GradientBoostingClassifier will raise an error or produce wrong results if `NaN` values are present.
```python
# At minimum, check for missing values
print(X.isnull().sum())
# Then make an explicit, documented decision
# Option A: Drop rows (risky if data is not missing at random)
X = X.dropna()
# Option B: Impute (preferred for medical data)
from sklearn.impute import SimpleImputer
imputer = SimpleImputer(strategy="median")  # median is more robust than mean
X_imputed = imputer.fit_transform(X_train)  # fit ONLY on training data
```
---
### 3. Categorical Feature `discharge_type` Not Encoded
```python
features = [
    "age", "bmi", "blood_pressure", "num_symptoms",
    "insurance_claim_amount", "discharge_type"  # &lt;-- likely categorical
]
```
**Problem:** `discharge_type` is almost certainly a string category (e.g., "home", "rehab", "skilled nursing"). Passing raw strings to sklearn will raise a `ValueError`.
```python
# Explicit encoding with documented assumptions
from sklearn.preprocessing import OrdinalEncoder, OneHotEncoder
# If discharge_type has no ordinal meaning, use one-hot encoding
encoder = OneHotEncoder(sparse_output=False, handle_unknown="ignore")
discharge_encoded = encoder.fit_transform(X_train[["discharge_type"]])
# Better: use a Pipeline to handle this cleanly (see item 8)
```
---
### 4. No Feature Scaling for Numeric Features
```python
model = GradientBoostingClassifier(...)
model.fit(X_train, y_train)
```
**Note:** While GBM is not sensitive to feature scale, this code may later be compared against or extended with algorithms (e.g., logistic regression, SVM) that *are* scale-sensitive. Establishing a pipeline now prevents errors later.
---
### 5. Data Leakage Risk — Preprocessing Must Happen After Splitting
```python
# If any preprocessing were applied to the full df before this line,
# it would leak test data into training
X_train, X_test, y_train, y_test = train_test_split(...)
```
**Problem:** Any imputation, encoding, or scaling applied *before* `train_test_split` causes data leakage — the model indirectly learns statistics from the test set.
```python
# Correct pattern: fit preprocessors ONLY on training data
imputer.fit(X_train)          # learn statistics from training set only
X_train = imputer.transform(X_train)
X_test = imputer.transform(X_test)   # apply learned stats to test set
```
---
### 6. Accuracy Is a Misleading Metric for Medical Data
```python
print(f"Accuracy: {accuracy_score(y_test, y_pred):.4f}")
```
**Problem:** Hospital readmission datasets are typically heavily imbalanced (e.g., 85% not readmitted, 15% readmitted). A model that always predicts "not readmitted" would achieve 85% accuracy while being clinically useless. Missing a readmission case (false negative) has serious consequences.
```python
from sklearn.metrics import (
    classification_report,
    roc_auc_score,
    confusion_matrix,
    ConfusionMatrixDisplay
)
# Comprehensive evaluation
print(classification_report(y_test, y_pred))
print(f"ROC-AUC: {roc_auc_score(y_test, model.predict_proba(X_test)[:, 1]):.4f}")
# Visualize confusion matrix to understand error types
cm = confusion_matrix(y_test, y_pred)
ConfusionMatrixDisplay(cm).plot()
```
---
### 7. No Cross-Validation — Single Split Is Unreliable
```python
X_train, X_test, y_train, y_test = train_test_split(
    X, y, test_size=0.2, random_state=42
)
```
**Problem:** Performance on a single 80/20 split is highly dependent on which samples happened to land in the test set. This is especially risky with medical data, which may have temporal or demographic structure.
```python
from sklearn.model_selection import StratifiedKFold, cross_validate
# Stratified to preserve class ratio across folds
cv = StratifiedKFold(n_splits=5, shuffle=True, random_state=42)
results = cross_validate(
    model, X, y,
    cv=cv,
    scoring=["roc_auc", "f1"],
    return_train_score=True  # helps detect overfitting
)
print(f"CV ROC-AUC: {results['test_roc_auc'].mean():.4f} ± {results['test_roc_auc'].std():.4f}")
```
---
### 8. No Pipeline — Preprocessing Steps Are Disconnected
**Problem:** Manually chaining preprocessing and modeling is error-prone and makes deployment risky — it's easy to forget a step or apply them in the wrong order.
```python
from sklearn.pipeline import Pipeline
from sklearn.compose import ColumnTransformer
from sklearn.preprocessing import StandardScaler, OneHotEncoder
from sklearn.impute import SimpleImputer
numeric_features = ["age", "bmi", "blood_pressure", "num_symptoms", "insurance_claim_amount"]
categorical_features = ["discharge_type"]
numeric_pipeline = Pipeline([
    ("imputer", SimpleImputer(strategy="median")),
    ("scaler", StandardScaler())
])
categorical_pipeline = Pipeline([
    ("imputer", SimpleImputer(strategy="most_frequent")),
    ("encoder", OneHotEncoder(handle_unknown="ignore"))
])
preprocessor = ColumnTransformer([
    ("num", numeric_pipeline, numeric_features),
    ("cat", categorical_pipeline, categorical_features)
])
full_pipeline = Pipeline([
    ("preprocessor", preprocessor),
    ("classifier", GradientBoostingClassifier(n_estimators=100, random_state=42))
])
full_pipeline.fit(X_train, y_train)
```
---
### 9. Hyperparameters Are Hardcoded Without Tuning
```python
model = GradientBoostingClassifier(n_estimators=100, random_state=42)
```
**Problem:** `n_estimators=100` is an arbitrary default. Key parameters like `learning_rate`, `max_depth`, and `subsample` are left at defaults, which may not suit this dataset.
```python
from sklearn.model_selection import RandomizedSearchCV
import scipy.stats as stats
param_distributions = {
    "classifier__n_estimators": [100, 200, 500],
    "classifier__learning_rate": stats.loguniform(0.01, 0.3),
    "classifier__max_depth": [3, 4, 5, 6],
    "classifier__subsample":</t>
  </si>
  <si>
    <t># Code Review: Issues and Problems Found
## 1. **No Data Validation or Error Handling** ⚠️
**Problem:** The code doesn't check if the CSV file exists or if required columns are present.
```python
df = pd.read_csv("hospital.csv")  # What if file doesn't exist?
```
**Fix:**
```python
try:
    df = pd.read_csv("hospital.csv")
except FileNotFoundError:
    print("Error: hospital.csv not found")
    exit(1)
```
## 2. **No Missing Value Handling** ⚠️
**Problem:** If there are NaN values in the dataset, they'll cause silent failures or unexpected behavior.
```python
X = df[features]  # Contains NaN values? sklearn will error or ignore them
```
**Fix:**
```python
print(df[features].isnull().sum())  # Check for missing values
X = df[features].dropna()
y = df.loc[X.index, "readmitted_within_30_days"]
```
## 3. **No Data Type Validation** ⚠️
**Problem:** Mixed data types (categorical vs numerical) aren't handled. "discharge_type" appears categorical but isn't encoded.
```python
features = [
    "age", "bmi", "blood_pressure", "num_symptoms",
    "insurance_claim_amount", "discharge_type"  # categorical?
]
```
**Fix:**
```python
# Encode categorical features
from sklearn.preprocessing import LabelEncoder
X = X.copy()
X['discharge_type'] = LabelEncoder().fit_transform(X['discharge_type'])
# Or use OneHotEncoder for better practice
```
## 4. **No Feature Scaling** ⚠️
**Problem:** Features with different scales (BMI vs insurance amounts) can skew gradient boosting results and training speed.
```python
model.fit(X_train, y_train)  # Features may have very different ranges
```
**Fix:**
```python
from sklearn.preprocessing import StandardScaler
scaler = StandardScaler()
X_train_scaled = scaler.fit_transform(X_train)
X_test_scaled = scaler.transform(X_test)
model.fit(X_train_scaled, y_train)
```
## 5. **Only Using Accuracy Metric** ⚠️
**Problem:** Accuracy alone is insufficient, especially for imbalanced datasets. Doesn't reveal false positives/negatives.
```python
print(f"Accuracy: {accuracy_score(y_test, y_pred):.4f}")
```
**Fix:**
```python
from sklearn.metrics import precision_score, recall_score, f1_score, confusion_matrix
print(f"Accuracy: {accuracy_score(y_test, y_pred):.4f}")
print(f"Precision: {precision_score(y_test, y_pred):.4f}")
print(f"Recall: {recall_score(y_test, y_pred):.4f}")
print(f"F1-Score: {f1_score(y_test, y_pred):.4f}")
print(f"Confusion Matrix:\n{confusion_matrix(y_test, y_pred)}")
```
## 6. **No Class Imbalance Check** ⚠️
**Problem:** Healthcare datasets are often imbalanced; the model might be biased toward majority class.
```python
print(y.value_counts())  # Should check distribution
```
## 7. **Hardcoded File Path** ⚠️
**Problem:** Not flexible for different environments or data locations.
```python
df = pd.read_csv("hospital.csv")  # Hardcoded path
```
**Fix:**
```python
import os
data_path = os.path.join("data", "hospital.csv")
df = pd.read_csv(data_path)
```
## 8. **No Train-Validation-Test Split** ⚠️
**Problem:** Should use a validation set to tune hyperparameters, not just train/test.
```python
X_train, X_test, y_train, y_test = train_test_split(...)
```
## 9. **No Documentation or Comments** 🔴
**Problem:** Code lacks docstrings or meaningful comments explaining intent.
## 10. **Magic Numbers** 🔴
**Problem:** Values like `0.2`, `100`, `42` aren't explained.
```python
test_size=0.2, n_estimators=100, random_state=42
```
---
## **Improved Version:**
```python
import pandas as pd
from sklearn.model_selection import train_test_split
from sklearn.ensemble import GradientBoostingClassifier
from sklearn.preprocessing import StandardScaler, LabelEncoder
from sklearn.metrics import accuracy_score, precision_score, recall_score, f1_score
import os
# Configuration
DATA_PATH = "hospital.csv"
TEST_SIZE = 0.2
RANDOM_STATE = 42
N_ESTIMATORS = 100
# Load data
try:
    df = pd.read_csv(DATA_PATH)
except FileNotFoundError:
    raise FileNotFoundError(f"Data file not found: {DATA_PATH}")
# Feature selection
features = ["age", "bmi", "blood_pressure", "num_symptoms", 
            "insurance_claim_amount", "discharge_type"]
target = "readmitted_within_30_days"
# Handle missing values
df = df.dropna(subset=features + [target])
# Prepare data
X = df[features].copy()
y = df[target]
# Encode categorical features
X['discharge_type'] = LabelEncoder().fit_transform(X['discharge_type'])
# Split data
X_train, X_test, y_train, y_test = train_test_split(
    X, y, test_size=TEST_SIZE, random_state=RANDOM_STATE
)
# Scale features
scaler = StandardScaler()
X_train = scaler.fit_transform(X_train)
X_test = scaler.transform(X_test)
# Train model
model = GradientBoostingClassifier(n_estimators=N_ESTIMATORS, random_state=RANDOM_STATE)
model.fit(X_train, y_train)
# Evaluate
y_pred = model.predict(X_test)
print(f"Accuracy:  {accuracy_score(y_test, y_pred):.4f}")
print(f"Precision: {precision_score(y_test, y_pred):.4f}")
print(f"Recall:    {recall_score(y_test, y_pred):.4f}")
print(f"F1-Score:  {f1_score(y_test, y_pred):.4f}")
```</t>
  </si>
  <si>
    <t>The provided Python code attempts to build and evaluate a Gradient Boosting Classifier. While it follows a basic machine learning workflow, it has several significant issues, bugs, and bad practices common in initial drafts, especially concerning data handling, model robustness, and evaluation.
Here's a detailed breakdown of the problems:
---
### Issues, Bugs, and Bad Practices:
1.  **No Data Inspection/Exploratory Data Analysis (EDA)**
    *   **Problem**: The code immediately loads the CSV and proceeds to model building without any inspection of the data. This is a critical omission.
    *   **Explanation**: Before training any model, it's essential to understand the data's structure, types, distributions, and potential issues. This typically involves:
        *   `df.head()`: To see the first few rows.
        *   `df.info()`: To check data types and non-null counts.
        *   `df.describe()`: To get statistical summaries of numerical columns.
        *   `df.isnull().sum()`: To identify missing values.
        *   `df['target_column'].value_counts()`: To check target variable balance.
    *   **Consequence**: Without EDA, you're building a model blind, leading to downstream errors or incorrect assumptions, as seen in the next points.
2.  **Unaddressed Categorical Features**
    *   **Problem**: The `discharge_type` feature is included directly in `X` without any encoding.
    *   **Explanation**: `discharge_type` is highly likely to be a categorical variable (e.g., 'home', 'rehab', 'deceased'). Machine learning models, especially tree-based ones, expect numerical input. If `discharge_type` is an object/string type, `model.fit()` will raise a `ValueError`. If it has somehow been loaded as integers but represents categories, treating it as an ordinal numerical feature would be incorrect and mislead the model.
    *   **Solution**: Categorical features need to be preprocessed using techniques like One-Hot Encoding (`pd.get_dummies` or `sklearn.preprocessing.OneHotEncoder`) or Label Encoding, depending on the nature of the feature and the model.
3.  **No Missing Value Handling**
    *   **Problem**: There's no check for or handling of missing values in `df`, `X`, or `y`.
    *   **Explanation**: If any of the selected `features` or the `target` column (`readmitted_within_30_days`) contain `NaN` (Not a Number) values, `model.fit()` will raise a `ValueError` (or `TypeError` depending on the exact context) because scikit-learn estimators generally do not accept missing values directly.
    *   **Solution**: Missing values need to be identified (`df.isnull().sum()`) and then handled through imputation (e.g., mean, median, mode) or by dropping rows/columns, based on data characteristics and domain knowledge.
4.  **No Stratified Sampling for Train-Test Split**
    *   **Problem**: The `train_test_split` function is called without the `stratify` parameter.
    *   **Explanation**: If the target variable `y` (`readmitted_within_30_days`) is imbalanced (e.g., only 10% of patients are readmitted), a simple random split might result in the training or testing set having a disproportionate number of one class. This can lead to a less representative test set and a model that trains poorly on the minority class.
    *   **Solution**: For classification problems with potentially imbalanced targets, `stratify=y` should be used:
        ```python
        X_train, X_test, y_train, y_test = train_test_split(
            X, y, test_size=0.2, random_state=42, stratify=y # Added stratify
        )
        ```
5.  **Inadequate Evaluation Metric (Accuracy for Classification)**
    *   **Problem**: Only `accuracy_score` is used to evaluate the model.
    *   **Explanation**: Accuracy can be a misleading metric, especially in binary classification problems with imbalanced datasets. For instance, if only 5% of patients are readmitted, a "dummy" model that *always* predicts "not readmitted" would achieve 95% accuracy, despite being completely useless for identifying actual readmissions.
    *   **Solution**: For classification tasks, a more comprehensive evaluation typically includes metrics like:
        *   **Confusion Matrix**: To see True Positives, True Negatives, False Positives, False Negatives.
        *   **Precision, Recall, F1-score**: Especially important for imbalanced classes, as they focus on the performance for the positive class.
        *   **ROC AUC (Receiver Operating Characteristic - Area Under the Curve)**: A robust metric for binary classification that evaluates the model's ability to distinguish between classes across different thresholds.
6.  **No Hyperparameter Tuning**
    *   **Problem**: The `GradientBoostingClassifier` is instantiated with `n_estimators=100` and `random_state=42`, but no other hyperparameters are explicitly set or tuned.
    *   **Explanation**: Using default parameters (or just a few basic ones) rarely yields optimal performance for a machine learning model. Parameters like `learning_rate`, `max_depth`, `subsample`, `min_samples_split`, `min_samples_leaf`, etc., significantly impact the model's performance and generalization ability.
    *   **Solution**: Hyperparameter tuning techniques like `GridSearchCV` or `RandomizedSearchCV` should be employed to find the best set of hyperparameters for the specific dataset.
7.  **No Cross-Validation**
    *   **Problem**: The model is evaluated on a single train-test split.
    *   **Explanation**: A single train-test split provides a performance estimate that can be sensitive to the particular random split. It might not generalize well to unseen data.
    *   **Solution**: Cross-validation (e.g., K-Fold Cross-Validation) provides a more robust and reliable estimate of the model's performance by training and evaluating the model multiple times on different subsets of the data. This helps assess the model's stability and generalization capabilities.
8.  **Lack of Robustness and Error Handling**
    *   **Problem**: The code assumes `hospital.csv` exists and has the expected columns.
    *   **Explanation**: If `hospital.csv` is not found, `pd.read_csv()` will raise a `FileNotFoundError`. If the specified `features` or `readmitted_within_30_days` column are missing, a `KeyError` will occur. There's no graceful handling for these common scenarios.
    *   **Solution**: Wrap data loading and column selection in `try-except` blocks to handle potential errors.
9.  **No Preprocessing Pipeline**
    *   **Problem**: Preprocessing steps (like handling categorical features, missing values, or scaling) are not integrated into a `Pipeline`.
    *   **Explanation**: If multiple preprocessing steps are needed, manually applying them to `X_train` and then separately to `X_test` (and future new data) is error-prone and can lead to data leakage (e.g., if imputation values are calculated on the entire dataset before splitting).
    *   **Solution**: `sklearn.pipeline.Pipeline` should be used. This ensures that preprocessing steps are applied consistently and correctly to both training and test data, preventing data leakage and simplifying the workflow.
10. **Lack of Modularity/Functions**
    *   **Problem**: The code is written as a single, linear script.
    *   **Explanation**: For more complex workflows, a single script can become hard to read, maintain, and reuse.
    *   **Solution**: Breaking the code into logical functions (e.g., `load_and_preprocess_data()`, `train_model()`, `evaluate_model()`) improves readability, reusability, and testability.
---
### Revised Code (Illustrative Improvements - not fully comprehensive for all issues)
```python
import pandas as pd
from sklearn.model_selection import train_test_split, cross_val_score, GridSearchCV
from sklearn.ensemble import GradientBoostingClassifier
from sklearn.metrics import accuracy_score, classification_report, confusion_matrix, roc_auc_score
from sklearn.preprocessing import OneHotEncoder
from sklearn.compose import ColumnTransformer
from sklearn.pipeline import Pipeline
import numpy as np # For potential NaN handling
# 1. Data Loading with Error Handling
try:
    df = pd.read_csv("hospital.csv")
except FileNotFoundError:
    print("Error: hospital.csv not found. Please ensure the file is in the correct directory.")
    exit()
# 2. Initial Data Inspection (Crucial EDA step)
print("--- Initial Data Info ---")
df.info()
print("\n--- Missing Values ---")
print(df.isnull().sum())
print("\n--- Target Variable Distribution ---")
print(df["readmitted_within_30_days"].value_counts(normalize=True))
# Define features and target
features = [
    "age", "bmi", "blood_pressure", "num_symptoms",
    "insurance_claim_amount", "discharge_type"
]
target = "readmitted_within_30_days"
# Check if all features and target exist in the DataFrame
missing_cols = [col for col in features + [target] if col not in df.columns]
if missing_cols:
    print(f"Error: Missing columns in CSV file: {', '.join(missing_cols)}")
    exit()
X = df[features]
y = df[target]
# Identify numerical and categorical features
numerical_features = [col for col in X.columns if X[col].dtype in ['int64', 'float64']]
categorical_features = [col for col in X.columns if X[col].dtype == 'object' or col == 'discharge_type'] # Ensure discharge_type is treated as categorical
# 3. Preprocessing Pipeline for robust handling
# Define preprocessor: Impute missing numerical values (if any) and One-Hot Encode categorical features
preprocessor = ColumnTransformer(
    transformers=[
        ('num', 'passthrough', numerical_features), # 'passthrough' if no imputation needed, else SimpleImputer
        ('cat', OneHotEncoder(handle_unknown='ignore'), categorical_features)
    ],
    remainder='drop' # Drop any columns not specified
)
# 4. Train-Test Split with Stratification
X_train, X_test, y_train, y_test = train_test_split(
    X, y, test_size=0.2, random_state=42, stratify=y # Added stratify=y
)
# 5. Model Pipeline (including preprocessor and classifier)
model_pipeline = Pipeline(steps=[
    ('preprocessor', preprocessor),
    ('classifier', GradientBoostingClassifier(random_state=42))
])
# 6. Hyperparameter Tuning (Example with GridSearchCV)
# Define parameter grid for GridSearch
param_grid = {
    'classifier__n_estimators': [50, 100, 200],
    'classifier__learning_rate': [0.01, 0.1, 0.2],
    'classifier__max_depth': [3, 4, 5]
}
print("\n--- Starting Grid Search for Hyperparameter Tuning ---")
grid_search = GridSearchCV(model_pipeline, param_grid, cv=5, scoring='roc_auc', n_jobs=-1, verbose=1)
grid_search.fit(X_train, y_train)
print(f"\nBest parameters found: {grid_search.best_params_}")
print(f"Best ROC AUC score: {grid_search.best_score_:.4f}")
# Use the best model found by GridSearch
best_model = grid_search.best_estimator_
# 7. Model Evaluation with Comprehensive Metrics
print("\n--- Model Evaluation on Test Set ---")
y_pred = best_model.predict(X_test)
y_pred_proba = best_model.predict_proba(X_test)[:, 1] # Probability of positive class
print(f"Accuracy: {accuracy_score(y_test, y_pred):.4f}")
print(f"ROC AUC Score: {roc_auc_score(y_test, y_pred_proba):.4f}")
print("\nClassification Report:")
print(classification_report(y_test, y_pred))
print("\nConfusion Matrix:")
print(confusion_matrix(y_test, y_pred))
# 8. Cross-Validation (Optional, but good for robust performance estimation)
# Note: GridSearch already performed CV, but if not using GridSearch, this is good.
# cv_scores = cross_val_score(best_model, X, y, cv=5, scoring='roc_auc', n_jobs=-1)
# print(f"\nCross-validation ROC AUC scores: {cv_scores}")
# print(f"Mean CV ROC AUC: {np.mean(cv_scores):.4f} (+/- {np.std(cv_scores):.4f})")
```</t>
  </si>
  <si>
    <t>The code you provided does not contain explicit data leakage related to how the train-test split or model training is structured. The test set is properly separated from the training process with `train_test_split`, and the model only uses features available at prediction time.
However, to ensure there's no inadvertent form of data leakage, we should inspect the features being used:
1. **Insurance Claim Amount**: This feature could potentially introduce leakage, depending on the context. If "insurance_claim_amount" includes information that is only available after treatments or outcomes relevant to whether a patient is readmitted, it could lead to leakage. If this feature reflects decisions or outcomes that happen after the target condition (readmission) is determined, then it would not be available at prediction time and would indeed be a source of leakage.
2. **Discharge Type**: Similar to the insurance claim amount, if "discharge_type" is determined based on processes or knowledge that occur after the patient's readmission status is known, it would also be problematic. However, if it only reflects the type of discharge (such as certain procedures or recommendations given at the time of discharge) that would reasonably be available before or independent of future readmission, it should be fine.
To conclusively determine the presence of leakage, you should ensure:
- The features used are available before the outcome (readmission) and are not reliant on any information obtained after the target event.
- Review domain knowledge to understand when each feature is captured in relation to the target event (readmission within 30 days).
Without additional context about how these features are generated and captured, it's impossible to fully assure against data leakage just by examining this code. Nonetheless, based on the described pipeline, the overall structure of test-train separation is sound.</t>
  </si>
  <si>
    <t>Upon reviewing the provided Python machine learning pipeline code, it appears to be fundamentally sound regarding the process of splitting data into training and test sets and fitting a model. However, there are potential sources of data leakage that need to be examined, primarily related to the features being used in the model.
### Potential Data Leakage Analysis
1. **Features Related to Time and Predictive Timing**:
   - The features `"insurance_claim_amount"` and `"discharge_type"` may introduce forms of data leakage if they encode information about future patient status or events that are not available at the time of prediction. For instance:
     - If the `"insurance_claim_amount"` reflects treatment or resources that are only determined after the patient’s health outcomes become known (e.g., if greater costs correlate with poor outcomes), it could leak future information regarding readmission status.
     - The `"discharge_type"` might also provide insights into the patient's post-discharge care or condition. For example, if patients discharged to rehabilitation facilities have different readmission rates than those discharged home, this might encode post-discharge outcomes that would not be known at the time of making predictions.
### Why This is a Problem
Data leakage leads to overly optimistic estimates of model performance during evaluation. If the model learns from information that will not be available in a real-world prediction scenario (like knowing the discharge type or insurance claim amounts before the patient is treated), it can result in inflated accuracy scores when validating the model using the test set.
During real-world application, this information might not be available until after decisions are made based on the model’s predictions. Consequently, the model wouldn’t perform as well in production settings, as it wouldn’t have access to the same set of information.
### Recommendations
1. **Re-evaluate Features**: Carefully consider whether the features you're using could be affected by knowledge of the target variable. Particularly, assess whether `"insurance_claim_amount"` and `"discharge_type"` should be included in the feature set.
2. **Conduct Feature Engineering**: Aggregate or transform features to avoid duplication of prediction time information. For example, if relevant to the model, consider utilizing historical data up to the time of discharge, rather than features that imply outcomes or conditions post-discharge.
3. **Data Splitting Methodology**: Ensure that your data splitting method maintains temporal integrity where necessary (if applicable) and that features are prepared before splitting to prevent any leakage from the training to the test set.
By addressing these points, the potential for data leakage can be mitigated, leading to a robust machine learning model that performs reliably in practical applications.</t>
  </si>
  <si>
    <t>## Data Leakage Analysis
### Summary
This code contains **two instances of data leakage**, both involving features that encode information about the outcome that would not be legitimately available at prediction time.
---
### Leakage Instance 1: `discharge_type`
```python
features = [
    "age", "bmi", "blood_pressure", "num_symptoms",
    "insurance_claim_amount", "discharge_type"  # ← leakage
]
```
**Why this is leakage:**
`discharge_type` (e.g., "discharged to home," "transferred to SNF," "left against medical advice") is determined at the *end* of a hospital stay. It is a consequence of the patient's condition and clinical decisions made during admission — the same factors that determine whether a patient will be readmitted.
In a real deployment, the model would be used to predict readmission risk *at or before* discharge so that interventions can be made. At that decision point, `discharge_type` is either unknown or is itself part of the decision being made. Using it as a feature means the model learns a relationship that is either:
- **Circular** — discharge type partly encodes the severity that causes readmission, or
- **Post-hoc** — the feature is only finalized after the outcome window has begun
**Concrete example of the problem:**
```
Patient is in poor condition → 
  assigned discharge_type = "skilled nursing facility" AND 
  readmitted_within_30_days = 1
Model learns: SNF discharge → readmission
But at prediction time, discharge type isn't yet decided
```
---
### Leakage Instance 2: `insurance_claim_amount`
```python
features = [
    "age", "bmi", "blood_pressure", "num_symptoms",
    "insurance_claim_amount",  # ← leakage
    "discharge_type"
]
```
**Why this is leakage:**
Insurance claim amounts are typically **finalized after discharge**, incorporating billing codes for all procedures, diagnoses, and complications during the stay. A higher claim amount strongly correlates with a more complex or severe admission — which in turn correlates with readmission risk.
This creates leakage because:
1. The claim amount **reflects the full severity** of the stay, including late-developing complications
2. It is **not available** when a clinician needs to assess readmission risk
3. It may even incorporate charges related to **complications that cause readmission**
---
### The Core Structural Problem
Both leaking features share the same pattern:
```
Outcome (readmission) ←── Patient severity ──→ Leaking feature
                                                (discharge_type,
                                                 claim_amount)
```
They are downstream consequences of the same latent variable (patient severity/complexity) that drives the target. The model exploits this correlation during training, producing **inflated accuracy** that will not replicate in production.
---
### How to Fix It
```python
# Remove features that are not available at prediction time
features = [
    "age",
    "bmi",
    "blood_pressure",
    "num_symptoms",
    # "insurance_claim_amount" — removed: finalized post-discharge
    # "discharge_type"         — removed: determined at end of stay
]
# If discharge_type IS genuinely known before the prediction decision,
# document that assumption explicitly and validate it with domain experts
```
**Additional recommended safeguards:**
```python
# Use a temporal split if data has timestamps, rather than random split
# This better simulates real deployment conditions
X_train, X_test, y_train, y_test = train_test_split(
    X, y,
    test_size=0.2,
    shuffle=False,   # preserve temporal order
    # random_state=42  # remove when using temporal split
)
```
---
### Non-Issues in This Code
The remaining mechanics are sound:
| Aspect | Assessment |
|---|---|
| Train/test split order | ✅ Split happens before model fitting |
| Preprocessing | ✅ No fitted transformers that could leak test statistics |
| Target encoding | ✅ Target is not used to construct any feature |
| Cross-validation | N/A — not used, but absence isn't itself leakage |
The critical issue is entirely in **feature selection**, not in the mechanics of the pipeline itself.</t>
  </si>
  <si>
    <t># Data Leakage Review
## **CRITICAL DATA LEAKAGE DETECTED**
This code contains **serious data leakage** through the `insurance_claim_amount` feature.
### Why This Is Leakage
**`insurance_claim_amount` is determined by what actually happens to the patient after admission.** Here's the causal flow:
```
Patient admitted → Treatment occurs → Readmission happens (or doesn't)
                                              ↓
                                    Insurance claim filed
                                              ↓
                                    Claim amount determined
```
The insurance claim amount is a **consequence** of readmission, not a predictor of it. In a real prediction scenario:
- **At prediction time** (when the patient is admitted): You don't know yet whether they'll be readmitted, so you cannot know the claim amount
- **During training**: The model learns that certain claim amounts correlate with readmission because the claim amount itself encodes information about what happened to the patient
- **Result**: The model appears more accurate during testing than it will be in production, because it's using information that wouldn't actually be available
### The Problem in Practice
If you deploy this model to predict readmission risk at admission time, the model will fail because:
1. You won't have `insurance_claim_amount` for a new patient
2. Even if you did, any claim amount entered at admission would be a guess or placeholder, not the actual amount
3. The model's reported 78-80% accuracy (typical for this setup) is artificially inflated
### How to Fix It
Remove the leaking feature:
```python
features = [
    "age", "bmi", "blood_pressure", "num_symptoms",
    "discharge_type"
    # Remove: "insurance_claim_amount"
]
```
The revised model will have lower accuracy, but that accuracy will be **honest and meaningful** for real-world prediction.</t>
  </si>
  <si>
    <t>Upon reviewing the provided Python machine learning pipeline code, I can state that **the code is free of data leakage, given reasonable assumptions about the nature of the features and the timing of the prediction.**
Here's a detailed explanation:
### Why the Code is Free of Data Leakage
1.  **Correct Train-Test Split Application:**
    *   The most critical step in preventing data leakage is performing the `train_test_split` *before* any model training or data-dependent preprocessing. This code correctly implements this by splitting `X` and `y` into `_train` and `_test` sets right after loading the data and selecting features.
    *   The model is then `fit` *only* on `X_train` and `y_train`. This ensures that no information from the test set is used to learn the model's parameters.
2.  **Feature Availability at Prediction Time:**
    *   The chosen features (`age`, `bmi`, `blood_pressure`, `num_symptoms`, `insurance_claim_amount`, `discharge_type`) are all plausible features that would be available at the time a prediction for "readmitted_within_30_days" would typically be made.
    *   **Common Use Case:** Predicting 30-day readmission is usually done at the point of patient discharge.
        *   `age`, `bmi`, `blood_pressure`, `num_symptoms` are known at admission or during the stay.
        *   `discharge_type` (e.g., "home," "nursing facility," "another hospital") is explicitly known *at the moment of discharge*.
        *   `insurance_claim_amount` (for the current hospital stay) would also typically be finalized or estimable *at or shortly after discharge*, and certainly before 30 days have passed.
    *   None of these features appear to be derived from future knowledge of whether the patient *actually* readmitted within 30 days.
3.  **Absence of Preprocessing Leakage:**
    *   The code does not include any explicit data preprocessing steps like scaling, imputation, or complex feature engineering. If it did, and if these steps were applied to the *entire dataset* before the train-test split (e.g., fitting a `StandardScaler` on `X` instead of `X_train`), that would be a common source of leakage. Since such steps are absent, this potential leakage point is avoided.
### Potential Edge Cases (Not present in *this* code, but good to consider generally)
*   **Feature Definition:** The interpretation of `insurance_claim_amount` is crucial. If this feature were, for example, the "total claim amount *including any readmission costs*", then it *would* be data leakage because it would implicitly encode the target outcome. However, assuming it refers to the claim for the *initial* stay, it's valid.
*   **Target Encoding:** If `discharge_type` or any other categorical feature were target-encoded (i.e., replaced by the mean target value for that category) using the *entire dataset* before the split, it would cause leakage. The code doesn't perform any such encoding.
In summary, the structure of the pipeline, with the `train_test_split` occurring early and model training strictly on the training data, combined with features that are logically available at the time of prediction, indicates that this code is robust against the described forms of data leakage.</t>
  </si>
  <si>
    <t>Overall, the code you've provided is reasonably structured but there are some aspects that could be improved or need attention:
1. **Missing Error Handling**: 
   - The code assumes that the file "hospital.csv" exists and is formatted correctly. If the file is missing or corrupted, the code will raise an error. Consider adding exception handling for file reading.
   - Example: 
     ```python
     try:
         df = pd.read_csv("hospital.csv")
     except FileNotFoundError:
         print("Error: The file 'hospital.csv' was not found.")
         exit()
     except pd.errors.ParserError:
         print("Error: The file 'hospital.csv' could not be parsed.")
         exit()
     ```
2. **Data Preprocessing**:
   - There’s no data preprocessing involved in the code, which might be crucial for real-world datasets. Issues such as missing values, categorical encoding, or outlier handling are not addressed. It is advisable to explore the dataset and apply necessary preprocessing steps.
   - Example:
     ```python
     if df.isnull().sum().sum() &gt; 0:
         print("Warning: There are missing values in the dataset.")
         # Possibly handle missing data
         # df = df.dropna() or df = df.fillna(method='ffill')
3. **Feature and Target Validation**:
   - The code does not verify if the mentioned features and the target column exist in the dataframe. If they don't exist, this will lead to a KeyError.
   - This should be checked before splitting data:
     ```python
     if not all(feature in df.columns for feature in features):
         print("Error: One or more specified features are not in the dataframe.")
         exit()
     if "readmitted_within_30_days" not in df.columns:
         print("Error: The target column is not in dataframe.")
         exit()
     ```
4. **Magic Numbers**:
   - There's a magic number `100` used for `n_estimators` in the model. Consider replacing it with a named variable or configuration for clarity and easier adjustments.
   - Example:
     ```python
     N_ESTIMATORS = 100
     model = GradientBoostingClassifier(n_estimators=N_ESTIMATORS, random_state=42)
     ```
5. **Improving Logging**:
   - Instead of a naked print statement for the accuracy score, consider using Python's logging library for more control over output and verbosity.
   - Example:
     ```python
     import logging
     logging.basicConfig(level=logging.INFO)
     logging.info(f"Accuracy: {accuracy_score(y_test, y_pred):.4f}")
     ```
6. **Version Control of Libraries**:
   - Though not evident in the code itself, it's a good practice to ensure and document compatibility with specific versions of third-party libraries like pandas and sklearn to prevent compatibility issues.
   - This can be done using a `requirements.txt` or by specifying compatible versions in your scripts or documentation.
By addressing these points, you increase the code’s robustness, readability, and maintainability.</t>
  </si>
  <si>
    <t>The provided Python code is a straightforward implementation of a machine learning pipeline using Pandas and scikit-learn. However, there are several issues, potential bugs, and areas of improvement that can be identified:
1. **Missing Data Handling**:
    - If the dataset (`hospital.csv`) contains any missing values, the code does not handle them before training the model. Not addressing missing data can lead to errors during model fitting or inaccuracies in predictions.
    - **Solution**: Implement data cleaning steps to handle missing values, such as imputation or removal of rows/columns with missing data.
    ```python
    df = df.dropna(subset=features + ["readmitted_within_30_days"]) # Example of dropping rows with missing values
    ```
2. **Feature Selection/Engineering**:
    - There is no validation to check if the selected features (`age`, `bmi`, `blood_pressure`, `num_symptoms`) are indeed relevant or if they are pre-processed (e.g., normalization or scaling). Features may require scaling, especially if the model is sensitive to feature scales.
    - **Solution**: Standardize or normalize numerical features as needed. You can use `StandardScaler` or `MinMaxScaler` from `sklearn.preprocessing`.
    ```python
    from sklearn.preprocessing import StandardScaler
    scaler = StandardScaler()
    X[features] = scaler.fit_transform(X[features])
    ```
3. **Imbalanced Classes**:
    - If the target variable (`readmitted_within_30_days`) is imbalanced (e.g., significantly more 0s than 1s), the model's accuracy may not be a reliable metric. In such cases, the model might predict the majority class most of the time.
    - **Solution**: Consider using additional metrics such as precision, recall, F1-score, or AUC-ROC, or apply techniques like oversampling the minority class, undersampling the majority class, or using class weights.
    ```python
    from sklearn.metrics import classification_report
    print(classification_report(y_test, y_pred))
    ```
4. **Hardcoding File Path**:
    - The path to the dataset ("hospital.csv") is hardcoded, which may not work if the script is run in a different directory.
    - **Solution**: Use relative paths or allow for file path configuration outside the script (e.g., through command line arguments or configuration files).
    ```python
    import os
    df = pd.read_csv(os.path.join('data', 'hospital.csv')) # Example of using a relative path.
    ```
5. **Lack of Pipeline**:
    - Currently, the code does not use any pipeline which can lead to data leakage. Creating a pipeline will ensure any transformations applied to the training data will also be applied to the test data in the same manner, preserving the integrity of the evaluation.
    - **Solution**: Use `Pipeline` from `sklearn.pipeline`.
    ```python
    from sklearn.pipeline import Pipeline
    pipeline = Pipeline(steps=[
        ('scaler', StandardScaler()),
        ('model', GradientBoostingClassifier(n_estimators=100, random_state=42))
    ])
    pipeline.fit(X_train, y_train)
    y_pred = pipeline.predict(X_test)
    ```
6. **Model Evaluation**:
    - The model evaluation is done only by printing accuracy, which can be misleading in certain cases. A confusion matrix could provide more insights into the model's performance.
    - **Solution**: Visualize the confusion matrix and report more stats.
    ```python
    from sklearn.metrics import confusion_matrix
    import seaborn as sns
    import matplotlib.pyplot as plt
    cm = confusion_matrix(y_test, y_pred)
    sns.heatmap(cm, annot=True, fmt='d')
    plt.ylabel('Actual Label')
    plt.xlabel('Predicted Label')
    plt.show()
    ```
7. **No Comments/Documentation**:
    - The code lacks comments or docstrings that describe the purpose of the script, the dataset, or the methodology. While the code may be straightforward, comments can clarify the intent and logic.
    - **Solution**: Add comments explaining major steps in the process.
In summary, while the basic structure of the code is functional for a standard use case, it could benefit from improvements in data handling, model evaluation, and code readability. Addressing the identified issues would result in a more robust and maintainable codebase.</t>
  </si>
  <si>
    <t>## Code Review: Hospital Readmission Classifier
This code has several significant issues spanning data integrity, model evaluation, engineering practices, and clinical safety. Here's a thorough breakdown:
---
### 1. No Data Validation or Inspection
```python
# Current code jumps straight to modeling
df = pd.read_csv("hospital.csv")
X = df[features]
```
**Problems:**
- Missing values are silently passed to the model, which will likely cause a runtime error or corrupt results
- No check for data shape, types, or basic sanity
- No duplicate row detection
```python
# Better approach
df = pd.read_csv("hospital.csv")
print(df.shape)
print(df.dtypes)
print(df.isnull().sum())
print(df.describe())
assert df.duplicated().sum() == 0, "Duplicate rows found"
df = df.dropna(subset=features + ["readmitted_within_30_days"])
```
---
### 2. No Handling of Missing Values
```python
X = df[features]  # Silent NaN passthrough
```
**Problem:** `GradientBoostingClassifier` in scikit-learn does **not** natively handle missing values (unlike XGBoost or LightGBM). This will raise a `ValueError` at fit time, or worse, behave unpredictably depending on the version.
```python
from sklearn.impute import SimpleImputer
from sklearn.pipeline import Pipeline
imputer = SimpleImputer(strategy="median")  # median is more robust than mean for medical data
# Use a pipeline (see item 6 below for full example)
```
---
### 3. Class Imbalance Not Addressed
```python
model = GradientBoostingClassifier(n_estimators=100, random_state=42)
```
**Problem:** Hospital readmission datasets are typically heavily imbalanced (e.g., 10-20% positive rate). Training without addressing this will bias the model toward the majority class.
```python
# Option 1: Use class_weight via a different classifier, or
# Option 2: Use resampling
from imblearn.over_sampling import SMOTE
smote = SMOTE(random_state=42)
X_train_resampled, y_train_resampled = smote.fit_resample(X_train, y_train)
# Option 3: Set scale_pos_weight equivalent via sample_weight
neg, pos = (y_train == 0).sum(), (y_train == 1).sum()
scale = neg / pos
sample_weights = y_train.map({0: 1, 1: scale})
model.fit(X_train, y_train, sample_weight=sample_weights)
```
---
### 4. Wrong Evaluation Metric for Medical Classification
```python
print(f"Accuracy: {accuracy_score(y_test, y_pred):.4f}")
```
**Problem:** Accuracy is misleading for imbalanced datasets. A model that always predicts "not readmitted" could achieve 90% accuracy while being clinically useless. In healthcare, false negatives (missing a patient who will be readmitted) carry serious consequences.
```python
from sklearn.metrics import (
    classification_report,
    roc_auc_score,
    confusion_matrix,
    ConfusionMatrixDisplay,
    average_precision_score
)
print(classification_report(y_test, y_pred))
print(f"ROC-AUC:           {roc_auc_score(y_test, y_pred_proba):.4f}")
print(f"Avg Precision:     {average_precision_score(y_test, y_pred_proba):.4f}")
cm = confusion_matrix(y_test, y_pred)
ConfusionMatrixDisplay(cm).plot()
```
---
### 5. No Cross-Validation
```python
X_train, X_test, y_train, y_test = train_test_split(X, y, test_size=0.2, random_state=42)
model.fit(X_train, y_train)
```
**Problem:** A single train/test split produces a high-variance performance estimate. The reported accuracy may be lucky or unlucky depending on which 20% ended up in the test set.
```python
from sklearn.model_selection import StratifiedKFold, cross_val_score
cv = StratifiedKFold(n_splits=5, shuffle=True, random_state=42)
scores = cross_val_score(model, X, y, cv=cv, scoring="roc_auc")
print(f"CV ROC-AUC: {scores.mean():.4f} ± {scores.std():.4f}")
```
Note: `StratifiedKFold` is important here to preserve class distribution across folds.
---
### 6. No Pipeline — Preprocessing Leakage Risk
```python
# Imputation or scaling computed on full training data is fine,
# but if done outside a pipeline it's easy to accidentally leak test data
imputer.fit(X_train)  # easy to mistakenly write imputer.fit(X) instead
```
**Problem:** Without a pipeline, it's easy to accidentally fit preprocessing steps on the full dataset (including test data), which constitutes data leakage and produces optimistically biased results.
```python
from sklearn.pipeline import Pipeline
from sklearn.preprocessing import StandardScaler
from sklearn.impute import SimpleImputer
pipeline = Pipeline([
    ("imputer", SimpleImputer(strategy="median")),
    ("scaler", StandardScaler()),
    ("classifier", GradientBoostingClassifier(n_estimators=100, random_state=42))
])
pipeline.fit(X_train, y_train)
y_pred = pipeline.predict(X_test)
y_pred_proba = pipeline.predict_proba(X_test)[:, 1]
```
---
### 7. No Hyperparameter Tuning
```python
model = GradientBoostingClassifier(n_estimators=100, random_state=42)
```
**Problem:** Default or arbitrary hyperparameters are used. `n_estimators=100` is not necessarily optimal, and `learning_rate`, `max_depth`, and `subsample` are all left at defaults, which may underfit or overfit.
```python
from sklearn.model_selection import RandomizedSearchCV
param_grid = {
    "classifier__n_estimators": [100, 200, 300],
    "classifier__learning_rate": [0.01, 0.05, 0.1],
    "classifier__max_depth": [3, 4, 5],
    "classifier__subsample": [0.7, 0.8, 1.0]
}
search = RandomizedSearchCV(
    pipeline, param_grid, n_iter=20,
    cv=cv, scoring="roc_auc", random_state=42, n_jobs=-1
)
search.fit(X_train, y_train)
print(search.best_params_)
```
---
### 8. Model Is Never Saved
```python
# Code ends after printing accuracy — model is discarded
print(f"Accuracy: {accuracy_score(y_test, y_pred):.4f}")
```
**Problem:** For a model intended for clinical use, there is no persistence. The trained model cannot be reused, deployed, or audited.
```python
import joblib
joblib.dump(pipeline, "readmission_model_v1.pkl")
# To load later:
loaded_model = joblib.load("readmission_model_v1.pkl")
```
---
### 9. No Reproducibility Guarantees Beyond `random_state`
**Problem:** `random_state` is set in the model but there is no global seed, no dependency version pinning, and no logging of which data version was used. This makes results difficult to reproduce exactly.
```python
# Log environment
import sklearn
print(f"sklearn version: {sklearn.__version__}")
print(f"pandas version: {pd.__version__}")
# Consider using a requirements.txt or pyproject.toml
# Consider hashing the input data for traceability
import hashlib
data_hash = hashlib.</t>
  </si>
  <si>
    <t># Code Review: Issues and Problems Found
## 1. **No Data Validation or Error Handling** ⚠️
**Severity: High**
```python
df = pd.read_csv("hospital.csv")
```
**Problem:** The code assumes the file exists and is readable. No error handling for missing files, corrupted data, or read failures.
**Fix:**
```python
try:
    df = pd.read_csv("hospital.csv")
except FileNotFoundError:
    print("Error: hospital.csv not found")
    exit(1)
except pd.errors.ParserError:
    print("Error: hospital.csv is corrupted")
    exit(1)
```
---
## 2. **No Check for Missing Values** ⚠️
**Severity: High**
```python
X = df[features]
y = df["readmitted_within_30_days"]
```
**Problem:** Missing values in features or target will cause silent failures or poor model performance.
**Fix:**
```python
print(df[features + ["readmitted_within_30_days"]].isnull().sum())
X = df[features].dropna()
y = df.loc[X.index, "readmitted_within_30_days"]
```
---
## 3. **No Verification That Columns Exist** ⚠️
**Severity: High**
```python
X = df[features]
y = df["readmitted_within_30_days"]
```
**Problem:** If columns don't exist, a KeyError will be raised without helpful context.
**Fix:**
```python
required_cols = features + ["readmitted_within_30_days"]
missing_cols = [col for col in required_cols if col not in df.columns]
if missing_cols:
    raise ValueError(f"Missing columns: {missing_cols}")
```
---
## 4. **No Feature Scaling** ⚠️
**Severity: Medium**
**Problem:** GradientBoosting is tree-based and doesn't require scaling, but if this were a regression or non-tree model, the mixed scales of features (age, BMI, blood pressure, symptom count) could cause issues. More importantly, this is undocumented.
**Fix:**
```python
# Add comment explaining why scaling isn't needed:
# GradientBoosting is scale-invariant (tree-based)
```
---
## 5. **Imbalanced Classes Not Addressed** ⚠️
**Severity: Medium**
**Problem:** "Readmitted within 30 days" is likely imbalanced. Accuracy is a poor metric for imbalanced data.
**Fix:**
```python
print(f"Class distribution:\n{y.value_counts()}")
print(f"Class balance: {y.value_counts(normalize=True)}")
# Use better metrics
from sklearn.metrics import precision_recall_fscore_support, roc_auc_score
precision, recall, f1, _ = precision_recall_fscore_support(y_test, y_pred, average='weighted')
print(f"Precision: {precision:.4f}, Recall: {recall:.4f}, F1: {f1:.4f}")
print(f"ROC-AUC: {roc_auc_score(y_test, y_pred_proba):.4f}")
# Consider using scale_pos_weight or class_weight
model = GradientBoostingClassifier(n_estimators=100, random_state=42)
```
---
## 6. **No Data Type Validation** ⚠️
**Severity: Medium**
```python
X = df[features]
y = df["readmitted_within_30_days"]
```
**Problem:** No verification that numeric features are actually numeric, or that target is binary.
**Fix:**
```python
for feature in features:
    if not pd.api.types.is_numeric_dtype(df[feature]):
        raise ValueError(f"{feature} is not numeric")
if not set(y.unique()).issubset({0, 1}):
    raise ValueError("Target must be binary (0 or 1)")
```
---
## 7. **No Train/Validation/Test Split** ⚠️
**Severity: Medium**
**Problem:** Only using train/test split without validation set. Can't tune hyperparameters properly.
**Fix:**
```python
X_temp, X_test, y_temp, y_test = train_test_split(
    X, y, test_size=0.2, random_state=42
)
X_train, X_val, y_train, y_val = train_test_split(
    X_temp, y_temp, test_size=0.25, random_state=42
)
```
---
## 8. **Hardcoded Magic Numbers** 🔴
**Severity: Low**
```python
test_size=0.2
n_estimators=100
```
**Problem:** Magic numbers should be configurable constants.
**Fix:**
```python
TEST_SIZE = 0.2
N_ESTIMATORS = 100
RANDOM_STATE = 42
X_train, X_test, y_train, y_test = train_test_split(
    X, y, test_size=TEST_SIZE, random_state=RANDOM_STATE
)
model = GradientBoostingClassifier(n_estimators=N_ESTIMATORS, random_state=RANDOM_STATE)
```
---
## 9. **No Model Persistence** 🔴
**Severity: Low**
**Problem:** Model is trained but not saved for later use.
**Fix:**
```python
import joblib
joblib.dump(model, "model.pkl")
```
---
## 10. **Limited Evaluation Metrics** 🔴
**Severity: Low**
```python
print(f"Accuracy: {accuracy_score(y_test, y_pred):.4f}")
```
**Problem:** Only shows accuracy. Missing confusion matrix, other metrics, and feature importance.
**Fix:**
```python
from sklearn.metrics import confusion_matrix, classification_report
print(confusion_matrix(y_test, y_pred))
print(classification_report(y_test, y_pred))
print(f"Feature importance: {dict(zip(features, model.feature_importances_))}")
```
---
## Summary Table
| Issue | Severity | Type |
|-------|----------|------|
| No error handling | High | Robustness |
| No missing value check | High | Data Quality |
| No column validation | High | Data Quality |
| Imbalanced classes ignored | Medium | ML Practice |
| No data type validation | Medium | Data Quality |
| No validation set | Medium | ML Practice |
| Magic numbers | Low | Code Quality |
| No model saving | Low | Deployment |
| Limited metrics | Low | Evaluation |</t>
  </si>
  <si>
    <t>This Python script demonstrates a basic machine learning workflow for a classification task. While functional for a quick test, it has several issues, bugs, and bad practices that would make it unreliable, hard to maintain, and potentially lead to misleading results in a real-world scenario.
Here's a breakdown of the problems:
1.  **Lack of Data Quality Checks and Preprocessing:**
    *   **Missing Values (NaNs):** The code directly loads the data and splits it without any check for missing values in `X` or `y`. `GradientBoostingClassifier` generally cannot handle `NaN` values by default and would likely raise an error or produce incorrect results if they are present. Missing values need to be either imputed (e.g., with mean, median, mode) or rows/columns containing them dropped.
    *   **Feature Scaling:** While tree-based models like Gradient Boosting are less sensitive to feature scaling than distance-based models (e.g., SVM, k-NN), it can sometimes still improve performance or convergence, especially if features have vastly different scales. There's no consideration for scaling numerical features.
    *   **Categorical Feature Handling:** The listed features ("age", "bmi", "blood_pressure", "num_symptoms") appear numerical. However, if `hospital.csv` contained any categorical features (e.g., "gender", "ethnicity", "insurance_type"), they would need to be appropriately encoded (e.g., using `OneHotEncoder` or `OrdinalEncoder`) before being used by the model. The code makes no provision for this.
    *   **Outliers:** No steps are taken to identify or handle outliers, which could skew feature distributions and model training.
2.  **Potential for Imbalanced Classes and Inadequate Train-Test Split:**
    *   The target variable `readmitted_within_30_days` is a binary classification problem. Hospital readmission rates are often highly imbalanced (e.g., far fewer patients are readmitted than not).
    *   The `train_test_split` function is called without the `stratify` parameter. If the target variable `y` is imbalanced, this could lead to training and testing sets that have significantly different class distributions, potentially creating a test set with very few (or zero) positive cases, leading to unreliable model evaluation. It's crucial to use `stratify=y` for classification problems with imbalanced classes.
3.  **Misleading Evaluation Metric (Accuracy):**
    *   For imbalanced datasets, `accuracy_score` is a very poor and misleading metric. If, for example, 95% of patients are NOT readmitted, a "dummy" model that always predicts "not readmitted" would achieve 95% accuracy, but it would be useless as it wouldn't identify any patients who *are* readmitted.
    *   More appropriate metrics for binary classification, especially with imbalanced classes, include:
        *   **Precision, Recall, and F1-score:** These provide a more nuanced view of the model's performance on positive and negative classes.
        *   **ROC AUC (Receiver Operating Characteristic Area Under the Curve):** Measures the ability of a classifier to distinguish between classes.
        *   **Confusion Matrix:** Provides a detailed breakdown of true positives, true negatives, false positives, and false negatives.
    *   The choice of metric should depend on the business goal (e.g., is it more costly to miss a readmission (false negative) or incorrectly flag a healthy patient (false positive)?).
4.  **Lack of Robustness and Error Handling:**
    *   **File Not Found:** If "hospital.csv" doesn't exist in the current directory, `pd.read_csv()` will raise a `FileNotFoundError`, crashing the script. There's no `try-except` block to handle this gracefully.
    *   **Missing Columns:** If any of the specified `features` columns or the `readmitted_within_30_days` target column are not present in the CSV file, the script will raise a `KeyError`, causing a crash.
    *   **Empty/Malformed CSV:** The script assumes the CSV is well-formed and contains valid data. It doesn't handle cases where the file might be empty or corrupted.
5.  **No Data Exploration (EDA):**
    *   Before jumping into modeling, it's crucial to perform exploratory data analysis (EDA). This would involve:
        *   `df.head()`, `df.info()`, `df.describe()` to understand the data's structure, types, and summary statistics.
        *   Visualizations (histograms, box plots, scatter plots) to understand feature distributions, relationships, and identify potential issues like outliers.
    *   Skipping EDA means the developer is making assumptions about the data, which can lead to missed opportunities for feature engineering or overlooking critical data quality problems.
6.  **Hardcoded Values and Lack of Configuration:**
    *   The filename (`"hospital.csv"`), target column name (`"readmitted_within_30_days"`), and feature names are hardcoded directly into the script. This makes the code less flexible and harder to reuse for different datasets or variations of the same problem.
    *   It would be better practice to define these as constants at the top of the script or pass them as parameters.
7.  **No Cross-Validation:**
    *   While a single train-test split provides a quick estimate of performance, it can be sensitive to the particular way the data was split.
    *   Cross-validation (e.g., K-Fold Cross-Validation using `cross_val_score` or `KFold` with a pipeline) provides a more robust and reliable estimate of the model's performance across different data partitions, giving a better indication of how well it generalizes and helping to detect overfitting.
8.  **Arbitrary Hyperparameters:**
    *   The `n_estimators=100` for `GradientBoostingClassifier` is an arbitrary choice. While it's a common default, it's rarely optimal for a specific dataset.
    *   Hyperparameter tuning (e.g., using `GridSearchCV` or `RandomizedSearchCV` from `sklearn.model_selection`) should be performed to find the best combination of hyperparameters for the chosen model that maximizes performance.
9.  **No Model Persistence:**
    *   If this model were to be used in a real application, there's no mechanism to save the trained `model` object (e.g., using `joblib` or `pickle`) for later use without retraining.
In summary, while the code executes and produces an accuracy score, it lacks many fundamental practices for building robust, reliable, and evaluable machine learning models, particularly concerning data handling, evaluation, and robustness.</t>
  </si>
  <si>
    <t>The provided code creates a machine learning pipeline that includes loading data, splitting it into a training and a test set, training a model, and evaluating its performance. Upon reviewing the code for potential data leakage concerns, the following observations can be made:
1. **Data Splitting:** The data is being split into training and test sets using `train_test_split` from `sklearn.model_selection`. The data split is done before the model training, which is appropriate. This ensures that the test set is completely independent of the training process, preventing data leakage. Specifically, it avoids information from the test set influencing the training of the model.
2. **Feature Usage:** The features used for training the model are `"age"`, `"bmi"`, `"blood_pressure"`, and `"num_symptoms"`. These features do not seem to include any information that is directly derived from or inadvertently leaks the target variable (`"readmitted_within_30_days"`). Thus, there is no apparent leakage through feature construction.
Overall, based on the provided code, there is no evidence of data leakage. All operations are performed in a way that maintains the integrity of the test set as a true measure of out-of-sample performance. Therefore, the code is free of any data leakage.</t>
  </si>
  <si>
    <t>Upon reviewing the provided Python machine learning pipeline code, there are a few aspects to consider to determine whether data leakage occurs.
### Data Leakage Check
1. **Train-Test Split**: The data is split into training and testing sets using `train_test_split`, which is a good practice to prevent data leakage. This ensures that the test set does not influence the training process.
2. **Feature Selection**: The features selected for `X` (i.e., "age", "bmi", "blood_pressure", "num_symptoms") do not appear to encode information about the target variable "readmitted_within_30_days" that would be unavailable at prediction time. All these features are demographic or clinical measurements that a model could reasonably utilize at the time of prediction.
3. **Model Training and Prediction**: The model is trained on `X_train` and `y_train`, and predictions are made on `X_test`. There is no indication that any of the model fitting process utilizes information from the test set, which is another potential source of data leakage.
### Conclusion
Overall, the code does not appear to contain any forms of data leakage. The procedure for splitting the data, selecting features, and training the model is standard and adheres to the principles of ensuring that the training data does not include any information from the test set. Thus, it is safe to state that this code is free of data leakage.
### Recommended Practices
While the provided code is currently free of data leakage, it’s always wise to keep an eye on the following aspects to ensure data integrity in broader contexts:
- **Feature Engineering**: Any new features derived from the target or incorporating future information should be avoided.
- **Data Collection Timeline**: Ensure that data used for prediction is collected before the event being predicted (e.g., for readmission).
- **Cross-Validation**: When tuning hyperparameters or performing model evaluation, use cross-validation approaches to ensure there’s no leakage across the folds.</t>
  </si>
  <si>
    <t>## Code Review: Data Leakage Analysis
### Verdict: **No Data Leakage Detected**
This pipeline is clean. Here is a systematic breakdown of why.
---
### What the Code Does Correctly
**1. Train/Test Split Happens Before Any Learning**
```python
X_train, X_test, y_train, y_test = train_test_split(
    X, y, test_size=0.2, random_state=42
)
```
The split occurs before any model fitting or data transformation. The test set has no influence on training.
**2. Model is Fit Only on Training Data**
```python
model.fit(X_train, y_train)  # Only sees training data
```
The model never receives `X_test` or `y_test` during fitting.
**3. Features Are Appropriate**
```python
features = ["age", "bmi", "blood_pressure", "num_symptoms"]
```
All four features represent information that would genuinely be available at the time a prediction needs to be made — none of them encode the outcome or any post-outcome information.
**4. Evaluation is Correctly Isolated**
```python
y_pred = model.predict(X_test)
accuracy_score(y_test, y_pred)
```
The test set is only used for final evaluation, which is the correct usage.
---
### What to Watch For If This Pipeline Grows
Although the current code is clean, here are the most common leakage risks that would emerge with common extensions:
| Extension | Leakage Risk |
|---|---|
| Adding feature scaling (e.g., `StandardScaler`) | Fitting the scaler on all data before splitting, or on `X_test` |
| Adding imputation for missing values | Computing fill values (e.g., mean) from the full dataset including test rows |
| Adding feature selection based on correlation with `y` | Running selection before the split |
| Adding a feature like `"total_charges"` | May be a proxy for or consequence of the readmission outcome |
A robust version of any of those additions would use a `sklearn.pipeline.Pipeline` to ensure all fitting steps only ever see training data:
```python
from sklearn.pipeline import Pipeline
from sklearn.preprocessing import StandardScaler
pipeline = Pipeline([
    ("scaler", StandardScaler()),   # fit only on X_train
    ("model", GradientBoostingClassifier(n_estimators=100, random_state=42))
])
pipeline.fit(X_train, y_train)      # scaler.fit_transform applied to X_train only
y_pred = pipeline.predict(X_test)  # scaler.transform applied to X_test
```
---
### Summary
The submitted code is a straightforward, correctly structured pipeline. The split precedes all learning, the features are causally appropriate, and the test set is used only for evaluation. **No data leakage is present.**</t>
  </si>
  <si>
    <t># Data Leakage Review
## Verdict: **NO DATA LEAKAGE DETECTED**
This code is **free of data leakage**. Here's why:
### ✅ Correct Practices Observed
1. **Train-test split occurs before any preprocessing**
   - The split happens immediately after feature selection, before model training
   - Test data is completely isolated from the training process
2. **No statistics computed on full dataset**
   - Features are not scaled, normalized, or transformed using statistics derived from the entire dataset
   - No mean/std/quantiles calculated before the split
3. **Model only sees training data**
   - `model.fit(X_train, y_train)` trains only on the training subset
   - Predictions are made on `X_test`, which was never exposed to the model during training
4. **No target information leakage**
   - All features (`age`, `bmi`, `blood_pressure`, `num_symptoms`) are realistic predictors
   - None appear to be post-hoc measurements or consequences of the target variable
   - These would logically be available at the time of prediction
### ⚠️ Potential Improvements (Not Leakage, But Best Practices)
While there's no leakage here, the code could be improved:
```python
# If adding preprocessing (scaling, imputation, etc.), do this:
from sklearn.preprocessing import StandardScaler
from sklearn.pipeline import Pipeline
pipeline = Pipeline([
    ('scaler', StandardScaler()),
    ('model', GradientBoostingClassifier(n_estimators=100, random_state=42))
])
# Fit ONLY on training data
pipeline.fit(X_train, y_train)
y_pred = pipeline.predict(X_test)
```
This ensures any fit statistics (like the scaler's mean/std) come only from training data.</t>
  </si>
  <si>
    <t>After reviewing the provided Python machine learning pipeline code, I can state that **this code does not contain any form of data leakage.**
Here's why:
1.  **Correct Train-Test Split Order:** The most crucial step to prevent data leakage from the test set to the training process is the order of operations. In this code, `train_test_split` is performed *before* any model training or feature transformation (beyond simple column selection).
    *   `X_train, X_test, y_train, y_test = train_test_split(X, y, test_size=0.2, random_state=42)`
    *   This ensures that the `X_test` and `y_test` datasets are completely isolated from the training process.
2.  **Model Training on Training Data Only:** The `GradientBoostingClassifier` is trained exclusively on the training sets:
    *   `model.fit(X_train, y_train)`
    *   No information from `X_test` or `y_test` is used during the `fit` method.
3.  **Feature Selection Appears Clean:** The selected features (`age`, `bmi`, `blood_pressure`, `num_symptoms`) are standard patient attributes that would be available at the time of a patient's admission or during their hospital stay, *before* the outcome of "readmitted_within_30_days" is known. There's no indication that these features encode information about the target that would not be available at prediction time. For example, if there were a feature like "days_until_readmission" or "discharge_reason_directly_linked_to_readmission_prediction," that would be a clear case of target leakage, but the chosen features appear safe.
The pipeline correctly separates data, trains the model on the training set, and evaluates it on an unseen test set, avoiding the common pitfalls of data leakage.</t>
  </si>
  <si>
    <t>FN</t>
  </si>
  <si>
    <t>TP</t>
  </si>
  <si>
    <t>TN</t>
  </si>
  <si>
    <t>FP</t>
  </si>
  <si>
    <t>Run #</t>
  </si>
  <si>
    <t>Snippet ID</t>
  </si>
  <si>
    <t>Leakage Type</t>
  </si>
  <si>
    <t>Ground Truth</t>
  </si>
  <si>
    <t>Difficulty</t>
  </si>
  <si>
    <t>Prompt Type</t>
  </si>
  <si>
    <t>Provider</t>
  </si>
  <si>
    <t>Model Name</t>
  </si>
  <si>
    <t>Model ID</t>
  </si>
  <si>
    <t>Status</t>
  </si>
  <si>
    <t>Response</t>
  </si>
  <si>
    <t>Timestamp</t>
  </si>
  <si>
    <t>LLM Detected</t>
  </si>
  <si>
    <t>Result</t>
  </si>
  <si>
    <t>Total</t>
  </si>
  <si>
    <t>Accuracy</t>
  </si>
  <si>
    <t>Precision</t>
  </si>
  <si>
    <t>Specificity</t>
  </si>
  <si>
    <t>F1 Score</t>
  </si>
  <si>
    <t>False Positive Rate</t>
  </si>
  <si>
    <t>Model</t>
  </si>
  <si>
    <t>Recall</t>
  </si>
  <si>
    <t>Easy</t>
  </si>
  <si>
    <t>Easy-Medium</t>
  </si>
  <si>
    <t>Medium</t>
  </si>
  <si>
    <t>Medium-Hard</t>
  </si>
  <si>
    <t>Hard</t>
  </si>
  <si>
    <t>Snippet</t>
  </si>
  <si>
    <t>Detection Rate</t>
  </si>
  <si>
    <t>Run</t>
  </si>
  <si>
    <t>Run 1</t>
  </si>
  <si>
    <t>Run 2</t>
  </si>
  <si>
    <t>Run 3</t>
  </si>
  <si>
    <t>LLM Data Leakage Detection — Analysis Report</t>
  </si>
  <si>
    <t>This dashboard evaluates how well five large language models detect data leakage in Python ML code across 20 code snippets (10 with leakage, 10 clean), run 3 times each (600 total evaluations).</t>
  </si>
  <si>
    <t>SECTION 1 — OVERALL CONFUSION MATRIX  (n = 600 evaluations)</t>
  </si>
  <si>
    <t>How to read this: Each of the 600 evaluations is one of four outcomes. TP = correctly flagged leakage. TN = correctly passed clean code. FP = falsely alarmed on clean code. FN = missed real leakage.</t>
  </si>
  <si>
    <t>← Predicted by LLM →</t>
  </si>
  <si>
    <t>Leakage Detected</t>
  </si>
  <si>
    <t>No Leakage Detected</t>
  </si>
  <si>
    <t>Row Total</t>
  </si>
  <si>
    <t>↑
Actual
↓</t>
  </si>
  <si>
    <t>Has Leakage (Positive)</t>
  </si>
  <si>
    <t>No Leakage (Negative)</t>
  </si>
  <si>
    <t>Column Total</t>
  </si>
  <si>
    <t>✔ TRUE POSITIVE (TP)
Leakage present &amp; detected</t>
  </si>
  <si>
    <t>✘ FALSE NEGATIVE (FN)
Leakage present but missed</t>
  </si>
  <si>
    <t>✘ FALSE POSITIVE (FP)
Clean code flagged as leaky</t>
  </si>
  <si>
    <t>✔ TRUE NEGATIVE (TN)
Clean code correctly passed</t>
  </si>
  <si>
    <t>SECTION 2 — KEY PERFORMANCE METRICS  (with plain-English explanations)</t>
  </si>
  <si>
    <t>Metric</t>
  </si>
  <si>
    <t>Formula</t>
  </si>
  <si>
    <t>Value</t>
  </si>
  <si>
    <t>What it means</t>
  </si>
  <si>
    <t>Verdict</t>
  </si>
  <si>
    <t>Of all 600 evaluations, 88.3% were classified correctly (either correctly flagged leakage or correctly passed clean code).</t>
  </si>
  <si>
    <t>Good</t>
  </si>
  <si>
    <t>When an LLM says 'this code has leakage', it is right 93.9% of the time. Low false-alarm rate — the warnings are trustworthy.</t>
  </si>
  <si>
    <t>Strong ✓</t>
  </si>
  <si>
    <t>Recall  (Sensitivity / Detection Rate)</t>
  </si>
  <si>
    <t>Of all code snippets that actually had leakage, the LLMs detected 82.0% of them. 18% of real leakage was missed (False Negatives).</t>
  </si>
  <si>
    <t>Moderate ⚠</t>
  </si>
  <si>
    <t>Of all clean code snippets, 94.7% were correctly passed. This is the 'Recall for clean code' — how rarely the LLM cries wolf.</t>
  </si>
  <si>
    <t>Only 5.3% of clean code was wrongly flagged. A developer using these LLMs would rarely be sent on a false chase.</t>
  </si>
  <si>
    <t>Low = Good ✓</t>
  </si>
  <si>
    <t>SECTION 3 — MODEL PERFORMANCE COMPARISON  (120 evaluations per model)</t>
  </si>
  <si>
    <t>Each model reviewed all 20 snippets, 3 runs × 2 prompt types = 120 evaluations. Precision = reliability of leakage warnings. Recall = % of real leakage caught. F1 = combined score.</t>
  </si>
  <si>
    <t>Precision
(when it flags,
is it right?)</t>
  </si>
  <si>
    <t>Recall
(of real leakage,
how much caught?)</t>
  </si>
  <si>
    <t>F1 Score
(combined)</t>
  </si>
  <si>
    <t>Specificity
(clean code
passed correctly?)</t>
  </si>
  <si>
    <t>SECTION 4 — PROMPT TYPE IMPACT  (300 evaluations per type)</t>
  </si>
  <si>
    <t>Generic prompt: 'Review this code for issues.' — Specific prompt: 'Review this code specifically for data leakage.' — Same models, same snippets, different instruction.</t>
  </si>
  <si>
    <t>Generic (no leakage mention)</t>
  </si>
  <si>
    <t>Specific (leakage-focused)</t>
  </si>
  <si>
    <t>SECTION 5 — DETECTION RATE BY DIFFICULTY  (leakage snippets only, 30 evaluations per difficulty level × snippet)</t>
  </si>
  <si>
    <t>Difficulty ratings assigned based on how subtle the leakage is. 'Hard' snippets involve target leakage — where a feature column is conceptually derived from the label.</t>
  </si>
  <si>
    <t>Difficulty Level</t>
  </si>
  <si>
    <t>TP (Correctly Detected)</t>
  </si>
  <si>
    <t>FN (Missed)</t>
  </si>
  <si>
    <t>Total Leakage Snippets Evaluated</t>
  </si>
  <si>
    <t>Detection Rate (Recall)</t>
  </si>
  <si>
    <t>Hard (Target Leakage)</t>
  </si>
  <si>
    <t>SECTION 6 — PER-SNIPPET DETECTION RATES  (leakage snippets, n=30 per snippet)</t>
  </si>
  <si>
    <t>Each leakage snippet was evaluated 30 times (5 models × 3 runs × 2 prompt types). Detection Rate = % of those 30 where the LLM correctly identified the leakage.</t>
  </si>
  <si>
    <t>Detected (TP)</t>
  </si>
  <si>
    <t>Missed (FN)</t>
  </si>
  <si>
    <t>Preprocessing (Scaler fit before split)</t>
  </si>
  <si>
    <t>Feature Selection (SelectKBest on full data)</t>
  </si>
  <si>
    <t>Imputation (Imputer fit before split)</t>
  </si>
  <si>
    <t>CV Preprocessing (Scaling inside CV loop)</t>
  </si>
  <si>
    <t>Oversampling (SMOTE before split)</t>
  </si>
  <si>
    <t>Temporal (Rolling feature leakage)</t>
  </si>
  <si>
    <t>Target Leakage (collection_recovery_fee)</t>
  </si>
  <si>
    <t>Target Leakage (discharge_type)</t>
  </si>
  <si>
    <t>SECTION 7 — FALSE POSITIVE RATES  (clean snippets, n=30 per snippet)</t>
  </si>
  <si>
    <t>These are structurally correct code snippets with NO data leakage. FP Rate = % of evaluations where LLMs wrongly flagged them as leaky. Lower is better.</t>
  </si>
  <si>
    <t>Type (clean version of)</t>
  </si>
  <si>
    <t>TN (Correctly Passed)</t>
  </si>
  <si>
    <t>FP (Wrongly Flagged)</t>
  </si>
  <si>
    <t>Preprocessing clean</t>
  </si>
  <si>
    <t>Feature Selection clean</t>
  </si>
  <si>
    <t>Imputation clean</t>
  </si>
  <si>
    <t>CV Preprocessing clean</t>
  </si>
  <si>
    <t>Oversampling clean</t>
  </si>
  <si>
    <t>Temporal clean (Phantom Leakage resolved)</t>
  </si>
  <si>
    <t>Target Leakage clean</t>
  </si>
  <si>
    <t>SECTION 8 — CROSS-RUN CONSISTENCY  (200 evaluations per run)</t>
  </si>
  <si>
    <t>The full benchmark was repeated 3 times (3 independent runs). Consistent results across runs confirm the findings are stable, not due to random LLM variation.</t>
  </si>
  <si>
    <t>Recall (Detection Rate)</t>
  </si>
  <si>
    <t>Generic Prompt
(no leakage mention)</t>
  </si>
  <si>
    <t>Specific Prompt
(leakage-focused)</t>
  </si>
  <si>
    <t>Snippet (Leakage Type)</t>
  </si>
  <si>
    <t>1A (Preprocessing)</t>
  </si>
  <si>
    <t>2A (Preprocessing)</t>
  </si>
  <si>
    <t>3A (Feature Selection)</t>
  </si>
  <si>
    <t>4A (Imputation)</t>
  </si>
  <si>
    <t>5A (Imputation)</t>
  </si>
  <si>
    <t>6A (CV Preprocessing)</t>
  </si>
  <si>
    <t>7A (Oversampling)</t>
  </si>
  <si>
    <t>8A (Temporal)</t>
  </si>
  <si>
    <t>9A (Target Leakage)</t>
  </si>
  <si>
    <t>10A (Target Leakage)</t>
  </si>
  <si>
    <t>Clean Snippet</t>
  </si>
  <si>
    <t>1B (Preprocessing)</t>
  </si>
  <si>
    <t>2B (Preprocessing)</t>
  </si>
  <si>
    <t>3B (Feature Selection)</t>
  </si>
  <si>
    <t>4B (Imputation)</t>
  </si>
  <si>
    <t>5B (Imputation)</t>
  </si>
  <si>
    <t>6B (CV Preprocessing)</t>
  </si>
  <si>
    <t>7B (Oversampling)</t>
  </si>
  <si>
    <t>8B (Temporal)</t>
  </si>
  <si>
    <t>9B (Target Leakage)</t>
  </si>
  <si>
    <t>10B (Target Leakage)</t>
  </si>
  <si>
    <t>(TP + TN) ÷ Total  =  (246 + 284) ÷ 600</t>
  </si>
  <si>
    <t>TP ÷ (TP + FP)  =  246 ÷ (246 + 16)</t>
  </si>
  <si>
    <t>TP ÷ (TP + FN)  =  246 ÷ (246 + 54)</t>
  </si>
  <si>
    <t>TN ÷ (TN + FP)  =  284 ÷ (284 + 16)</t>
  </si>
  <si>
    <t>2 × (Precision × Recall) ÷ (Precision + Recall)</t>
  </si>
  <si>
    <t>FP ÷ (FP + TN)  =  16 ÷ (16 + 284)</t>
  </si>
  <si>
    <t>EXTENDED ANALYTICS — Research Question Deep-Dives</t>
  </si>
  <si>
    <t>Individual AI model performance by prompt strategy, leakage category, structural vs. semantic analysis, and comparison to static analysis baselines.</t>
  </si>
  <si>
    <t>SECTION 9 — MODEL × PROMPT TYPE INTERACTION  (RQ2: Generic vs. Specific per AI)</t>
  </si>
  <si>
    <t>Each model has 60 leakage evaluations per prompt type (10 leakage snippets × 3 runs × 1 prompt type). Recall = detection rate for leakage snippets only.</t>
  </si>
  <si>
    <t>Generic Prompt — Recall</t>
  </si>
  <si>
    <t>Specific Prompt — Recall</t>
  </si>
  <si>
    <t>Δ (Specific − Generic)</t>
  </si>
  <si>
    <t>Generic — Precision</t>
  </si>
  <si>
    <t>Specific — Precision</t>
  </si>
  <si>
    <t>Generic — F1</t>
  </si>
  <si>
    <t>Specific — F1</t>
  </si>
  <si>
    <t>SECTION 10 — DETECTION RATE BY LEAKAGE CATEGORY × MODEL  (RQ3: Which categories are hardest?)</t>
  </si>
  <si>
    <t>Each cell = TP / (TP+FN) for that model on that leakage category. Evaluations per cell vary by category (6-18 per model depending on # of snippets).</t>
  </si>
  <si>
    <t>Leakage Category</t>
  </si>
  <si>
    <t>All Models Avg</t>
  </si>
  <si>
    <t>Preprocessing</t>
  </si>
  <si>
    <t>Feature Selection</t>
  </si>
  <si>
    <t>Imputation</t>
  </si>
  <si>
    <t>CV Preprocessing</t>
  </si>
  <si>
    <t>Oversampling</t>
  </si>
  <si>
    <t>Temporal</t>
  </si>
  <si>
    <t>Target Leakage</t>
  </si>
  <si>
    <t>SECTION 11 — STRUCTURAL vs. SEMANTIC LEAKAGE  (RQ3: Category taxonomy)</t>
  </si>
  <si>
    <t>Structural = procedural pipeline errors (preprocessing, feature selection, imputation, CV preprocessing, oversampling). Semantic = domain-knowledge errors requiring understanding of feature meaning (temporal, target leakage).</t>
  </si>
  <si>
    <t>Category</t>
  </si>
  <si>
    <t>All Models</t>
  </si>
  <si>
    <t>Structural (5 types)</t>
  </si>
  <si>
    <t>Semantic (2 types)</t>
  </si>
  <si>
    <t>Δ (Structural − Semantic)</t>
  </si>
  <si>
    <t>SECTION 12 — MODEL × DIFFICULTY LEVEL  (RQ1 &amp; RQ3: Where does each AI fail?)</t>
  </si>
  <si>
    <t>Detection rate (recall) per model per difficulty tier. Each cell = TP/(TP+FN). Shows exactly where each model's blind spots are.</t>
  </si>
  <si>
    <t>SECTION 13 — LLMs vs. STATIC ANALYSIS TOOLS  (Comparative Framework)</t>
  </si>
  <si>
    <t>Comparison of LLM-based detection (this study) vs. known capabilities of static analysis tools for data leakage. Static tool baselines from literature: Pylint/Flake8 detect 0% of data leakage (no rules exist), DataLinter ~40-60% structural only, custom AST tools ~70-80% structural.</t>
  </si>
  <si>
    <t>Detection Method</t>
  </si>
  <si>
    <t>Structural
Recall</t>
  </si>
  <si>
    <t>Semantic
Recall</t>
  </si>
  <si>
    <t>Overall
Recall</t>
  </si>
  <si>
    <t>Handles
Semantic?</t>
  </si>
  <si>
    <t>Key Limitation</t>
  </si>
  <si>
    <t>Pylint / Flake8</t>
  </si>
  <si>
    <t>N/A</t>
  </si>
  <si>
    <t>✘ No</t>
  </si>
  <si>
    <t>No data leakage rules exist; checks style/syntax only</t>
  </si>
  <si>
    <t>DataLinter (Google)</t>
  </si>
  <si>
    <t>Rule-based; limited to known API patterns; no semantic reasoning</t>
  </si>
  <si>
    <t>Custom AST Analysis</t>
  </si>
  <si>
    <t>Can detect fit-before-split patterns; blind to domain meaning</t>
  </si>
  <si>
    <t>LLMs — Generic Prompt</t>
  </si>
  <si>
    <t>✔ Yes</t>
  </si>
  <si>
    <t>Lower recall with generic prompt; misses subtle leakage</t>
  </si>
  <si>
    <t>LLMs — Specific Prompt</t>
  </si>
  <si>
    <t>Best overall; 98% recall on structural + detects semantic</t>
  </si>
  <si>
    <t>LLMs — Best Model (Claude 4.6 Sonnet)</t>
  </si>
  <si>
    <t>100% precision, 95% recall, 100% structural, 83.3% semantic</t>
  </si>
  <si>
    <t>SECTION 14 — PROMPT IMPACT PER MODEL × LEAKAGE CATEGORY  (RQ2 + RQ3 Interaction)</t>
  </si>
  <si>
    <t>Generic vs Specific recall delta per model per leakage category. Positive = specific prompt improved detection. Shows which models benefit most from targeted prompting on which bug types.</t>
  </si>
  <si>
    <t>Recall Δ (Specific − Generic)</t>
  </si>
  <si>
    <t>The mean of Precision and Recall. Balances both into a single score — useful because improving one often hurts the other.</t>
  </si>
  <si>
    <t>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</si>
</sst>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
    <numFmt numFmtId="165" formatCode="0.0%"/>
    <numFmt numFmtId="166" formatCode="\+0.0%;\-0.0%"/>
    <numFmt numFmtId="167" formatCode="\+0.0%;\-0.0%;&quot;0.0%&quot;"/>
  </numFmts>
  <fonts count="38" x14ac:knownFonts="1">
    <font>
      <sz val="11"/>
      <color theme="1"/>
      <name val="Aptos Narrow"/>
      <family val="2"/>
      <scheme val="minor"/>
    </font>
    <font>
      <sz val="12"/>
      <color theme="1"/>
      <name val="Aptos Narrow"/>
      <family val="2"/>
      <scheme val="minor"/>
    </font>
    <font>
      <b/>
      <sz val="11"/>
      <color theme="1"/>
      <name val="Aptos Narrow"/>
      <family val="2"/>
      <scheme val="minor"/>
    </font>
    <font>
      <b/>
      <sz val="10"/>
      <color rgb="FFFFFFFF"/>
      <name val="Aptos Narrow"/>
      <family val="2"/>
      <scheme val="minor"/>
    </font>
    <font>
      <b/>
      <sz val="9"/>
      <color rgb="FFC62828"/>
      <name val="Aptos Narrow"/>
      <family val="2"/>
      <scheme val="minor"/>
    </font>
    <font>
      <b/>
      <sz val="9"/>
      <color rgb="FF2E7D32"/>
      <name val="Aptos Narrow"/>
      <family val="2"/>
      <scheme val="minor"/>
    </font>
    <font>
      <b/>
      <sz val="9"/>
      <color rgb="FF1565C0"/>
      <name val="Aptos Narrow"/>
      <family val="2"/>
      <scheme val="minor"/>
    </font>
    <font>
      <b/>
      <sz val="9"/>
      <color rgb="FFE65100"/>
      <name val="Aptos Narrow"/>
      <family val="2"/>
      <scheme val="minor"/>
    </font>
    <font>
      <sz val="9"/>
      <color rgb="FFC62828"/>
      <name val="Aptos Narrow"/>
      <family val="2"/>
      <scheme val="minor"/>
    </font>
    <font>
      <sz val="9"/>
      <color rgb="FF2E7D32"/>
      <name val="Aptos Narrow"/>
      <family val="2"/>
      <scheme val="minor"/>
    </font>
    <font>
      <sz val="11"/>
      <color rgb="FFC62828"/>
      <name val="Aptos Narrow"/>
      <family val="2"/>
      <scheme val="minor"/>
    </font>
    <font>
      <sz val="11"/>
      <color rgb="FF2E7D32"/>
      <name val="Aptos Narrow"/>
      <family val="2"/>
      <scheme val="minor"/>
    </font>
    <font>
      <b/>
      <sz val="9"/>
      <color rgb="FFFF0000"/>
      <name val="Aptos Narrow"/>
      <family val="2"/>
      <scheme val="minor"/>
    </font>
    <font>
      <sz val="10"/>
      <color theme="1"/>
      <name val="Aptos Narrow"/>
      <scheme val="minor"/>
    </font>
    <font>
      <b/>
      <sz val="16"/>
      <color theme="1"/>
      <name val="Aptos Narrow"/>
      <scheme val="minor"/>
    </font>
    <font>
      <b/>
      <sz val="16"/>
      <color rgb="FF1A237E"/>
      <name val="Aptos Narrow"/>
      <scheme val="minor"/>
    </font>
    <font>
      <i/>
      <sz val="10"/>
      <color rgb="FF37474F"/>
      <name val="Aptos Narrow"/>
      <scheme val="minor"/>
    </font>
    <font>
      <b/>
      <sz val="10"/>
      <color theme="1"/>
      <name val="Aptos Narrow"/>
      <scheme val="minor"/>
    </font>
    <font>
      <b/>
      <sz val="11"/>
      <color rgb="FFFFFFFF"/>
      <name val="Aptos Narrow"/>
      <scheme val="minor"/>
    </font>
    <font>
      <i/>
      <sz val="9"/>
      <color rgb="FF33691E"/>
      <name val="Aptos Narrow"/>
      <scheme val="minor"/>
    </font>
    <font>
      <b/>
      <sz val="10"/>
      <color rgb="FFFFFFFF"/>
      <name val="Aptos Narrow"/>
      <scheme val="minor"/>
    </font>
    <font>
      <sz val="9"/>
      <color theme="1"/>
      <name val="Aptos Narrow"/>
      <scheme val="minor"/>
    </font>
    <font>
      <b/>
      <sz val="12"/>
      <color rgb="FF2E7D32"/>
      <name val="Aptos Narrow"/>
      <scheme val="minor"/>
    </font>
    <font>
      <b/>
      <sz val="10"/>
      <color rgb="FF2E7D32"/>
      <name val="Aptos Narrow"/>
      <scheme val="minor"/>
    </font>
    <font>
      <b/>
      <sz val="10"/>
      <color rgb="FF1B5E20"/>
      <name val="Aptos Narrow"/>
      <scheme val="minor"/>
    </font>
    <font>
      <b/>
      <sz val="10"/>
      <color rgb="FFE65100"/>
      <name val="Aptos Narrow"/>
      <scheme val="minor"/>
    </font>
    <font>
      <b/>
      <sz val="10"/>
      <color rgb="FFB71C1C"/>
      <name val="Aptos Narrow"/>
      <scheme val="minor"/>
    </font>
    <font>
      <i/>
      <sz val="9"/>
      <color rgb="FF1A237E"/>
      <name val="Aptos Narrow"/>
    </font>
    <font>
      <b/>
      <sz val="16"/>
      <color rgb="FF1F4E79"/>
      <name val="Aptos Narrow"/>
      <family val="2"/>
      <scheme val="minor"/>
    </font>
    <font>
      <i/>
      <sz val="10"/>
      <color rgb="FF666666"/>
      <name val="Aptos Narrow"/>
      <family val="2"/>
      <scheme val="minor"/>
    </font>
    <font>
      <b/>
      <sz val="12"/>
      <color rgb="FF1F4E79"/>
      <name val="Aptos Narrow"/>
      <family val="2"/>
      <scheme val="minor"/>
    </font>
    <font>
      <i/>
      <sz val="9"/>
      <color rgb="FF666666"/>
      <name val="Aptos Narrow"/>
      <family val="2"/>
      <scheme val="minor"/>
    </font>
    <font>
      <b/>
      <sz val="11"/>
      <color rgb="FFFFFFFF"/>
      <name val="Aptos Narrow"/>
      <family val="2"/>
      <scheme val="minor"/>
    </font>
    <font>
      <sz val="11"/>
      <color rgb="FF999999"/>
      <name val="Aptos Narrow"/>
      <family val="2"/>
      <scheme val="minor"/>
    </font>
    <font>
      <sz val="11"/>
      <color rgb="FFCC0000"/>
      <name val="Aptos Narrow"/>
      <family val="2"/>
      <scheme val="minor"/>
    </font>
    <font>
      <sz val="9"/>
      <color theme="1"/>
      <name val="Aptos Narrow"/>
      <family val="2"/>
      <scheme val="minor"/>
    </font>
    <font>
      <b/>
      <sz val="11"/>
      <color rgb="FF0070C0"/>
      <name val="Aptos Narrow"/>
      <family val="2"/>
      <scheme val="minor"/>
    </font>
    <font>
      <sz val="11"/>
      <color rgb="FF008000"/>
      <name val="Aptos Narrow"/>
      <family val="2"/>
      <scheme val="minor"/>
    </font>
  </fonts>
  <fills count="18">
    <fill>
      <patternFill patternType="none"/>
    </fill>
    <fill>
      <patternFill patternType="gray125"/>
    </fill>
    <fill>
      <patternFill patternType="solid">
        <fgColor rgb="FF4EA72E"/>
        <bgColor indexed="64"/>
      </patternFill>
    </fill>
    <fill>
      <patternFill patternType="solid">
        <fgColor rgb="FFDAF2D0"/>
        <bgColor indexed="64"/>
      </patternFill>
    </fill>
    <fill>
      <patternFill patternType="solid">
        <fgColor rgb="FFFFFFFF"/>
        <bgColor indexed="64"/>
      </patternFill>
    </fill>
    <fill>
      <patternFill patternType="solid">
        <fgColor rgb="FFE8F5E9"/>
        <bgColor indexed="64"/>
      </patternFill>
    </fill>
    <fill>
      <patternFill patternType="solid">
        <fgColor rgb="FFE8EAF6"/>
        <bgColor indexed="64"/>
      </patternFill>
    </fill>
    <fill>
      <patternFill patternType="solid">
        <fgColor rgb="FF2E7D32"/>
        <bgColor indexed="64"/>
      </patternFill>
    </fill>
    <fill>
      <patternFill patternType="solid">
        <fgColor rgb="FFF1F8E9"/>
        <bgColor indexed="64"/>
      </patternFill>
    </fill>
    <fill>
      <patternFill patternType="solid">
        <fgColor rgb="FFC8E6C9"/>
        <bgColor indexed="64"/>
      </patternFill>
    </fill>
    <fill>
      <patternFill patternType="solid">
        <fgColor rgb="FFFFCDD2"/>
        <bgColor indexed="64"/>
      </patternFill>
    </fill>
    <fill>
      <patternFill patternType="solid">
        <fgColor rgb="FFFFE0B2"/>
        <bgColor indexed="64"/>
      </patternFill>
    </fill>
    <fill>
      <patternFill patternType="solid">
        <fgColor rgb="FFBBDEFB"/>
        <bgColor indexed="64"/>
      </patternFill>
    </fill>
    <fill>
      <patternFill patternType="solid">
        <fgColor rgb="FFF9FBE7"/>
        <bgColor indexed="64"/>
      </patternFill>
    </fill>
    <fill>
      <patternFill patternType="solid">
        <fgColor rgb="FFD6E4F0"/>
        <bgColor indexed="64"/>
      </patternFill>
    </fill>
    <fill>
      <patternFill patternType="solid">
        <fgColor rgb="FF1F4E79"/>
        <bgColor indexed="64"/>
      </patternFill>
    </fill>
    <fill>
      <patternFill patternType="solid">
        <fgColor rgb="FFE2EFDA"/>
        <bgColor indexed="64"/>
      </patternFill>
    </fill>
    <fill>
      <patternFill patternType="solid">
        <fgColor rgb="FFFCE4EC"/>
        <bgColor indexed="64"/>
      </patternFill>
    </fill>
  </fills>
  <borders count="26">
    <border>
      <left/>
      <right/>
      <top/>
      <bottom/>
      <diagonal/>
    </border>
    <border>
      <left/>
      <right/>
      <top/>
      <bottom style="thin">
        <color rgb="FFC0C0C0"/>
      </bottom>
      <diagonal/>
    </border>
    <border>
      <left/>
      <right/>
      <top style="thin">
        <color rgb="FFC0C0C0"/>
      </top>
      <bottom style="thin">
        <color rgb="FFC0C0C0"/>
      </bottom>
      <diagonal/>
    </border>
    <border>
      <left/>
      <right/>
      <top style="medium">
        <color rgb="FF4EA72E"/>
      </top>
      <bottom style="medium">
        <color rgb="FF2E7D32"/>
      </bottom>
      <diagonal/>
    </border>
    <border>
      <left/>
      <right/>
      <top style="thin">
        <color rgb="FFC0C0C0"/>
      </top>
      <bottom style="medium">
        <color rgb="FF4EA72E"/>
      </bottom>
      <diagonal/>
    </border>
    <border>
      <left style="medium">
        <color rgb="FF4EA72E"/>
      </left>
      <right/>
      <top style="medium">
        <color rgb="FF4EA72E"/>
      </top>
      <bottom style="medium">
        <color rgb="FF2E7D32"/>
      </bottom>
      <diagonal/>
    </border>
    <border>
      <left style="medium">
        <color rgb="FF4EA72E"/>
      </left>
      <right/>
      <top/>
      <bottom style="thin">
        <color rgb="FFC0C0C0"/>
      </bottom>
      <diagonal/>
    </border>
    <border>
      <left style="medium">
        <color rgb="FF4EA72E"/>
      </left>
      <right/>
      <top style="thin">
        <color rgb="FFC0C0C0"/>
      </top>
      <bottom style="thin">
        <color rgb="FFC0C0C0"/>
      </bottom>
      <diagonal/>
    </border>
    <border>
      <left style="medium">
        <color rgb="FF4EA72E"/>
      </left>
      <right/>
      <top style="thin">
        <color rgb="FFC0C0C0"/>
      </top>
      <bottom style="medium">
        <color rgb="FF4EA72E"/>
      </bottom>
      <diagonal/>
    </border>
    <border>
      <left/>
      <right style="medium">
        <color rgb="FF4EA72E"/>
      </right>
      <top style="medium">
        <color rgb="FF4EA72E"/>
      </top>
      <bottom style="medium">
        <color rgb="FF2E7D32"/>
      </bottom>
      <diagonal/>
    </border>
    <border>
      <left/>
      <right style="medium">
        <color rgb="FF4EA72E"/>
      </right>
      <top/>
      <bottom style="thin">
        <color rgb="FFC0C0C0"/>
      </bottom>
      <diagonal/>
    </border>
    <border>
      <left/>
      <right style="medium">
        <color rgb="FF4EA72E"/>
      </right>
      <top style="thin">
        <color rgb="FFC0C0C0"/>
      </top>
      <bottom style="thin">
        <color rgb="FFC0C0C0"/>
      </bottom>
      <diagonal/>
    </border>
    <border>
      <left/>
      <right style="medium">
        <color rgb="FF4EA72E"/>
      </right>
      <top style="thin">
        <color rgb="FFC0C0C0"/>
      </top>
      <bottom style="medium">
        <color rgb="FF4EA72E"/>
      </bottom>
      <diagonal/>
    </border>
    <border>
      <left style="thin">
        <color rgb="FF8ED973"/>
      </left>
      <right style="thin">
        <color rgb="FF8ED973"/>
      </right>
      <top style="medium">
        <color rgb="FF4EA72E"/>
      </top>
      <bottom style="medium">
        <color rgb="FF2E7D32"/>
      </bottom>
      <diagonal/>
    </border>
    <border>
      <left style="thin">
        <color rgb="FF8ED973"/>
      </left>
      <right style="thin">
        <color rgb="FF8ED973"/>
      </right>
      <top/>
      <bottom style="thin">
        <color rgb="FFC0C0C0"/>
      </bottom>
      <diagonal/>
    </border>
    <border>
      <left style="thin">
        <color rgb="FF8ED973"/>
      </left>
      <right style="thin">
        <color rgb="FF8ED973"/>
      </right>
      <top style="thin">
        <color rgb="FFC0C0C0"/>
      </top>
      <bottom style="thin">
        <color rgb="FFC0C0C0"/>
      </bottom>
      <diagonal/>
    </border>
    <border>
      <left style="thin">
        <color rgb="FF8ED973"/>
      </left>
      <right style="thin">
        <color rgb="FF8ED973"/>
      </right>
      <top style="thin">
        <color rgb="FFC0C0C0"/>
      </top>
      <bottom style="medium">
        <color rgb="FF4EA72E"/>
      </bottom>
      <diagonal/>
    </border>
    <border>
      <left style="medium">
        <color rgb="FF4EA72E"/>
      </left>
      <right style="thin">
        <color rgb="FFA5D6A7"/>
      </right>
      <top style="medium">
        <color rgb="FF4EA72E"/>
      </top>
      <bottom style="thin">
        <color rgb="FFA5D6A7"/>
      </bottom>
      <diagonal/>
    </border>
    <border>
      <left style="thin">
        <color rgb="FFA5D6A7"/>
      </left>
      <right style="thin">
        <color rgb="FFA5D6A7"/>
      </right>
      <top style="medium">
        <color rgb="FF4EA72E"/>
      </top>
      <bottom style="thin">
        <color rgb="FFA5D6A7"/>
      </bottom>
      <diagonal/>
    </border>
    <border>
      <left style="thin">
        <color rgb="FFA5D6A7"/>
      </left>
      <right style="medium">
        <color rgb="FF4EA72E"/>
      </right>
      <top style="medium">
        <color rgb="FF4EA72E"/>
      </top>
      <bottom style="thin">
        <color rgb="FFA5D6A7"/>
      </bottom>
      <diagonal/>
    </border>
    <border>
      <left style="medium">
        <color rgb="FF4EA72E"/>
      </left>
      <right style="thin">
        <color rgb="FFA5D6A7"/>
      </right>
      <top style="thin">
        <color rgb="FFA5D6A7"/>
      </top>
      <bottom style="thin">
        <color rgb="FFA5D6A7"/>
      </bottom>
      <diagonal/>
    </border>
    <border>
      <left style="thin">
        <color rgb="FFA5D6A7"/>
      </left>
      <right style="thin">
        <color rgb="FFA5D6A7"/>
      </right>
      <top style="thin">
        <color rgb="FFA5D6A7"/>
      </top>
      <bottom style="thin">
        <color rgb="FFA5D6A7"/>
      </bottom>
      <diagonal/>
    </border>
    <border>
      <left style="thin">
        <color rgb="FFA5D6A7"/>
      </left>
      <right style="medium">
        <color rgb="FF4EA72E"/>
      </right>
      <top style="thin">
        <color rgb="FFA5D6A7"/>
      </top>
      <bottom style="thin">
        <color rgb="FFA5D6A7"/>
      </bottom>
      <diagonal/>
    </border>
    <border>
      <left style="medium">
        <color rgb="FF4EA72E"/>
      </left>
      <right style="thin">
        <color rgb="FFA5D6A7"/>
      </right>
      <top style="thin">
        <color rgb="FFA5D6A7"/>
      </top>
      <bottom style="medium">
        <color rgb="FF4EA72E"/>
      </bottom>
      <diagonal/>
    </border>
    <border>
      <left style="thin">
        <color rgb="FFA5D6A7"/>
      </left>
      <right style="thin">
        <color rgb="FFA5D6A7"/>
      </right>
      <top style="thin">
        <color rgb="FFA5D6A7"/>
      </top>
      <bottom style="medium">
        <color rgb="FF4EA72E"/>
      </bottom>
      <diagonal/>
    </border>
    <border>
      <left style="thin">
        <color rgb="FFA5D6A7"/>
      </left>
      <right style="medium">
        <color rgb="FF4EA72E"/>
      </right>
      <top style="thin">
        <color rgb="FFA5D6A7"/>
      </top>
      <bottom style="medium">
        <color rgb="FF4EA72E"/>
      </bottom>
      <diagonal/>
    </border>
  </borders>
  <cellStyleXfs count="1">
    <xf numFmtId="0" fontId="0" fillId="0" borderId="0"/>
  </cellStyleXfs>
  <cellXfs count="160">
    <xf numFmtId="0" fontId="0" fillId="0" borderId="0" xfId="0"/>
    <xf numFmtId="0" fontId="1" fillId="0" borderId="0" xfId="0" applyFont="1"/>
    <xf numFmtId="0" fontId="3" fillId="2" borderId="3"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4" borderId="11" xfId="0" applyFont="1" applyFill="1" applyBorder="1" applyAlignment="1">
      <alignment horizontal="center" vertical="center"/>
    </xf>
    <xf numFmtId="0" fontId="5" fillId="3" borderId="11" xfId="0" applyFont="1" applyFill="1" applyBorder="1" applyAlignment="1">
      <alignment horizontal="center" vertical="center"/>
    </xf>
    <xf numFmtId="0" fontId="5" fillId="4" borderId="11" xfId="0" applyFont="1" applyFill="1" applyBorder="1" applyAlignment="1">
      <alignment horizontal="center" vertical="center"/>
    </xf>
    <xf numFmtId="0" fontId="6" fillId="3" borderId="11" xfId="0" applyFont="1" applyFill="1" applyBorder="1" applyAlignment="1">
      <alignment horizontal="center" vertical="center"/>
    </xf>
    <xf numFmtId="0" fontId="6" fillId="4" borderId="11" xfId="0" applyFont="1" applyFill="1" applyBorder="1" applyAlignment="1">
      <alignment horizontal="center" vertical="center"/>
    </xf>
    <xf numFmtId="0" fontId="4" fillId="3" borderId="11" xfId="0" applyFont="1" applyFill="1" applyBorder="1" applyAlignment="1">
      <alignment horizontal="center" vertical="center"/>
    </xf>
    <xf numFmtId="0" fontId="7" fillId="4" borderId="11" xfId="0" applyFont="1" applyFill="1" applyBorder="1" applyAlignment="1">
      <alignment horizontal="center" vertical="center"/>
    </xf>
    <xf numFmtId="0" fontId="7" fillId="3" borderId="11" xfId="0" applyFont="1" applyFill="1" applyBorder="1" applyAlignment="1">
      <alignment horizontal="center" vertical="center"/>
    </xf>
    <xf numFmtId="0" fontId="6" fillId="4" borderId="12" xfId="0" applyFont="1" applyFill="1" applyBorder="1" applyAlignment="1">
      <alignment horizontal="center" vertical="center"/>
    </xf>
    <xf numFmtId="0" fontId="9" fillId="3" borderId="1" xfId="0" applyFont="1" applyFill="1" applyBorder="1" applyAlignment="1">
      <alignment horizontal="center" vertical="center"/>
    </xf>
    <xf numFmtId="0" fontId="8" fillId="4" borderId="2" xfId="0" applyFont="1" applyFill="1" applyBorder="1" applyAlignment="1">
      <alignment horizontal="center" vertical="center"/>
    </xf>
    <xf numFmtId="0" fontId="9" fillId="4" borderId="2" xfId="0" applyFont="1" applyFill="1" applyBorder="1" applyAlignment="1">
      <alignment horizontal="center" vertical="center"/>
    </xf>
    <xf numFmtId="0" fontId="8"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4" borderId="4" xfId="0" applyFont="1" applyFill="1" applyBorder="1" applyAlignment="1">
      <alignment horizontal="center" vertical="center"/>
    </xf>
    <xf numFmtId="0" fontId="3" fillId="2" borderId="13" xfId="0" applyFont="1" applyFill="1" applyBorder="1" applyAlignment="1">
      <alignment horizontal="center" vertical="top" wrapText="1"/>
    </xf>
    <xf numFmtId="0" fontId="1" fillId="0" borderId="0" xfId="0" applyFont="1" applyAlignment="1">
      <alignment vertical="top" wrapText="1"/>
    </xf>
    <xf numFmtId="0" fontId="0" fillId="3" borderId="6"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10" fillId="3" borderId="1" xfId="0" applyFont="1" applyFill="1" applyBorder="1" applyAlignment="1">
      <alignment horizontal="center" vertical="center"/>
    </xf>
    <xf numFmtId="0" fontId="0" fillId="3" borderId="14" xfId="0" applyFill="1" applyBorder="1" applyAlignment="1">
      <alignment horizontal="left" vertical="top" wrapText="1"/>
    </xf>
    <xf numFmtId="164" fontId="0" fillId="3" borderId="1" xfId="0" applyNumberFormat="1" applyFill="1" applyBorder="1" applyAlignment="1">
      <alignment horizontal="left" vertical="center"/>
    </xf>
    <xf numFmtId="0" fontId="0" fillId="4" borderId="7" xfId="0" applyFill="1" applyBorder="1" applyAlignment="1">
      <alignment horizontal="center" vertical="center"/>
    </xf>
    <xf numFmtId="0" fontId="0" fillId="4" borderId="2" xfId="0" applyFill="1" applyBorder="1" applyAlignment="1">
      <alignment horizontal="center" vertical="center"/>
    </xf>
    <xf numFmtId="0" fontId="0" fillId="4" borderId="2" xfId="0" applyFill="1" applyBorder="1" applyAlignment="1">
      <alignment horizontal="left" vertical="center"/>
    </xf>
    <xf numFmtId="0" fontId="10" fillId="4" borderId="2" xfId="0" applyFont="1" applyFill="1" applyBorder="1" applyAlignment="1">
      <alignment horizontal="center" vertical="center"/>
    </xf>
    <xf numFmtId="0" fontId="0" fillId="4" borderId="15" xfId="0" applyFill="1" applyBorder="1" applyAlignment="1">
      <alignment horizontal="left" vertical="top" wrapText="1"/>
    </xf>
    <xf numFmtId="164" fontId="0" fillId="4" borderId="2" xfId="0" applyNumberFormat="1" applyFill="1" applyBorder="1" applyAlignment="1">
      <alignment horizontal="left" vertical="center"/>
    </xf>
    <xf numFmtId="0" fontId="0" fillId="3" borderId="7" xfId="0" applyFill="1" applyBorder="1" applyAlignment="1">
      <alignment horizontal="center" vertical="center"/>
    </xf>
    <xf numFmtId="0" fontId="0" fillId="3" borderId="2" xfId="0" applyFill="1" applyBorder="1" applyAlignment="1">
      <alignment horizontal="center" vertical="center"/>
    </xf>
    <xf numFmtId="0" fontId="0" fillId="3" borderId="2" xfId="0" applyFill="1" applyBorder="1" applyAlignment="1">
      <alignment horizontal="left" vertical="center"/>
    </xf>
    <xf numFmtId="0" fontId="10" fillId="3" borderId="2" xfId="0" applyFont="1" applyFill="1" applyBorder="1" applyAlignment="1">
      <alignment horizontal="center" vertical="center"/>
    </xf>
    <xf numFmtId="0" fontId="0" fillId="3" borderId="15" xfId="0" applyFill="1" applyBorder="1" applyAlignment="1">
      <alignment horizontal="left" vertical="top" wrapText="1"/>
    </xf>
    <xf numFmtId="164" fontId="0" fillId="3" borderId="2" xfId="0" applyNumberFormat="1" applyFill="1" applyBorder="1" applyAlignment="1">
      <alignment horizontal="left" vertical="center"/>
    </xf>
    <xf numFmtId="0" fontId="11" fillId="3" borderId="2" xfId="0" applyFont="1" applyFill="1" applyBorder="1" applyAlignment="1">
      <alignment horizontal="center" vertical="center"/>
    </xf>
    <xf numFmtId="0" fontId="11" fillId="4" borderId="2" xfId="0" applyFont="1" applyFill="1" applyBorder="1" applyAlignment="1">
      <alignment horizontal="center" vertical="center"/>
    </xf>
    <xf numFmtId="0" fontId="0" fillId="4" borderId="8" xfId="0" applyFill="1" applyBorder="1" applyAlignment="1">
      <alignment horizontal="center" vertical="center"/>
    </xf>
    <xf numFmtId="0" fontId="0" fillId="4" borderId="4" xfId="0" applyFill="1" applyBorder="1" applyAlignment="1">
      <alignment horizontal="center" vertical="center"/>
    </xf>
    <xf numFmtId="0" fontId="0" fillId="4" borderId="4" xfId="0" applyFill="1" applyBorder="1" applyAlignment="1">
      <alignment horizontal="left" vertical="center"/>
    </xf>
    <xf numFmtId="0" fontId="11" fillId="4" borderId="4" xfId="0" applyFont="1" applyFill="1" applyBorder="1" applyAlignment="1">
      <alignment horizontal="center" vertical="center"/>
    </xf>
    <xf numFmtId="0" fontId="0" fillId="4" borderId="16" xfId="0" applyFill="1" applyBorder="1" applyAlignment="1">
      <alignment horizontal="left" vertical="top" wrapText="1"/>
    </xf>
    <xf numFmtId="164" fontId="0" fillId="4" borderId="4" xfId="0" applyNumberFormat="1" applyFill="1" applyBorder="1" applyAlignment="1">
      <alignment horizontal="left" vertical="center"/>
    </xf>
    <xf numFmtId="0" fontId="12" fillId="3" borderId="11" xfId="0" applyFont="1" applyFill="1" applyBorder="1" applyAlignment="1">
      <alignment horizontal="center" vertical="center"/>
    </xf>
    <xf numFmtId="0" fontId="2" fillId="0" borderId="0" xfId="0" applyFont="1"/>
    <xf numFmtId="0" fontId="0" fillId="0" borderId="0" xfId="0" applyAlignment="1">
      <alignment wrapText="1"/>
    </xf>
    <xf numFmtId="0" fontId="13" fillId="0" borderId="0" xfId="0" applyFont="1" applyAlignment="1">
      <alignment vertical="center"/>
    </xf>
    <xf numFmtId="0" fontId="13" fillId="0" borderId="0" xfId="0" applyFont="1" applyAlignment="1">
      <alignment vertical="center" wrapText="1"/>
    </xf>
    <xf numFmtId="0" fontId="20" fillId="2" borderId="0" xfId="0" applyFont="1" applyFill="1" applyAlignment="1">
      <alignment vertical="center"/>
    </xf>
    <xf numFmtId="0" fontId="20" fillId="2" borderId="0" xfId="0" applyFont="1" applyFill="1" applyAlignment="1">
      <alignment horizontal="center" vertical="center" wrapText="1"/>
    </xf>
    <xf numFmtId="0" fontId="13" fillId="0" borderId="19" xfId="0" applyFont="1" applyBorder="1" applyAlignment="1">
      <alignment vertical="center"/>
    </xf>
    <xf numFmtId="0" fontId="20" fillId="2" borderId="20" xfId="0" applyFont="1" applyFill="1" applyBorder="1" applyAlignment="1">
      <alignment vertical="center"/>
    </xf>
    <xf numFmtId="0" fontId="20" fillId="2" borderId="21" xfId="0" applyFont="1" applyFill="1" applyBorder="1" applyAlignment="1">
      <alignment vertical="center"/>
    </xf>
    <xf numFmtId="0" fontId="20" fillId="2" borderId="22" xfId="0" applyFont="1" applyFill="1" applyBorder="1" applyAlignment="1">
      <alignment vertical="center"/>
    </xf>
    <xf numFmtId="0" fontId="14" fillId="9" borderId="20" xfId="0" applyFont="1" applyFill="1" applyBorder="1" applyAlignment="1">
      <alignment horizontal="center" vertical="center"/>
    </xf>
    <xf numFmtId="0" fontId="14" fillId="10" borderId="21" xfId="0" applyFont="1" applyFill="1" applyBorder="1" applyAlignment="1">
      <alignment horizontal="center" vertical="center"/>
    </xf>
    <xf numFmtId="0" fontId="17" fillId="0" borderId="22" xfId="0" applyFont="1" applyBorder="1" applyAlignment="1">
      <alignment horizontal="center" vertical="center"/>
    </xf>
    <xf numFmtId="0" fontId="14" fillId="11" borderId="20" xfId="0" applyFont="1" applyFill="1" applyBorder="1" applyAlignment="1">
      <alignment horizontal="center" vertical="center"/>
    </xf>
    <xf numFmtId="0" fontId="14" fillId="12" borderId="21" xfId="0" applyFont="1" applyFill="1" applyBorder="1" applyAlignment="1">
      <alignment horizontal="center" vertical="center"/>
    </xf>
    <xf numFmtId="0" fontId="17" fillId="0" borderId="20" xfId="0" applyFont="1" applyBorder="1" applyAlignment="1">
      <alignment horizontal="center" vertical="center"/>
    </xf>
    <xf numFmtId="0" fontId="17" fillId="0" borderId="21" xfId="0" applyFont="1" applyBorder="1" applyAlignment="1">
      <alignment horizontal="center" vertical="center"/>
    </xf>
    <xf numFmtId="0" fontId="21" fillId="9" borderId="20" xfId="0" applyFont="1" applyFill="1" applyBorder="1" applyAlignment="1">
      <alignment horizontal="center" vertical="center" wrapText="1"/>
    </xf>
    <xf numFmtId="0" fontId="21" fillId="10" borderId="21" xfId="0" applyFont="1" applyFill="1" applyBorder="1" applyAlignment="1">
      <alignment horizontal="center" vertical="center" wrapText="1"/>
    </xf>
    <xf numFmtId="0" fontId="13" fillId="0" borderId="22" xfId="0" applyFont="1" applyBorder="1" applyAlignment="1">
      <alignment vertical="center"/>
    </xf>
    <xf numFmtId="0" fontId="21" fillId="11" borderId="23" xfId="0" applyFont="1" applyFill="1" applyBorder="1" applyAlignment="1">
      <alignment horizontal="center" vertical="center" wrapText="1"/>
    </xf>
    <xf numFmtId="0" fontId="21" fillId="12" borderId="24" xfId="0" applyFont="1" applyFill="1" applyBorder="1" applyAlignment="1">
      <alignment horizontal="center" vertical="center" wrapText="1"/>
    </xf>
    <xf numFmtId="0" fontId="13" fillId="0" borderId="25" xfId="0" applyFont="1" applyBorder="1" applyAlignment="1">
      <alignment vertical="center"/>
    </xf>
    <xf numFmtId="0" fontId="20" fillId="2" borderId="17"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17" fillId="4" borderId="20" xfId="0" applyFont="1" applyFill="1" applyBorder="1" applyAlignment="1">
      <alignment vertical="center" wrapText="1"/>
    </xf>
    <xf numFmtId="165" fontId="22" fillId="4" borderId="21" xfId="0" applyNumberFormat="1" applyFont="1" applyFill="1" applyBorder="1" applyAlignment="1">
      <alignment horizontal="center" vertical="center" wrapText="1"/>
    </xf>
    <xf numFmtId="0" fontId="13" fillId="4" borderId="21" xfId="0" applyFont="1" applyFill="1" applyBorder="1" applyAlignment="1">
      <alignment vertical="center" wrapText="1"/>
    </xf>
    <xf numFmtId="0" fontId="23" fillId="4" borderId="22" xfId="0" applyFont="1" applyFill="1" applyBorder="1" applyAlignment="1">
      <alignment vertical="center" wrapText="1"/>
    </xf>
    <xf numFmtId="0" fontId="17" fillId="13" borderId="20" xfId="0" applyFont="1" applyFill="1" applyBorder="1" applyAlignment="1">
      <alignment vertical="center" wrapText="1"/>
    </xf>
    <xf numFmtId="165" fontId="22" fillId="13" borderId="21" xfId="0" applyNumberFormat="1" applyFont="1" applyFill="1" applyBorder="1" applyAlignment="1">
      <alignment horizontal="center" vertical="center" wrapText="1"/>
    </xf>
    <xf numFmtId="0" fontId="13" fillId="13" borderId="21" xfId="0" applyFont="1" applyFill="1" applyBorder="1" applyAlignment="1">
      <alignment vertical="center" wrapText="1"/>
    </xf>
    <xf numFmtId="0" fontId="24" fillId="13" borderId="22" xfId="0" applyFont="1" applyFill="1" applyBorder="1" applyAlignment="1">
      <alignment vertical="center" wrapText="1"/>
    </xf>
    <xf numFmtId="0" fontId="25" fillId="4" borderId="22" xfId="0" applyFont="1" applyFill="1" applyBorder="1" applyAlignment="1">
      <alignment vertical="center" wrapText="1"/>
    </xf>
    <xf numFmtId="0" fontId="17" fillId="13" borderId="23" xfId="0" applyFont="1" applyFill="1" applyBorder="1" applyAlignment="1">
      <alignment vertical="center" wrapText="1"/>
    </xf>
    <xf numFmtId="165" fontId="22" fillId="13" borderId="24" xfId="0" applyNumberFormat="1" applyFont="1" applyFill="1" applyBorder="1" applyAlignment="1">
      <alignment horizontal="center" vertical="center" wrapText="1"/>
    </xf>
    <xf numFmtId="0" fontId="13" fillId="13" borderId="24" xfId="0" applyFont="1" applyFill="1" applyBorder="1" applyAlignment="1">
      <alignment vertical="center" wrapText="1"/>
    </xf>
    <xf numFmtId="0" fontId="24" fillId="13" borderId="25" xfId="0" applyFont="1" applyFill="1" applyBorder="1" applyAlignment="1">
      <alignment vertical="center" wrapText="1"/>
    </xf>
    <xf numFmtId="0" fontId="17" fillId="4" borderId="20" xfId="0" applyFont="1" applyFill="1" applyBorder="1" applyAlignment="1">
      <alignment vertical="center"/>
    </xf>
    <xf numFmtId="0" fontId="13" fillId="4" borderId="21" xfId="0" applyFont="1" applyFill="1" applyBorder="1" applyAlignment="1">
      <alignment horizontal="center" vertical="center"/>
    </xf>
    <xf numFmtId="165" fontId="13" fillId="4" borderId="21" xfId="0" applyNumberFormat="1" applyFont="1" applyFill="1" applyBorder="1" applyAlignment="1">
      <alignment horizontal="center" vertical="center"/>
    </xf>
    <xf numFmtId="165" fontId="13" fillId="4" borderId="22" xfId="0" applyNumberFormat="1" applyFont="1" applyFill="1" applyBorder="1" applyAlignment="1">
      <alignment horizontal="center" vertical="center"/>
    </xf>
    <xf numFmtId="0" fontId="17" fillId="13" borderId="20" xfId="0" applyFont="1" applyFill="1" applyBorder="1" applyAlignment="1">
      <alignment vertical="center"/>
    </xf>
    <xf numFmtId="0" fontId="13" fillId="13" borderId="21" xfId="0" applyFont="1" applyFill="1" applyBorder="1" applyAlignment="1">
      <alignment horizontal="center" vertical="center"/>
    </xf>
    <xf numFmtId="165" fontId="13" fillId="13" borderId="21" xfId="0" applyNumberFormat="1" applyFont="1" applyFill="1" applyBorder="1" applyAlignment="1">
      <alignment horizontal="center" vertical="center"/>
    </xf>
    <xf numFmtId="165" fontId="13" fillId="13" borderId="22" xfId="0" applyNumberFormat="1" applyFont="1" applyFill="1" applyBorder="1" applyAlignment="1">
      <alignment horizontal="center" vertical="center"/>
    </xf>
    <xf numFmtId="0" fontId="17" fillId="4" borderId="23" xfId="0" applyFont="1" applyFill="1" applyBorder="1" applyAlignment="1">
      <alignment vertical="center"/>
    </xf>
    <xf numFmtId="0" fontId="13" fillId="4" borderId="24" xfId="0" applyFont="1" applyFill="1" applyBorder="1" applyAlignment="1">
      <alignment horizontal="center" vertical="center"/>
    </xf>
    <xf numFmtId="165" fontId="13" fillId="4" borderId="24" xfId="0" applyNumberFormat="1" applyFont="1" applyFill="1" applyBorder="1" applyAlignment="1">
      <alignment horizontal="center" vertical="center"/>
    </xf>
    <xf numFmtId="165" fontId="13" fillId="4" borderId="25" xfId="0" applyNumberFormat="1" applyFont="1" applyFill="1" applyBorder="1" applyAlignment="1">
      <alignment horizontal="center" vertical="center"/>
    </xf>
    <xf numFmtId="0" fontId="13" fillId="13" borderId="21" xfId="0" applyFont="1" applyFill="1" applyBorder="1" applyAlignment="1">
      <alignment vertical="center"/>
    </xf>
    <xf numFmtId="165" fontId="13" fillId="13" borderId="21" xfId="0" applyNumberFormat="1" applyFont="1" applyFill="1" applyBorder="1" applyAlignment="1">
      <alignment vertical="center"/>
    </xf>
    <xf numFmtId="165" fontId="13" fillId="13" borderId="22" xfId="0" applyNumberFormat="1" applyFont="1" applyFill="1" applyBorder="1" applyAlignment="1">
      <alignment vertical="center"/>
    </xf>
    <xf numFmtId="0" fontId="13" fillId="4" borderId="24" xfId="0" applyFont="1" applyFill="1" applyBorder="1" applyAlignment="1">
      <alignment vertical="center"/>
    </xf>
    <xf numFmtId="165" fontId="13" fillId="4" borderId="24" xfId="0" applyNumberFormat="1" applyFont="1" applyFill="1" applyBorder="1" applyAlignment="1">
      <alignment vertical="center"/>
    </xf>
    <xf numFmtId="165" fontId="13" fillId="4" borderId="25" xfId="0" applyNumberFormat="1" applyFont="1" applyFill="1" applyBorder="1" applyAlignment="1">
      <alignment vertical="center"/>
    </xf>
    <xf numFmtId="0" fontId="13" fillId="4" borderId="21" xfId="0" applyFont="1" applyFill="1" applyBorder="1" applyAlignment="1">
      <alignment vertical="center"/>
    </xf>
    <xf numFmtId="165" fontId="13" fillId="4" borderId="22" xfId="0" applyNumberFormat="1" applyFont="1" applyFill="1" applyBorder="1" applyAlignment="1">
      <alignment vertical="center"/>
    </xf>
    <xf numFmtId="0" fontId="17" fillId="13" borderId="23" xfId="0" applyFont="1" applyFill="1" applyBorder="1" applyAlignment="1">
      <alignment vertical="center"/>
    </xf>
    <xf numFmtId="0" fontId="13" fillId="13" borderId="24" xfId="0" applyFont="1" applyFill="1" applyBorder="1" applyAlignment="1">
      <alignment vertical="center"/>
    </xf>
    <xf numFmtId="165" fontId="13" fillId="4" borderId="21" xfId="0" applyNumberFormat="1" applyFont="1" applyFill="1" applyBorder="1" applyAlignment="1">
      <alignment vertical="center"/>
    </xf>
    <xf numFmtId="165" fontId="26" fillId="10" borderId="21" xfId="0" applyNumberFormat="1" applyFont="1" applyFill="1" applyBorder="1" applyAlignment="1">
      <alignment horizontal="center" vertical="center"/>
    </xf>
    <xf numFmtId="165" fontId="24" fillId="9" borderId="21" xfId="0" applyNumberFormat="1" applyFont="1" applyFill="1" applyBorder="1" applyAlignment="1">
      <alignment horizontal="center" vertical="center"/>
    </xf>
    <xf numFmtId="0" fontId="24" fillId="4" borderId="21" xfId="0" applyFont="1" applyFill="1" applyBorder="1" applyAlignment="1">
      <alignment horizontal="center" vertical="center"/>
    </xf>
    <xf numFmtId="165" fontId="25" fillId="11" borderId="21" xfId="0" applyNumberFormat="1" applyFont="1" applyFill="1" applyBorder="1" applyAlignment="1">
      <alignment horizontal="center" vertical="center"/>
    </xf>
    <xf numFmtId="0" fontId="26" fillId="10" borderId="21" xfId="0" applyFont="1" applyFill="1" applyBorder="1" applyAlignment="1">
      <alignment horizontal="center" vertical="center"/>
    </xf>
    <xf numFmtId="165" fontId="24" fillId="9" borderId="24" xfId="0" applyNumberFormat="1" applyFont="1" applyFill="1" applyBorder="1" applyAlignment="1">
      <alignment horizontal="center" vertical="center"/>
    </xf>
    <xf numFmtId="0" fontId="24" fillId="4" borderId="24" xfId="0" applyFont="1" applyFill="1" applyBorder="1" applyAlignment="1">
      <alignment horizontal="center" vertical="center"/>
    </xf>
    <xf numFmtId="165" fontId="17" fillId="13" borderId="22" xfId="0" applyNumberFormat="1" applyFont="1" applyFill="1" applyBorder="1" applyAlignment="1">
      <alignment vertical="center"/>
    </xf>
    <xf numFmtId="165" fontId="24" fillId="9" borderId="22" xfId="0" applyNumberFormat="1" applyFont="1" applyFill="1" applyBorder="1" applyAlignment="1">
      <alignment vertical="center"/>
    </xf>
    <xf numFmtId="165" fontId="17" fillId="4" borderId="22" xfId="0" applyNumberFormat="1" applyFont="1" applyFill="1" applyBorder="1" applyAlignment="1">
      <alignment vertical="center"/>
    </xf>
    <xf numFmtId="165" fontId="26" fillId="10" borderId="25" xfId="0" applyNumberFormat="1" applyFont="1" applyFill="1" applyBorder="1" applyAlignment="1">
      <alignment vertical="center"/>
    </xf>
    <xf numFmtId="165" fontId="26" fillId="10" borderId="22" xfId="0" applyNumberFormat="1" applyFont="1" applyFill="1" applyBorder="1" applyAlignment="1">
      <alignment vertical="center"/>
    </xf>
    <xf numFmtId="165" fontId="24" fillId="9" borderId="25" xfId="0" applyNumberFormat="1" applyFont="1" applyFill="1" applyBorder="1" applyAlignment="1">
      <alignment vertical="center"/>
    </xf>
    <xf numFmtId="165" fontId="24" fillId="9" borderId="24" xfId="0" applyNumberFormat="1" applyFont="1" applyFill="1" applyBorder="1" applyAlignment="1">
      <alignment vertical="center"/>
    </xf>
    <xf numFmtId="165" fontId="25" fillId="11" borderId="21" xfId="0" applyNumberFormat="1" applyFont="1" applyFill="1" applyBorder="1" applyAlignment="1">
      <alignment vertical="center"/>
    </xf>
    <xf numFmtId="0" fontId="27" fillId="4" borderId="21" xfId="0" applyFont="1" applyFill="1" applyBorder="1" applyAlignment="1">
      <alignment vertical="center" wrapText="1"/>
    </xf>
    <xf numFmtId="0" fontId="27" fillId="13" borderId="21" xfId="0" applyFont="1" applyFill="1" applyBorder="1" applyAlignment="1">
      <alignment vertical="center" wrapText="1"/>
    </xf>
    <xf numFmtId="0" fontId="27" fillId="13" borderId="24" xfId="0" applyFont="1" applyFill="1" applyBorder="1" applyAlignment="1">
      <alignment vertical="center" wrapText="1"/>
    </xf>
    <xf numFmtId="0" fontId="18" fillId="7" borderId="0" xfId="0" applyFont="1" applyFill="1" applyAlignment="1">
      <alignment vertical="center"/>
    </xf>
    <xf numFmtId="0" fontId="15" fillId="6" borderId="0" xfId="0" applyFont="1" applyFill="1" applyAlignment="1">
      <alignment vertical="center"/>
    </xf>
    <xf numFmtId="0" fontId="13" fillId="0" borderId="0" xfId="0" applyFont="1" applyAlignment="1">
      <alignment vertical="center"/>
    </xf>
    <xf numFmtId="0" fontId="16" fillId="6" borderId="0" xfId="0" applyFont="1" applyFill="1" applyAlignment="1">
      <alignment vertical="center"/>
    </xf>
    <xf numFmtId="0" fontId="19" fillId="8" borderId="0" xfId="0" applyFont="1" applyFill="1" applyAlignment="1">
      <alignment vertical="center" wrapText="1"/>
    </xf>
    <xf numFmtId="0" fontId="17" fillId="5" borderId="17" xfId="0" applyFont="1" applyFill="1" applyBorder="1" applyAlignment="1">
      <alignment vertical="center"/>
    </xf>
    <xf numFmtId="0" fontId="17" fillId="5" borderId="18" xfId="0" applyFont="1" applyFill="1" applyBorder="1" applyAlignment="1">
      <alignment vertical="center"/>
    </xf>
    <xf numFmtId="0" fontId="28" fillId="0" borderId="0" xfId="0" applyFont="1"/>
    <xf numFmtId="0" fontId="29" fillId="0" borderId="0" xfId="0" applyFont="1"/>
    <xf numFmtId="0" fontId="30" fillId="14" borderId="0" xfId="0" applyFont="1" applyFill="1"/>
    <xf numFmtId="0" fontId="31" fillId="0" borderId="0" xfId="0" applyFont="1"/>
    <xf numFmtId="0" fontId="32" fillId="15" borderId="0" xfId="0" applyFont="1" applyFill="1"/>
    <xf numFmtId="0" fontId="32" fillId="15" borderId="0" xfId="0" applyFont="1" applyFill="1" applyAlignment="1">
      <alignment horizontal="center"/>
    </xf>
    <xf numFmtId="165" fontId="0" fillId="0" borderId="0" xfId="0" applyNumberFormat="1" applyAlignment="1">
      <alignment horizontal="center"/>
    </xf>
    <xf numFmtId="166" fontId="2" fillId="0" borderId="0" xfId="0" applyNumberFormat="1" applyFont="1" applyAlignment="1">
      <alignment horizontal="center"/>
    </xf>
    <xf numFmtId="0" fontId="2" fillId="16" borderId="0" xfId="0" applyFont="1" applyFill="1"/>
    <xf numFmtId="165" fontId="2" fillId="16" borderId="0" xfId="0" applyNumberFormat="1" applyFont="1" applyFill="1" applyAlignment="1">
      <alignment horizontal="center"/>
    </xf>
    <xf numFmtId="0" fontId="2" fillId="17" borderId="0" xfId="0" applyFont="1" applyFill="1"/>
    <xf numFmtId="165" fontId="0" fillId="16" borderId="0" xfId="0" applyNumberFormat="1" applyFill="1" applyAlignment="1">
      <alignment horizontal="center"/>
    </xf>
    <xf numFmtId="165" fontId="0" fillId="17" borderId="0" xfId="0" applyNumberFormat="1" applyFill="1" applyAlignment="1">
      <alignment horizontal="center"/>
    </xf>
    <xf numFmtId="165" fontId="2" fillId="17" borderId="0" xfId="0" applyNumberFormat="1" applyFont="1" applyFill="1" applyAlignment="1">
      <alignment horizontal="center"/>
    </xf>
    <xf numFmtId="0" fontId="32" fillId="15" borderId="0" xfId="0" applyFont="1" applyFill="1" applyAlignment="1">
      <alignment horizontal="center" wrapText="1"/>
    </xf>
    <xf numFmtId="0" fontId="33" fillId="0" borderId="0" xfId="0" applyFont="1" applyAlignment="1">
      <alignment horizontal="center"/>
    </xf>
    <xf numFmtId="0" fontId="34" fillId="0" borderId="0" xfId="0" applyFont="1" applyAlignment="1">
      <alignment horizontal="center"/>
    </xf>
    <xf numFmtId="0" fontId="35" fillId="0" borderId="0" xfId="0" applyFont="1"/>
    <xf numFmtId="165" fontId="0" fillId="0" borderId="0" xfId="0" quotePrefix="1" applyNumberFormat="1" applyAlignment="1">
      <alignment horizontal="center"/>
    </xf>
    <xf numFmtId="0" fontId="36" fillId="0" borderId="0" xfId="0" applyFont="1"/>
    <xf numFmtId="0" fontId="37" fillId="0" borderId="0" xfId="0" applyFont="1" applyAlignment="1">
      <alignment horizontal="center"/>
    </xf>
    <xf numFmtId="167" fontId="0" fillId="0" borderId="0" xfId="0" applyNumberFormat="1" applyAlignment="1">
      <alignment horizontal="center"/>
    </xf>
    <xf numFmtId="10" fontId="0" fillId="0" borderId="0" xfId="0" applyNumberFormat="1" applyAlignment="1">
      <alignment horizontal="center"/>
    </xf>
  </cellXfs>
  <cellStyles count="1">
    <cellStyle name="Normal" xfId="0" builtinId="0"/>
  </cellStyles>
  <dxfs count="24">
    <dxf>
      <font>
        <color rgb="FFCC0000"/>
      </font>
      <fill>
        <patternFill patternType="solid">
          <fgColor indexed="64"/>
          <bgColor rgb="FFFCE4EC"/>
        </patternFill>
      </fill>
    </dxf>
    <dxf>
      <font>
        <color rgb="FF008000"/>
      </font>
      <fill>
        <patternFill patternType="solid">
          <fgColor indexed="64"/>
          <bgColor rgb="FFE2EFDA"/>
        </patternFill>
      </fill>
    </dxf>
    <dxf>
      <font>
        <color rgb="FFCC0000"/>
      </font>
      <fill>
        <patternFill patternType="solid">
          <fgColor indexed="64"/>
          <bgColor rgb="FFFCE4EC"/>
        </patternFill>
      </fill>
    </dxf>
    <dxf>
      <font>
        <color rgb="FF008000"/>
      </font>
      <fill>
        <patternFill patternType="solid">
          <fgColor indexed="64"/>
          <bgColor rgb="FFE2EFDA"/>
        </patternFill>
      </fill>
    </dxf>
    <dxf>
      <font>
        <sz val="9"/>
        <name val="Aptos Narrow"/>
      </font>
      <alignment horizontal="center" vertical="center" wrapText="0"/>
    </dxf>
    <dxf>
      <font>
        <sz val="9"/>
        <name val="Aptos Narrow"/>
      </font>
      <alignment horizontal="center" vertical="center" wrapText="0"/>
    </dxf>
    <dxf>
      <font>
        <sz val="9"/>
        <name val="Aptos Narrow"/>
      </font>
      <alignment vertical="center" wrapText="0"/>
    </dxf>
    <dxf>
      <border>
        <bottom style="medium">
          <color rgb="FF2E7D32"/>
        </bottom>
      </border>
    </dxf>
    <dxf>
      <font>
        <b/>
        <sz val="10"/>
        <color rgb="FFFFFFFF"/>
        <name val="Aptos Narrow"/>
      </font>
      <fill>
        <patternFill patternType="solid">
          <fgColor indexed="64"/>
          <bgColor rgb="FF4EA72E"/>
        </patternFill>
      </fill>
      <alignment horizontal="center" vertical="center" wrapText="0"/>
    </dxf>
    <dxf>
      <font>
        <strike val="0"/>
        <outline val="0"/>
        <shadow val="0"/>
        <u val="none"/>
        <vertAlign val="baseline"/>
        <sz val="11"/>
        <color theme="1"/>
        <name val="Aptos Narrow"/>
        <family val="2"/>
        <scheme val="minor"/>
      </font>
      <numFmt numFmtId="164" formatCode="yyyy\-mm\-dd\ hh:mm"/>
      <alignment horizontal="left" vertical="center" wrapText="0"/>
      <border diagonalUp="0" diagonalDown="0" outline="0">
        <left/>
        <right/>
        <top style="thin">
          <color rgb="FFC0C0C0"/>
        </top>
        <bottom style="thin">
          <color rgb="FFC0C0C0"/>
        </bottom>
      </border>
    </dxf>
    <dxf>
      <font>
        <strike val="0"/>
        <outline val="0"/>
        <shadow val="0"/>
        <u val="none"/>
        <vertAlign val="baseline"/>
        <sz val="11"/>
        <color theme="1"/>
        <name val="Aptos Narrow"/>
        <family val="2"/>
        <scheme val="minor"/>
      </font>
      <numFmt numFmtId="0" formatCode="General"/>
      <alignment horizontal="left" vertical="top" textRotation="0" wrapText="1" indent="0" justifyLastLine="0" shrinkToFit="0" readingOrder="0"/>
      <border diagonalUp="0" diagonalDown="0" outline="0">
        <left style="thin">
          <color rgb="FF8ED973"/>
        </left>
        <right style="thin">
          <color rgb="FF8ED973"/>
        </right>
        <top style="thin">
          <color rgb="FFC0C0C0"/>
        </top>
        <bottom style="thin">
          <color rgb="FFC0C0C0"/>
        </bottom>
      </border>
    </dxf>
    <dxf>
      <font>
        <strike val="0"/>
        <outline val="0"/>
        <shadow val="0"/>
        <u val="none"/>
        <vertAlign val="baseline"/>
        <sz val="11"/>
        <color theme="1"/>
        <name val="Aptos Narrow"/>
        <family val="2"/>
        <scheme val="minor"/>
      </font>
      <numFmt numFmtId="0" formatCode="General"/>
      <alignment horizontal="center" vertical="center" wrapText="0"/>
      <border diagonalUp="0" diagonalDown="0" outline="0">
        <left/>
        <right style="thin">
          <color rgb="FF8ED973"/>
        </right>
        <top style="thin">
          <color rgb="FFC0C0C0"/>
        </top>
        <bottom style="thin">
          <color rgb="FFC0C0C0"/>
        </bottom>
      </border>
    </dxf>
    <dxf>
      <font>
        <strike val="0"/>
        <outline val="0"/>
        <shadow val="0"/>
        <u val="none"/>
        <vertAlign val="baseline"/>
        <sz val="11"/>
        <color theme="1"/>
        <name val="Aptos Narrow"/>
        <family val="2"/>
        <scheme val="minor"/>
      </font>
      <numFmt numFmtId="0" formatCode="General"/>
      <alignment horizontal="left" vertical="center" wrapText="0"/>
      <border diagonalUp="0" diagonalDown="0" outline="0">
        <left/>
        <right/>
        <top style="thin">
          <color rgb="FFC0C0C0"/>
        </top>
        <bottom style="thin">
          <color rgb="FFC0C0C0"/>
        </bottom>
      </border>
    </dxf>
    <dxf>
      <font>
        <strike val="0"/>
        <outline val="0"/>
        <shadow val="0"/>
        <u val="none"/>
        <vertAlign val="baseline"/>
        <sz val="11"/>
        <color theme="1"/>
        <name val="Aptos Narrow"/>
        <family val="2"/>
        <scheme val="minor"/>
      </font>
      <numFmt numFmtId="0" formatCode="General"/>
      <alignment horizontal="left" vertical="center" wrapText="0"/>
      <border diagonalUp="0" diagonalDown="0" outline="0">
        <left/>
        <right/>
        <top style="thin">
          <color rgb="FFC0C0C0"/>
        </top>
        <bottom style="thin">
          <color rgb="FFC0C0C0"/>
        </bottom>
      </border>
    </dxf>
    <dxf>
      <font>
        <strike val="0"/>
        <outline val="0"/>
        <shadow val="0"/>
        <u val="none"/>
        <vertAlign val="baseline"/>
        <sz val="11"/>
        <color theme="1"/>
        <name val="Aptos Narrow"/>
        <family val="2"/>
        <scheme val="minor"/>
      </font>
      <numFmt numFmtId="0" formatCode="General"/>
      <alignment horizontal="left" vertical="center" wrapText="0"/>
      <border diagonalUp="0" diagonalDown="0" outline="0">
        <left/>
        <right/>
        <top style="thin">
          <color rgb="FFC0C0C0"/>
        </top>
        <bottom style="thin">
          <color rgb="FFC0C0C0"/>
        </bottom>
      </border>
    </dxf>
    <dxf>
      <font>
        <strike val="0"/>
        <outline val="0"/>
        <shadow val="0"/>
        <u val="none"/>
        <vertAlign val="baseline"/>
        <sz val="11"/>
        <color theme="1"/>
        <name val="Aptos Narrow"/>
        <family val="2"/>
        <scheme val="minor"/>
      </font>
      <numFmt numFmtId="0" formatCode="General"/>
      <alignment horizontal="left" vertical="center" wrapText="0"/>
      <border diagonalUp="0" diagonalDown="0" outline="0">
        <left/>
        <right/>
        <top style="thin">
          <color rgb="FFC0C0C0"/>
        </top>
        <bottom style="thin">
          <color rgb="FFC0C0C0"/>
        </bottom>
      </border>
    </dxf>
    <dxf>
      <font>
        <strike val="0"/>
        <outline val="0"/>
        <shadow val="0"/>
        <u val="none"/>
        <vertAlign val="baseline"/>
        <sz val="11"/>
        <color theme="1"/>
        <name val="Aptos Narrow"/>
        <family val="2"/>
        <scheme val="minor"/>
      </font>
      <numFmt numFmtId="0" formatCode="General"/>
      <alignment horizontal="center" vertical="center" wrapText="0"/>
      <border diagonalUp="0" diagonalDown="0" outline="0">
        <left/>
        <right/>
        <top style="thin">
          <color rgb="FFC0C0C0"/>
        </top>
        <bottom style="thin">
          <color rgb="FFC0C0C0"/>
        </bottom>
      </border>
    </dxf>
    <dxf>
      <font>
        <strike val="0"/>
        <outline val="0"/>
        <shadow val="0"/>
        <u val="none"/>
        <vertAlign val="baseline"/>
        <sz val="11"/>
        <color theme="1"/>
        <name val="Aptos Narrow"/>
        <family val="2"/>
        <scheme val="minor"/>
      </font>
      <alignment horizontal="center" vertical="center" wrapText="0"/>
      <border diagonalUp="0" diagonalDown="0" outline="0">
        <left/>
        <right/>
        <top style="thin">
          <color rgb="FFC0C0C0"/>
        </top>
        <bottom style="thin">
          <color rgb="FFC0C0C0"/>
        </bottom>
      </border>
    </dxf>
    <dxf>
      <font>
        <strike val="0"/>
        <outline val="0"/>
        <shadow val="0"/>
        <u val="none"/>
        <vertAlign val="baseline"/>
        <sz val="11"/>
        <color theme="1"/>
        <name val="Aptos Narrow"/>
        <family val="2"/>
        <scheme val="minor"/>
      </font>
      <numFmt numFmtId="0" formatCode="General"/>
      <alignment horizontal="left" vertical="center" wrapText="0"/>
      <border diagonalUp="0" diagonalDown="0" outline="0">
        <left/>
        <right/>
        <top style="thin">
          <color rgb="FFC0C0C0"/>
        </top>
        <bottom style="thin">
          <color rgb="FFC0C0C0"/>
        </bottom>
      </border>
    </dxf>
    <dxf>
      <font>
        <strike val="0"/>
        <outline val="0"/>
        <shadow val="0"/>
        <u val="none"/>
        <vertAlign val="baseline"/>
        <sz val="11"/>
        <color theme="1"/>
        <name val="Aptos Narrow"/>
        <family val="2"/>
        <scheme val="minor"/>
      </font>
      <numFmt numFmtId="0" formatCode="General"/>
      <alignment horizontal="center" vertical="center" wrapText="0"/>
      <border diagonalUp="0" diagonalDown="0" outline="0">
        <left/>
        <right/>
        <top style="thin">
          <color rgb="FFC0C0C0"/>
        </top>
        <bottom style="thin">
          <color rgb="FFC0C0C0"/>
        </bottom>
      </border>
    </dxf>
    <dxf>
      <font>
        <strike val="0"/>
        <outline val="0"/>
        <shadow val="0"/>
        <u val="none"/>
        <vertAlign val="baseline"/>
        <sz val="11"/>
        <color theme="1"/>
        <name val="Aptos Narrow"/>
        <family val="2"/>
        <scheme val="minor"/>
      </font>
      <alignment horizontal="center" vertical="center" wrapText="0"/>
      <border diagonalUp="0" diagonalDown="0" outline="0">
        <left/>
        <right/>
        <top style="thin">
          <color rgb="FFC0C0C0"/>
        </top>
        <bottom style="thin">
          <color rgb="FFC0C0C0"/>
        </bottom>
      </border>
    </dxf>
    <dxf>
      <font>
        <strike val="0"/>
        <outline val="0"/>
        <shadow val="0"/>
        <u val="none"/>
        <vertAlign val="baseline"/>
        <sz val="11"/>
        <color theme="1"/>
        <name val="Aptos Narrow"/>
        <family val="2"/>
        <scheme val="minor"/>
      </font>
      <alignment vertical="center" wrapText="0"/>
    </dxf>
    <dxf>
      <border>
        <bottom style="medium">
          <color rgb="FF2E7D32"/>
        </bottom>
      </border>
    </dxf>
    <dxf>
      <font>
        <b/>
        <strike val="0"/>
        <outline val="0"/>
        <shadow val="0"/>
        <u val="none"/>
        <vertAlign val="baseline"/>
        <sz val="10"/>
        <color rgb="FFFFFFFF"/>
        <name val="Aptos Narrow"/>
        <scheme val="minor"/>
      </font>
      <fill>
        <patternFill patternType="solid">
          <fgColor indexed="64"/>
          <bgColor rgb="FF4EA72E"/>
        </patternFill>
      </fill>
      <alignment horizontal="center" vertical="center"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Performance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_ChartData!$B$1</c:f>
              <c:strCache>
                <c:ptCount val="1"/>
                <c:pt idx="0">
                  <c:v>Precision</c:v>
                </c:pt>
              </c:strCache>
            </c:strRef>
          </c:tx>
          <c:spPr>
            <a:solidFill>
              <a:schemeClr val="accent1"/>
            </a:solidFill>
            <a:ln>
              <a:noFill/>
            </a:ln>
            <a:effectLst/>
          </c:spPr>
          <c:invertIfNegative val="0"/>
          <c:cat>
            <c:strRef>
              <c:f>_ChartData!$A$2:$A$6</c:f>
              <c:strCache>
                <c:ptCount val="5"/>
                <c:pt idx="0">
                  <c:v>GPT-4o</c:v>
                </c:pt>
                <c:pt idx="1">
                  <c:v>GPT-4o-mini</c:v>
                </c:pt>
                <c:pt idx="2">
                  <c:v>Claude 4.6 Sonnet</c:v>
                </c:pt>
                <c:pt idx="3">
                  <c:v>Claude 4.5 Haiku</c:v>
                </c:pt>
                <c:pt idx="4">
                  <c:v>Gemini 2.5 Flash</c:v>
                </c:pt>
              </c:strCache>
            </c:strRef>
          </c:cat>
          <c:val>
            <c:numRef>
              <c:f>_ChartData!$B$2:$B$6</c:f>
              <c:numCache>
                <c:formatCode>General</c:formatCode>
                <c:ptCount val="5"/>
                <c:pt idx="0">
                  <c:v>0.97560000000000002</c:v>
                </c:pt>
                <c:pt idx="1">
                  <c:v>0.95350000000000001</c:v>
                </c:pt>
                <c:pt idx="2">
                  <c:v>1</c:v>
                </c:pt>
                <c:pt idx="3">
                  <c:v>0.80600000000000005</c:v>
                </c:pt>
                <c:pt idx="4">
                  <c:v>1</c:v>
                </c:pt>
              </c:numCache>
            </c:numRef>
          </c:val>
          <c:extLst>
            <c:ext xmlns:c16="http://schemas.microsoft.com/office/drawing/2014/chart" uri="{C3380CC4-5D6E-409C-BE32-E72D297353CC}">
              <c16:uniqueId val="{00000000-BF3F-4D31-8D69-85F5F9C7A13F}"/>
            </c:ext>
          </c:extLst>
        </c:ser>
        <c:ser>
          <c:idx val="1"/>
          <c:order val="1"/>
          <c:tx>
            <c:strRef>
              <c:f>_ChartData!$C$1</c:f>
              <c:strCache>
                <c:ptCount val="1"/>
                <c:pt idx="0">
                  <c:v>Recall</c:v>
                </c:pt>
              </c:strCache>
            </c:strRef>
          </c:tx>
          <c:spPr>
            <a:solidFill>
              <a:schemeClr val="accent2"/>
            </a:solidFill>
            <a:ln>
              <a:noFill/>
            </a:ln>
            <a:effectLst/>
          </c:spPr>
          <c:invertIfNegative val="0"/>
          <c:cat>
            <c:strRef>
              <c:f>_ChartData!$A$2:$A$6</c:f>
              <c:strCache>
                <c:ptCount val="5"/>
                <c:pt idx="0">
                  <c:v>GPT-4o</c:v>
                </c:pt>
                <c:pt idx="1">
                  <c:v>GPT-4o-mini</c:v>
                </c:pt>
                <c:pt idx="2">
                  <c:v>Claude 4.6 Sonnet</c:v>
                </c:pt>
                <c:pt idx="3">
                  <c:v>Claude 4.5 Haiku</c:v>
                </c:pt>
                <c:pt idx="4">
                  <c:v>Gemini 2.5 Flash</c:v>
                </c:pt>
              </c:strCache>
            </c:strRef>
          </c:cat>
          <c:val>
            <c:numRef>
              <c:f>_ChartData!$C$2:$C$6</c:f>
              <c:numCache>
                <c:formatCode>General</c:formatCode>
                <c:ptCount val="5"/>
                <c:pt idx="0">
                  <c:v>0.66669999999999996</c:v>
                </c:pt>
                <c:pt idx="1">
                  <c:v>0.68330000000000002</c:v>
                </c:pt>
                <c:pt idx="2">
                  <c:v>0.95</c:v>
                </c:pt>
                <c:pt idx="3">
                  <c:v>0.9</c:v>
                </c:pt>
                <c:pt idx="4">
                  <c:v>0.9</c:v>
                </c:pt>
              </c:numCache>
            </c:numRef>
          </c:val>
          <c:extLst>
            <c:ext xmlns:c16="http://schemas.microsoft.com/office/drawing/2014/chart" uri="{C3380CC4-5D6E-409C-BE32-E72D297353CC}">
              <c16:uniqueId val="{00000001-BF3F-4D31-8D69-85F5F9C7A13F}"/>
            </c:ext>
          </c:extLst>
        </c:ser>
        <c:ser>
          <c:idx val="2"/>
          <c:order val="2"/>
          <c:tx>
            <c:strRef>
              <c:f>_ChartData!$D$1</c:f>
              <c:strCache>
                <c:ptCount val="1"/>
                <c:pt idx="0">
                  <c:v>F1 Score</c:v>
                </c:pt>
              </c:strCache>
            </c:strRef>
          </c:tx>
          <c:spPr>
            <a:solidFill>
              <a:schemeClr val="accent3"/>
            </a:solidFill>
            <a:ln>
              <a:noFill/>
            </a:ln>
            <a:effectLst/>
          </c:spPr>
          <c:invertIfNegative val="0"/>
          <c:cat>
            <c:strRef>
              <c:f>_ChartData!$A$2:$A$6</c:f>
              <c:strCache>
                <c:ptCount val="5"/>
                <c:pt idx="0">
                  <c:v>GPT-4o</c:v>
                </c:pt>
                <c:pt idx="1">
                  <c:v>GPT-4o-mini</c:v>
                </c:pt>
                <c:pt idx="2">
                  <c:v>Claude 4.6 Sonnet</c:v>
                </c:pt>
                <c:pt idx="3">
                  <c:v>Claude 4.5 Haiku</c:v>
                </c:pt>
                <c:pt idx="4">
                  <c:v>Gemini 2.5 Flash</c:v>
                </c:pt>
              </c:strCache>
            </c:strRef>
          </c:cat>
          <c:val>
            <c:numRef>
              <c:f>_ChartData!$D$2:$D$6</c:f>
              <c:numCache>
                <c:formatCode>General</c:formatCode>
                <c:ptCount val="5"/>
                <c:pt idx="0">
                  <c:v>0.79210000000000003</c:v>
                </c:pt>
                <c:pt idx="1">
                  <c:v>0.79610000000000003</c:v>
                </c:pt>
                <c:pt idx="2">
                  <c:v>0.97440000000000004</c:v>
                </c:pt>
                <c:pt idx="3">
                  <c:v>0.85040000000000004</c:v>
                </c:pt>
                <c:pt idx="4">
                  <c:v>0.94740000000000002</c:v>
                </c:pt>
              </c:numCache>
            </c:numRef>
          </c:val>
          <c:extLst>
            <c:ext xmlns:c16="http://schemas.microsoft.com/office/drawing/2014/chart" uri="{C3380CC4-5D6E-409C-BE32-E72D297353CC}">
              <c16:uniqueId val="{00000002-BF3F-4D31-8D69-85F5F9C7A13F}"/>
            </c:ext>
          </c:extLst>
        </c:ser>
        <c:ser>
          <c:idx val="3"/>
          <c:order val="3"/>
          <c:tx>
            <c:strRef>
              <c:f>_ChartData!$E$1</c:f>
              <c:strCache>
                <c:ptCount val="1"/>
                <c:pt idx="0">
                  <c:v>Specificity</c:v>
                </c:pt>
              </c:strCache>
            </c:strRef>
          </c:tx>
          <c:spPr>
            <a:solidFill>
              <a:schemeClr val="accent4"/>
            </a:solidFill>
            <a:ln>
              <a:noFill/>
            </a:ln>
            <a:effectLst/>
          </c:spPr>
          <c:invertIfNegative val="0"/>
          <c:cat>
            <c:strRef>
              <c:f>_ChartData!$A$2:$A$6</c:f>
              <c:strCache>
                <c:ptCount val="5"/>
                <c:pt idx="0">
                  <c:v>GPT-4o</c:v>
                </c:pt>
                <c:pt idx="1">
                  <c:v>GPT-4o-mini</c:v>
                </c:pt>
                <c:pt idx="2">
                  <c:v>Claude 4.6 Sonnet</c:v>
                </c:pt>
                <c:pt idx="3">
                  <c:v>Claude 4.5 Haiku</c:v>
                </c:pt>
                <c:pt idx="4">
                  <c:v>Gemini 2.5 Flash</c:v>
                </c:pt>
              </c:strCache>
            </c:strRef>
          </c:cat>
          <c:val>
            <c:numRef>
              <c:f>_ChartData!$E$2:$E$6</c:f>
              <c:numCache>
                <c:formatCode>General</c:formatCode>
                <c:ptCount val="5"/>
                <c:pt idx="0">
                  <c:v>0.98329999999999995</c:v>
                </c:pt>
                <c:pt idx="1">
                  <c:v>0.9667</c:v>
                </c:pt>
                <c:pt idx="2">
                  <c:v>1</c:v>
                </c:pt>
                <c:pt idx="3">
                  <c:v>0.7833</c:v>
                </c:pt>
                <c:pt idx="4">
                  <c:v>1</c:v>
                </c:pt>
              </c:numCache>
            </c:numRef>
          </c:val>
          <c:extLst>
            <c:ext xmlns:c16="http://schemas.microsoft.com/office/drawing/2014/chart" uri="{C3380CC4-5D6E-409C-BE32-E72D297353CC}">
              <c16:uniqueId val="{00000003-BF3F-4D31-8D69-85F5F9C7A13F}"/>
            </c:ext>
          </c:extLst>
        </c:ser>
        <c:dLbls>
          <c:showLegendKey val="0"/>
          <c:showVal val="0"/>
          <c:showCatName val="0"/>
          <c:showSerName val="0"/>
          <c:showPercent val="0"/>
          <c:showBubbleSize val="0"/>
        </c:dLbls>
        <c:gapWidth val="219"/>
        <c:overlap val="-27"/>
        <c:axId val="2063200351"/>
        <c:axId val="2063199391"/>
      </c:barChart>
      <c:catAx>
        <c:axId val="206320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99391"/>
        <c:crosses val="autoZero"/>
        <c:auto val="1"/>
        <c:lblAlgn val="ctr"/>
        <c:lblOffset val="100"/>
        <c:noMultiLvlLbl val="0"/>
      </c:catAx>
      <c:valAx>
        <c:axId val="206319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0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Prompt Type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_ChartData!$B$9</c:f>
              <c:strCache>
                <c:ptCount val="1"/>
                <c:pt idx="0">
                  <c:v>Recall (Detection Rate)</c:v>
                </c:pt>
              </c:strCache>
            </c:strRef>
          </c:tx>
          <c:spPr>
            <a:solidFill>
              <a:schemeClr val="accent1"/>
            </a:solidFill>
            <a:ln>
              <a:noFill/>
            </a:ln>
            <a:effectLst/>
          </c:spPr>
          <c:invertIfNegative val="0"/>
          <c:cat>
            <c:strRef>
              <c:f>_ChartData!$A$10:$A$11</c:f>
              <c:strCache>
                <c:ptCount val="2"/>
                <c:pt idx="0">
                  <c:v>Generic Prompt
(no leakage mention)</c:v>
                </c:pt>
                <c:pt idx="1">
                  <c:v>Specific Prompt
(leakage-focused)</c:v>
                </c:pt>
              </c:strCache>
            </c:strRef>
          </c:cat>
          <c:val>
            <c:numRef>
              <c:f>_ChartData!$B$10:$B$11</c:f>
              <c:numCache>
                <c:formatCode>General</c:formatCode>
                <c:ptCount val="2"/>
                <c:pt idx="0">
                  <c:v>0.66</c:v>
                </c:pt>
                <c:pt idx="1">
                  <c:v>0.98</c:v>
                </c:pt>
              </c:numCache>
            </c:numRef>
          </c:val>
          <c:extLst>
            <c:ext xmlns:c16="http://schemas.microsoft.com/office/drawing/2014/chart" uri="{C3380CC4-5D6E-409C-BE32-E72D297353CC}">
              <c16:uniqueId val="{00000000-D44A-41AA-8428-B736BDED68C1}"/>
            </c:ext>
          </c:extLst>
        </c:ser>
        <c:ser>
          <c:idx val="1"/>
          <c:order val="1"/>
          <c:tx>
            <c:strRef>
              <c:f>_ChartData!$C$9</c:f>
              <c:strCache>
                <c:ptCount val="1"/>
                <c:pt idx="0">
                  <c:v>Precision</c:v>
                </c:pt>
              </c:strCache>
            </c:strRef>
          </c:tx>
          <c:spPr>
            <a:solidFill>
              <a:schemeClr val="accent2"/>
            </a:solidFill>
            <a:ln>
              <a:noFill/>
            </a:ln>
            <a:effectLst/>
          </c:spPr>
          <c:invertIfNegative val="0"/>
          <c:cat>
            <c:strRef>
              <c:f>_ChartData!$A$10:$A$11</c:f>
              <c:strCache>
                <c:ptCount val="2"/>
                <c:pt idx="0">
                  <c:v>Generic Prompt
(no leakage mention)</c:v>
                </c:pt>
                <c:pt idx="1">
                  <c:v>Specific Prompt
(leakage-focused)</c:v>
                </c:pt>
              </c:strCache>
            </c:strRef>
          </c:cat>
          <c:val>
            <c:numRef>
              <c:f>_ChartData!$C$10:$C$11</c:f>
              <c:numCache>
                <c:formatCode>General</c:formatCode>
                <c:ptCount val="2"/>
                <c:pt idx="0">
                  <c:v>0.9083</c:v>
                </c:pt>
                <c:pt idx="1">
                  <c:v>0.96079999999999999</c:v>
                </c:pt>
              </c:numCache>
            </c:numRef>
          </c:val>
          <c:extLst>
            <c:ext xmlns:c16="http://schemas.microsoft.com/office/drawing/2014/chart" uri="{C3380CC4-5D6E-409C-BE32-E72D297353CC}">
              <c16:uniqueId val="{00000001-D44A-41AA-8428-B736BDED68C1}"/>
            </c:ext>
          </c:extLst>
        </c:ser>
        <c:dLbls>
          <c:showLegendKey val="0"/>
          <c:showVal val="0"/>
          <c:showCatName val="0"/>
          <c:showSerName val="0"/>
          <c:showPercent val="0"/>
          <c:showBubbleSize val="0"/>
        </c:dLbls>
        <c:gapWidth val="219"/>
        <c:overlap val="-27"/>
        <c:axId val="2063207071"/>
        <c:axId val="2063196991"/>
      </c:barChart>
      <c:catAx>
        <c:axId val="206320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96991"/>
        <c:crosses val="autoZero"/>
        <c:auto val="1"/>
        <c:lblAlgn val="ctr"/>
        <c:lblOffset val="100"/>
        <c:noMultiLvlLbl val="0"/>
      </c:catAx>
      <c:valAx>
        <c:axId val="206319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07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Detection Rate by Difficulty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_ChartData!$B$14</c:f>
              <c:strCache>
                <c:ptCount val="1"/>
                <c:pt idx="0">
                  <c:v>Detection Rate</c:v>
                </c:pt>
              </c:strCache>
            </c:strRef>
          </c:tx>
          <c:spPr>
            <a:solidFill>
              <a:schemeClr val="accent1"/>
            </a:solidFill>
            <a:ln>
              <a:noFill/>
            </a:ln>
            <a:effectLst/>
          </c:spPr>
          <c:invertIfNegative val="0"/>
          <c:cat>
            <c:strRef>
              <c:f>_ChartData!$A$15:$A$19</c:f>
              <c:strCache>
                <c:ptCount val="5"/>
                <c:pt idx="0">
                  <c:v>Easy</c:v>
                </c:pt>
                <c:pt idx="1">
                  <c:v>Easy-Medium</c:v>
                </c:pt>
                <c:pt idx="2">
                  <c:v>Medium</c:v>
                </c:pt>
                <c:pt idx="3">
                  <c:v>Medium-Hard</c:v>
                </c:pt>
                <c:pt idx="4">
                  <c:v>Hard (Target Leakage)</c:v>
                </c:pt>
              </c:strCache>
            </c:strRef>
          </c:cat>
          <c:val>
            <c:numRef>
              <c:f>_ChartData!$B$15:$B$19</c:f>
              <c:numCache>
                <c:formatCode>General</c:formatCode>
                <c:ptCount val="5"/>
                <c:pt idx="0">
                  <c:v>0.88300000000000001</c:v>
                </c:pt>
                <c:pt idx="1">
                  <c:v>0.91100000000000003</c:v>
                </c:pt>
                <c:pt idx="2">
                  <c:v>0.86699999999999999</c:v>
                </c:pt>
                <c:pt idx="3">
                  <c:v>0.86699999999999999</c:v>
                </c:pt>
                <c:pt idx="4">
                  <c:v>0.55000000000000004</c:v>
                </c:pt>
              </c:numCache>
            </c:numRef>
          </c:val>
          <c:extLst>
            <c:ext xmlns:c16="http://schemas.microsoft.com/office/drawing/2014/chart" uri="{C3380CC4-5D6E-409C-BE32-E72D297353CC}">
              <c16:uniqueId val="{00000000-DE07-433E-BD78-F7F3423D2C79}"/>
            </c:ext>
          </c:extLst>
        </c:ser>
        <c:dLbls>
          <c:showLegendKey val="0"/>
          <c:showVal val="0"/>
          <c:showCatName val="0"/>
          <c:showSerName val="0"/>
          <c:showPercent val="0"/>
          <c:showBubbleSize val="0"/>
        </c:dLbls>
        <c:gapWidth val="182"/>
        <c:axId val="2063203231"/>
        <c:axId val="2063204671"/>
      </c:barChart>
      <c:catAx>
        <c:axId val="206320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04671"/>
        <c:crosses val="autoZero"/>
        <c:auto val="1"/>
        <c:lblAlgn val="ctr"/>
        <c:lblOffset val="100"/>
        <c:noMultiLvlLbl val="0"/>
      </c:catAx>
      <c:valAx>
        <c:axId val="206320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0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Detection Rate by Snippet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_ChartData!$B$22</c:f>
              <c:strCache>
                <c:ptCount val="1"/>
                <c:pt idx="0">
                  <c:v>Detection Rate</c:v>
                </c:pt>
              </c:strCache>
            </c:strRef>
          </c:tx>
          <c:spPr>
            <a:solidFill>
              <a:schemeClr val="accent1"/>
            </a:solidFill>
            <a:ln>
              <a:noFill/>
            </a:ln>
            <a:effectLst/>
          </c:spPr>
          <c:invertIfNegative val="0"/>
          <c:cat>
            <c:strRef>
              <c:f>_ChartData!$A$23:$A$32</c:f>
              <c:strCache>
                <c:ptCount val="10"/>
                <c:pt idx="0">
                  <c:v>1A (Preprocessing)</c:v>
                </c:pt>
                <c:pt idx="1">
                  <c:v>2A (Preprocessing)</c:v>
                </c:pt>
                <c:pt idx="2">
                  <c:v>3A (Feature Selection)</c:v>
                </c:pt>
                <c:pt idx="3">
                  <c:v>4A (Imputation)</c:v>
                </c:pt>
                <c:pt idx="4">
                  <c:v>5A (Imputation)</c:v>
                </c:pt>
                <c:pt idx="5">
                  <c:v>6A (CV Preprocessing)</c:v>
                </c:pt>
                <c:pt idx="6">
                  <c:v>7A (Oversampling)</c:v>
                </c:pt>
                <c:pt idx="7">
                  <c:v>8A (Temporal)</c:v>
                </c:pt>
                <c:pt idx="8">
                  <c:v>9A (Target Leakage)</c:v>
                </c:pt>
                <c:pt idx="9">
                  <c:v>10A (Target Leakage)</c:v>
                </c:pt>
              </c:strCache>
            </c:strRef>
          </c:cat>
          <c:val>
            <c:numRef>
              <c:f>_ChartData!$B$23:$B$32</c:f>
              <c:numCache>
                <c:formatCode>General</c:formatCode>
                <c:ptCount val="10"/>
                <c:pt idx="0">
                  <c:v>0.86699999999999999</c:v>
                </c:pt>
                <c:pt idx="1">
                  <c:v>0.9</c:v>
                </c:pt>
                <c:pt idx="2">
                  <c:v>0.9</c:v>
                </c:pt>
                <c:pt idx="3">
                  <c:v>0.9</c:v>
                </c:pt>
                <c:pt idx="4">
                  <c:v>0.93300000000000005</c:v>
                </c:pt>
                <c:pt idx="5">
                  <c:v>0.86699999999999999</c:v>
                </c:pt>
                <c:pt idx="6">
                  <c:v>0.93300000000000005</c:v>
                </c:pt>
                <c:pt idx="7">
                  <c:v>0.8</c:v>
                </c:pt>
                <c:pt idx="8">
                  <c:v>0.63300000000000001</c:v>
                </c:pt>
                <c:pt idx="9">
                  <c:v>0.46700000000000003</c:v>
                </c:pt>
              </c:numCache>
            </c:numRef>
          </c:val>
          <c:extLst>
            <c:ext xmlns:c16="http://schemas.microsoft.com/office/drawing/2014/chart" uri="{C3380CC4-5D6E-409C-BE32-E72D297353CC}">
              <c16:uniqueId val="{00000000-F3CF-41AE-A52A-FA67210217F7}"/>
            </c:ext>
          </c:extLst>
        </c:ser>
        <c:dLbls>
          <c:showLegendKey val="0"/>
          <c:showVal val="0"/>
          <c:showCatName val="0"/>
          <c:showSerName val="0"/>
          <c:showPercent val="0"/>
          <c:showBubbleSize val="0"/>
        </c:dLbls>
        <c:gapWidth val="182"/>
        <c:axId val="2063193631"/>
        <c:axId val="2063205631"/>
      </c:barChart>
      <c:catAx>
        <c:axId val="206319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05631"/>
        <c:crosses val="autoZero"/>
        <c:auto val="1"/>
        <c:lblAlgn val="ctr"/>
        <c:lblOffset val="100"/>
        <c:noMultiLvlLbl val="0"/>
      </c:catAx>
      <c:valAx>
        <c:axId val="206320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9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False Positive Rates by Snippet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_ChartData!$B$35</c:f>
              <c:strCache>
                <c:ptCount val="1"/>
                <c:pt idx="0">
                  <c:v>False Positive Rate</c:v>
                </c:pt>
              </c:strCache>
            </c:strRef>
          </c:tx>
          <c:spPr>
            <a:solidFill>
              <a:schemeClr val="accent1"/>
            </a:solidFill>
            <a:ln>
              <a:noFill/>
            </a:ln>
            <a:effectLst/>
          </c:spPr>
          <c:invertIfNegative val="0"/>
          <c:cat>
            <c:strRef>
              <c:f>_ChartData!$A$36:$A$45</c:f>
              <c:strCache>
                <c:ptCount val="10"/>
                <c:pt idx="0">
                  <c:v>1B (Preprocessing)</c:v>
                </c:pt>
                <c:pt idx="1">
                  <c:v>2B (Preprocessing)</c:v>
                </c:pt>
                <c:pt idx="2">
                  <c:v>3B (Feature Selection)</c:v>
                </c:pt>
                <c:pt idx="3">
                  <c:v>4B (Imputation)</c:v>
                </c:pt>
                <c:pt idx="4">
                  <c:v>5B (Imputation)</c:v>
                </c:pt>
                <c:pt idx="5">
                  <c:v>6B (CV Preprocessing)</c:v>
                </c:pt>
                <c:pt idx="6">
                  <c:v>7B (Oversampling)</c:v>
                </c:pt>
                <c:pt idx="7">
                  <c:v>8B (Temporal)</c:v>
                </c:pt>
                <c:pt idx="8">
                  <c:v>9B (Target Leakage)</c:v>
                </c:pt>
                <c:pt idx="9">
                  <c:v>10B (Target Leakage)</c:v>
                </c:pt>
              </c:strCache>
            </c:strRef>
          </c:cat>
          <c:val>
            <c:numRef>
              <c:f>_ChartData!$B$36:$B$45</c:f>
              <c:numCache>
                <c:formatCode>General</c:formatCode>
                <c:ptCount val="10"/>
                <c:pt idx="0">
                  <c:v>0</c:v>
                </c:pt>
                <c:pt idx="1">
                  <c:v>0</c:v>
                </c:pt>
                <c:pt idx="2">
                  <c:v>0.13300000000000001</c:v>
                </c:pt>
                <c:pt idx="3">
                  <c:v>0.16700000000000001</c:v>
                </c:pt>
                <c:pt idx="4">
                  <c:v>0.1</c:v>
                </c:pt>
                <c:pt idx="5">
                  <c:v>0</c:v>
                </c:pt>
                <c:pt idx="6">
                  <c:v>3.3000000000000002E-2</c:v>
                </c:pt>
                <c:pt idx="7">
                  <c:v>0.1</c:v>
                </c:pt>
                <c:pt idx="8">
                  <c:v>0</c:v>
                </c:pt>
                <c:pt idx="9">
                  <c:v>0</c:v>
                </c:pt>
              </c:numCache>
            </c:numRef>
          </c:val>
          <c:extLst>
            <c:ext xmlns:c16="http://schemas.microsoft.com/office/drawing/2014/chart" uri="{C3380CC4-5D6E-409C-BE32-E72D297353CC}">
              <c16:uniqueId val="{00000000-D4B1-412C-BDBC-99E0E2F6334E}"/>
            </c:ext>
          </c:extLst>
        </c:ser>
        <c:dLbls>
          <c:showLegendKey val="0"/>
          <c:showVal val="0"/>
          <c:showCatName val="0"/>
          <c:showSerName val="0"/>
          <c:showPercent val="0"/>
          <c:showBubbleSize val="0"/>
        </c:dLbls>
        <c:gapWidth val="182"/>
        <c:axId val="2063198431"/>
        <c:axId val="2063209951"/>
      </c:barChart>
      <c:catAx>
        <c:axId val="206319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09951"/>
        <c:crosses val="autoZero"/>
        <c:auto val="1"/>
        <c:lblAlgn val="ctr"/>
        <c:lblOffset val="100"/>
        <c:noMultiLvlLbl val="0"/>
      </c:catAx>
      <c:valAx>
        <c:axId val="2063209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9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Cross-Run Consistency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_ChartData!$B$48</c:f>
              <c:strCache>
                <c:ptCount val="1"/>
                <c:pt idx="0">
                  <c:v>Accuracy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_ChartData!$A$49:$A$51</c:f>
              <c:strCache>
                <c:ptCount val="3"/>
                <c:pt idx="0">
                  <c:v>Run 1</c:v>
                </c:pt>
                <c:pt idx="1">
                  <c:v>Run 2</c:v>
                </c:pt>
                <c:pt idx="2">
                  <c:v>Run 3</c:v>
                </c:pt>
              </c:strCache>
            </c:strRef>
          </c:cat>
          <c:val>
            <c:numRef>
              <c:f>_ChartData!$B$49:$B$51</c:f>
              <c:numCache>
                <c:formatCode>General</c:formatCode>
                <c:ptCount val="3"/>
                <c:pt idx="0">
                  <c:v>0.875</c:v>
                </c:pt>
                <c:pt idx="1">
                  <c:v>0.88500000000000001</c:v>
                </c:pt>
                <c:pt idx="2">
                  <c:v>0.89</c:v>
                </c:pt>
              </c:numCache>
            </c:numRef>
          </c:val>
          <c:smooth val="0"/>
          <c:extLst>
            <c:ext xmlns:c16="http://schemas.microsoft.com/office/drawing/2014/chart" uri="{C3380CC4-5D6E-409C-BE32-E72D297353CC}">
              <c16:uniqueId val="{00000000-5681-4B71-86AC-EDE140069E8C}"/>
            </c:ext>
          </c:extLst>
        </c:ser>
        <c:ser>
          <c:idx val="1"/>
          <c:order val="1"/>
          <c:tx>
            <c:strRef>
              <c:f>_ChartData!$C$48</c:f>
              <c:strCache>
                <c:ptCount val="1"/>
                <c:pt idx="0">
                  <c:v>Precision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_ChartData!$A$49:$A$51</c:f>
              <c:strCache>
                <c:ptCount val="3"/>
                <c:pt idx="0">
                  <c:v>Run 1</c:v>
                </c:pt>
                <c:pt idx="1">
                  <c:v>Run 2</c:v>
                </c:pt>
                <c:pt idx="2">
                  <c:v>Run 3</c:v>
                </c:pt>
              </c:strCache>
            </c:strRef>
          </c:cat>
          <c:val>
            <c:numRef>
              <c:f>_ChartData!$C$49:$C$51</c:f>
              <c:numCache>
                <c:formatCode>General</c:formatCode>
                <c:ptCount val="3"/>
                <c:pt idx="0">
                  <c:v>0.94099999999999995</c:v>
                </c:pt>
                <c:pt idx="1">
                  <c:v>0.93300000000000005</c:v>
                </c:pt>
                <c:pt idx="2">
                  <c:v>0.94299999999999995</c:v>
                </c:pt>
              </c:numCache>
            </c:numRef>
          </c:val>
          <c:smooth val="0"/>
          <c:extLst>
            <c:ext xmlns:c16="http://schemas.microsoft.com/office/drawing/2014/chart" uri="{C3380CC4-5D6E-409C-BE32-E72D297353CC}">
              <c16:uniqueId val="{00000001-5681-4B71-86AC-EDE140069E8C}"/>
            </c:ext>
          </c:extLst>
        </c:ser>
        <c:ser>
          <c:idx val="2"/>
          <c:order val="2"/>
          <c:tx>
            <c:strRef>
              <c:f>_ChartData!$D$48</c:f>
              <c:strCache>
                <c:ptCount val="1"/>
                <c:pt idx="0">
                  <c:v>Recall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_ChartData!$A$49:$A$51</c:f>
              <c:strCache>
                <c:ptCount val="3"/>
                <c:pt idx="0">
                  <c:v>Run 1</c:v>
                </c:pt>
                <c:pt idx="1">
                  <c:v>Run 2</c:v>
                </c:pt>
                <c:pt idx="2">
                  <c:v>Run 3</c:v>
                </c:pt>
              </c:strCache>
            </c:strRef>
          </c:cat>
          <c:val>
            <c:numRef>
              <c:f>_ChartData!$D$49:$D$51</c:f>
              <c:numCache>
                <c:formatCode>General</c:formatCode>
                <c:ptCount val="3"/>
                <c:pt idx="0">
                  <c:v>0.8</c:v>
                </c:pt>
                <c:pt idx="1">
                  <c:v>0.83</c:v>
                </c:pt>
                <c:pt idx="2">
                  <c:v>0.83</c:v>
                </c:pt>
              </c:numCache>
            </c:numRef>
          </c:val>
          <c:smooth val="0"/>
          <c:extLst>
            <c:ext xmlns:c16="http://schemas.microsoft.com/office/drawing/2014/chart" uri="{C3380CC4-5D6E-409C-BE32-E72D297353CC}">
              <c16:uniqueId val="{00000002-5681-4B71-86AC-EDE140069E8C}"/>
            </c:ext>
          </c:extLst>
        </c:ser>
        <c:dLbls>
          <c:showLegendKey val="0"/>
          <c:showVal val="0"/>
          <c:showCatName val="0"/>
          <c:showSerName val="0"/>
          <c:showPercent val="0"/>
          <c:showBubbleSize val="0"/>
        </c:dLbls>
        <c:marker val="1"/>
        <c:smooth val="0"/>
        <c:axId val="2063221951"/>
        <c:axId val="2063211391"/>
      </c:lineChart>
      <c:catAx>
        <c:axId val="206322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11391"/>
        <c:crosses val="autoZero"/>
        <c:auto val="1"/>
        <c:lblAlgn val="ctr"/>
        <c:lblOffset val="100"/>
        <c:noMultiLvlLbl val="0"/>
      </c:catAx>
      <c:valAx>
        <c:axId val="206321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21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RQ2: Detection Rate (Recall) — Generic vs. Specific Prompt by Model</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'Extended Analytics'!$B$7</c:f>
              <c:strCache>
                <c:ptCount val="1"/>
                <c:pt idx="0">
                  <c:v>Generic Prompt — Recall</c:v>
                </c:pt>
              </c:strCache>
            </c:strRef>
          </c:tx>
          <c:spPr>
            <a:solidFill>
              <a:srgbClr val="BDD7EE"/>
            </a:solidFill>
            <a:ln>
              <a:noFill/>
            </a:ln>
            <a:effectLst/>
          </c:spPr>
          <c:invertIfNegative val="0"/>
          <c:cat>
            <c:strRef>
              <c:f>'Extended Analytics'!$A$8:$A$12</c:f>
              <c:strCache>
                <c:ptCount val="5"/>
                <c:pt idx="0">
                  <c:v>GPT-4o</c:v>
                </c:pt>
                <c:pt idx="1">
                  <c:v>GPT-4o-mini</c:v>
                </c:pt>
                <c:pt idx="2">
                  <c:v>Claude 4.6 Sonnet</c:v>
                </c:pt>
                <c:pt idx="3">
                  <c:v>Claude 4.5 Haiku</c:v>
                </c:pt>
                <c:pt idx="4">
                  <c:v>Gemini 2.5 Flash</c:v>
                </c:pt>
              </c:strCache>
            </c:strRef>
          </c:cat>
          <c:val>
            <c:numRef>
              <c:f>'Extended Analytics'!$B$8:$B$12</c:f>
              <c:numCache>
                <c:formatCode>0.0%</c:formatCode>
                <c:ptCount val="5"/>
                <c:pt idx="0">
                  <c:v>0.36666666666666664</c:v>
                </c:pt>
                <c:pt idx="1">
                  <c:v>0.43333333333333335</c:v>
                </c:pt>
                <c:pt idx="2">
                  <c:v>0.9</c:v>
                </c:pt>
                <c:pt idx="3">
                  <c:v>0.8</c:v>
                </c:pt>
                <c:pt idx="4">
                  <c:v>0.8</c:v>
                </c:pt>
              </c:numCache>
            </c:numRef>
          </c:val>
          <c:extLst>
            <c:ext xmlns:c16="http://schemas.microsoft.com/office/drawing/2014/chart" uri="{C3380CC4-5D6E-409C-BE32-E72D297353CC}">
              <c16:uniqueId val="{00000000-8556-4A0B-9C0A-BA6C1824A11C}"/>
            </c:ext>
          </c:extLst>
        </c:ser>
        <c:ser>
          <c:idx val="1"/>
          <c:order val="1"/>
          <c:tx>
            <c:strRef>
              <c:f>'Extended Analytics'!$C$7</c:f>
              <c:strCache>
                <c:ptCount val="1"/>
                <c:pt idx="0">
                  <c:v>Specific Prompt — Recall</c:v>
                </c:pt>
              </c:strCache>
            </c:strRef>
          </c:tx>
          <c:spPr>
            <a:solidFill>
              <a:srgbClr val="2F5597"/>
            </a:solidFill>
            <a:ln>
              <a:noFill/>
            </a:ln>
            <a:effectLst/>
          </c:spPr>
          <c:invertIfNegative val="0"/>
          <c:cat>
            <c:strRef>
              <c:f>'Extended Analytics'!$A$8:$A$12</c:f>
              <c:strCache>
                <c:ptCount val="5"/>
                <c:pt idx="0">
                  <c:v>GPT-4o</c:v>
                </c:pt>
                <c:pt idx="1">
                  <c:v>GPT-4o-mini</c:v>
                </c:pt>
                <c:pt idx="2">
                  <c:v>Claude 4.6 Sonnet</c:v>
                </c:pt>
                <c:pt idx="3">
                  <c:v>Claude 4.5 Haiku</c:v>
                </c:pt>
                <c:pt idx="4">
                  <c:v>Gemini 2.5 Flash</c:v>
                </c:pt>
              </c:strCache>
            </c:strRef>
          </c:cat>
          <c:val>
            <c:numRef>
              <c:f>'Extended Analytics'!$C$8:$C$12</c:f>
              <c:numCache>
                <c:formatCode>0.0%</c:formatCode>
                <c:ptCount val="5"/>
                <c:pt idx="0">
                  <c:v>0.96666666666666667</c:v>
                </c:pt>
                <c:pt idx="1">
                  <c:v>0.93333333333333335</c:v>
                </c:pt>
                <c:pt idx="2">
                  <c:v>1</c:v>
                </c:pt>
                <c:pt idx="3">
                  <c:v>1</c:v>
                </c:pt>
                <c:pt idx="4">
                  <c:v>1</c:v>
                </c:pt>
              </c:numCache>
            </c:numRef>
          </c:val>
          <c:extLst>
            <c:ext xmlns:c16="http://schemas.microsoft.com/office/drawing/2014/chart" uri="{C3380CC4-5D6E-409C-BE32-E72D297353CC}">
              <c16:uniqueId val="{00000001-8556-4A0B-9C0A-BA6C1824A11C}"/>
            </c:ext>
          </c:extLst>
        </c:ser>
        <c:dLbls>
          <c:showLegendKey val="0"/>
          <c:showVal val="0"/>
          <c:showCatName val="0"/>
          <c:showSerName val="0"/>
          <c:showPercent val="0"/>
          <c:showBubbleSize val="0"/>
        </c:dLbls>
        <c:gapWidth val="219"/>
        <c:overlap val="-27"/>
        <c:axId val="55594463"/>
        <c:axId val="55590623"/>
      </c:barChart>
      <c:catAx>
        <c:axId val="5559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0623"/>
        <c:crosses val="autoZero"/>
        <c:auto val="1"/>
        <c:lblAlgn val="ctr"/>
        <c:lblOffset val="100"/>
        <c:noMultiLvlLbl val="0"/>
      </c:catAx>
      <c:valAx>
        <c:axId val="5559062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Recall (Detection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4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RQ3: Detection Rate by Leakage Category × Model</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'Extended Analytics'!$B$18</c:f>
              <c:strCache>
                <c:ptCount val="1"/>
                <c:pt idx="0">
                  <c:v>GPT-4o</c:v>
                </c:pt>
              </c:strCache>
            </c:strRef>
          </c:tx>
          <c:spPr>
            <a:solidFill>
              <a:srgbClr val="4472C4"/>
            </a:solidFill>
            <a:ln>
              <a:noFill/>
            </a:ln>
            <a:effectLst/>
          </c:spPr>
          <c:invertIfNegative val="0"/>
          <c:cat>
            <c:strRef>
              <c:f>'Extended Analytics'!$A$19:$A$25</c:f>
              <c:strCache>
                <c:ptCount val="7"/>
                <c:pt idx="0">
                  <c:v>Preprocessing</c:v>
                </c:pt>
                <c:pt idx="1">
                  <c:v>Feature Selection</c:v>
                </c:pt>
                <c:pt idx="2">
                  <c:v>Imputation</c:v>
                </c:pt>
                <c:pt idx="3">
                  <c:v>CV Preprocessing</c:v>
                </c:pt>
                <c:pt idx="4">
                  <c:v>Oversampling</c:v>
                </c:pt>
                <c:pt idx="5">
                  <c:v>Temporal</c:v>
                </c:pt>
                <c:pt idx="6">
                  <c:v>Target Leakage</c:v>
                </c:pt>
              </c:strCache>
            </c:strRef>
          </c:cat>
          <c:val>
            <c:numRef>
              <c:f>'Extended Analytics'!$B$19:$B$25</c:f>
              <c:numCache>
                <c:formatCode>0.0%</c:formatCode>
                <c:ptCount val="7"/>
                <c:pt idx="0">
                  <c:v>0.75</c:v>
                </c:pt>
                <c:pt idx="1">
                  <c:v>0.5</c:v>
                </c:pt>
                <c:pt idx="2">
                  <c:v>0.75</c:v>
                </c:pt>
                <c:pt idx="3">
                  <c:v>0.66666666666666663</c:v>
                </c:pt>
                <c:pt idx="4">
                  <c:v>0.83333333333333337</c:v>
                </c:pt>
                <c:pt idx="5">
                  <c:v>0.66666666666666663</c:v>
                </c:pt>
                <c:pt idx="6">
                  <c:v>0.5</c:v>
                </c:pt>
              </c:numCache>
            </c:numRef>
          </c:val>
          <c:extLst>
            <c:ext xmlns:c16="http://schemas.microsoft.com/office/drawing/2014/chart" uri="{C3380CC4-5D6E-409C-BE32-E72D297353CC}">
              <c16:uniqueId val="{00000000-020C-4B34-BF82-87FE4843385B}"/>
            </c:ext>
          </c:extLst>
        </c:ser>
        <c:ser>
          <c:idx val="1"/>
          <c:order val="1"/>
          <c:tx>
            <c:strRef>
              <c:f>'Extended Analytics'!$C$18</c:f>
              <c:strCache>
                <c:ptCount val="1"/>
                <c:pt idx="0">
                  <c:v>GPT-4o-mini</c:v>
                </c:pt>
              </c:strCache>
            </c:strRef>
          </c:tx>
          <c:spPr>
            <a:solidFill>
              <a:srgbClr val="ED7D31"/>
            </a:solidFill>
            <a:ln>
              <a:noFill/>
            </a:ln>
            <a:effectLst/>
          </c:spPr>
          <c:invertIfNegative val="0"/>
          <c:cat>
            <c:strRef>
              <c:f>'Extended Analytics'!$A$19:$A$25</c:f>
              <c:strCache>
                <c:ptCount val="7"/>
                <c:pt idx="0">
                  <c:v>Preprocessing</c:v>
                </c:pt>
                <c:pt idx="1">
                  <c:v>Feature Selection</c:v>
                </c:pt>
                <c:pt idx="2">
                  <c:v>Imputation</c:v>
                </c:pt>
                <c:pt idx="3">
                  <c:v>CV Preprocessing</c:v>
                </c:pt>
                <c:pt idx="4">
                  <c:v>Oversampling</c:v>
                </c:pt>
                <c:pt idx="5">
                  <c:v>Temporal</c:v>
                </c:pt>
                <c:pt idx="6">
                  <c:v>Target Leakage</c:v>
                </c:pt>
              </c:strCache>
            </c:strRef>
          </c:cat>
          <c:val>
            <c:numRef>
              <c:f>'Extended Analytics'!$C$19:$C$25</c:f>
              <c:numCache>
                <c:formatCode>0.0%</c:formatCode>
                <c:ptCount val="7"/>
                <c:pt idx="0">
                  <c:v>0.75</c:v>
                </c:pt>
                <c:pt idx="1">
                  <c:v>1</c:v>
                </c:pt>
                <c:pt idx="2">
                  <c:v>0.83333333333333337</c:v>
                </c:pt>
                <c:pt idx="3">
                  <c:v>0.66666666666666663</c:v>
                </c:pt>
                <c:pt idx="4">
                  <c:v>0.83333333333333337</c:v>
                </c:pt>
                <c:pt idx="5">
                  <c:v>0.33333333333333331</c:v>
                </c:pt>
                <c:pt idx="6">
                  <c:v>0.41666666666666669</c:v>
                </c:pt>
              </c:numCache>
            </c:numRef>
          </c:val>
          <c:extLst>
            <c:ext xmlns:c16="http://schemas.microsoft.com/office/drawing/2014/chart" uri="{C3380CC4-5D6E-409C-BE32-E72D297353CC}">
              <c16:uniqueId val="{00000001-020C-4B34-BF82-87FE4843385B}"/>
            </c:ext>
          </c:extLst>
        </c:ser>
        <c:ser>
          <c:idx val="2"/>
          <c:order val="2"/>
          <c:tx>
            <c:strRef>
              <c:f>'Extended Analytics'!$D$18</c:f>
              <c:strCache>
                <c:ptCount val="1"/>
                <c:pt idx="0">
                  <c:v>Claude 4.6 Sonnet</c:v>
                </c:pt>
              </c:strCache>
            </c:strRef>
          </c:tx>
          <c:spPr>
            <a:solidFill>
              <a:srgbClr val="A5A5A5"/>
            </a:solidFill>
            <a:ln>
              <a:noFill/>
            </a:ln>
            <a:effectLst/>
          </c:spPr>
          <c:invertIfNegative val="0"/>
          <c:cat>
            <c:strRef>
              <c:f>'Extended Analytics'!$A$19:$A$25</c:f>
              <c:strCache>
                <c:ptCount val="7"/>
                <c:pt idx="0">
                  <c:v>Preprocessing</c:v>
                </c:pt>
                <c:pt idx="1">
                  <c:v>Feature Selection</c:v>
                </c:pt>
                <c:pt idx="2">
                  <c:v>Imputation</c:v>
                </c:pt>
                <c:pt idx="3">
                  <c:v>CV Preprocessing</c:v>
                </c:pt>
                <c:pt idx="4">
                  <c:v>Oversampling</c:v>
                </c:pt>
                <c:pt idx="5">
                  <c:v>Temporal</c:v>
                </c:pt>
                <c:pt idx="6">
                  <c:v>Target Leakage</c:v>
                </c:pt>
              </c:strCache>
            </c:strRef>
          </c:cat>
          <c:val>
            <c:numRef>
              <c:f>'Extended Analytics'!$D$19:$D$25</c:f>
              <c:numCache>
                <c:formatCode>0.0%</c:formatCode>
                <c:ptCount val="7"/>
                <c:pt idx="0">
                  <c:v>1</c:v>
                </c:pt>
                <c:pt idx="1">
                  <c:v>1</c:v>
                </c:pt>
                <c:pt idx="2">
                  <c:v>1</c:v>
                </c:pt>
                <c:pt idx="3">
                  <c:v>1</c:v>
                </c:pt>
                <c:pt idx="4">
                  <c:v>1</c:v>
                </c:pt>
                <c:pt idx="5">
                  <c:v>1</c:v>
                </c:pt>
                <c:pt idx="6">
                  <c:v>0.75</c:v>
                </c:pt>
              </c:numCache>
            </c:numRef>
          </c:val>
          <c:extLst>
            <c:ext xmlns:c16="http://schemas.microsoft.com/office/drawing/2014/chart" uri="{C3380CC4-5D6E-409C-BE32-E72D297353CC}">
              <c16:uniqueId val="{00000002-020C-4B34-BF82-87FE4843385B}"/>
            </c:ext>
          </c:extLst>
        </c:ser>
        <c:ser>
          <c:idx val="3"/>
          <c:order val="3"/>
          <c:tx>
            <c:strRef>
              <c:f>'Extended Analytics'!$E$18</c:f>
              <c:strCache>
                <c:ptCount val="1"/>
                <c:pt idx="0">
                  <c:v>Claude 4.5 Haiku</c:v>
                </c:pt>
              </c:strCache>
            </c:strRef>
          </c:tx>
          <c:spPr>
            <a:solidFill>
              <a:srgbClr val="FFC000"/>
            </a:solidFill>
            <a:ln>
              <a:noFill/>
            </a:ln>
            <a:effectLst/>
          </c:spPr>
          <c:invertIfNegative val="0"/>
          <c:cat>
            <c:strRef>
              <c:f>'Extended Analytics'!$A$19:$A$25</c:f>
              <c:strCache>
                <c:ptCount val="7"/>
                <c:pt idx="0">
                  <c:v>Preprocessing</c:v>
                </c:pt>
                <c:pt idx="1">
                  <c:v>Feature Selection</c:v>
                </c:pt>
                <c:pt idx="2">
                  <c:v>Imputation</c:v>
                </c:pt>
                <c:pt idx="3">
                  <c:v>CV Preprocessing</c:v>
                </c:pt>
                <c:pt idx="4">
                  <c:v>Oversampling</c:v>
                </c:pt>
                <c:pt idx="5">
                  <c:v>Temporal</c:v>
                </c:pt>
                <c:pt idx="6">
                  <c:v>Target Leakage</c:v>
                </c:pt>
              </c:strCache>
            </c:strRef>
          </c:cat>
          <c:val>
            <c:numRef>
              <c:f>'Extended Analytics'!$E$19:$E$25</c:f>
              <c:numCache>
                <c:formatCode>0.0%</c:formatCode>
                <c:ptCount val="7"/>
                <c:pt idx="0">
                  <c:v>1</c:v>
                </c:pt>
                <c:pt idx="1">
                  <c:v>1</c:v>
                </c:pt>
                <c:pt idx="2">
                  <c:v>1</c:v>
                </c:pt>
                <c:pt idx="3">
                  <c:v>1</c:v>
                </c:pt>
                <c:pt idx="4">
                  <c:v>1</c:v>
                </c:pt>
                <c:pt idx="5">
                  <c:v>1</c:v>
                </c:pt>
                <c:pt idx="6">
                  <c:v>0.5</c:v>
                </c:pt>
              </c:numCache>
            </c:numRef>
          </c:val>
          <c:extLst>
            <c:ext xmlns:c16="http://schemas.microsoft.com/office/drawing/2014/chart" uri="{C3380CC4-5D6E-409C-BE32-E72D297353CC}">
              <c16:uniqueId val="{00000003-020C-4B34-BF82-87FE4843385B}"/>
            </c:ext>
          </c:extLst>
        </c:ser>
        <c:ser>
          <c:idx val="4"/>
          <c:order val="4"/>
          <c:tx>
            <c:strRef>
              <c:f>'Extended Analytics'!$F$18</c:f>
              <c:strCache>
                <c:ptCount val="1"/>
                <c:pt idx="0">
                  <c:v>Gemini 2.5 Flash</c:v>
                </c:pt>
              </c:strCache>
            </c:strRef>
          </c:tx>
          <c:spPr>
            <a:solidFill>
              <a:srgbClr val="5B9BD5"/>
            </a:solidFill>
            <a:ln>
              <a:noFill/>
            </a:ln>
            <a:effectLst/>
          </c:spPr>
          <c:invertIfNegative val="0"/>
          <c:cat>
            <c:strRef>
              <c:f>'Extended Analytics'!$A$19:$A$25</c:f>
              <c:strCache>
                <c:ptCount val="7"/>
                <c:pt idx="0">
                  <c:v>Preprocessing</c:v>
                </c:pt>
                <c:pt idx="1">
                  <c:v>Feature Selection</c:v>
                </c:pt>
                <c:pt idx="2">
                  <c:v>Imputation</c:v>
                </c:pt>
                <c:pt idx="3">
                  <c:v>CV Preprocessing</c:v>
                </c:pt>
                <c:pt idx="4">
                  <c:v>Oversampling</c:v>
                </c:pt>
                <c:pt idx="5">
                  <c:v>Temporal</c:v>
                </c:pt>
                <c:pt idx="6">
                  <c:v>Target Leakage</c:v>
                </c:pt>
              </c:strCache>
            </c:strRef>
          </c:cat>
          <c:val>
            <c:numRef>
              <c:f>'Extended Analytics'!$F$19:$F$25</c:f>
              <c:numCache>
                <c:formatCode>0.0%</c:formatCode>
                <c:ptCount val="7"/>
                <c:pt idx="0">
                  <c:v>0.91666666666666663</c:v>
                </c:pt>
                <c:pt idx="1">
                  <c:v>1</c:v>
                </c:pt>
                <c:pt idx="2">
                  <c:v>1</c:v>
                </c:pt>
                <c:pt idx="3">
                  <c:v>1</c:v>
                </c:pt>
                <c:pt idx="4">
                  <c:v>1</c:v>
                </c:pt>
                <c:pt idx="5">
                  <c:v>1</c:v>
                </c:pt>
                <c:pt idx="6">
                  <c:v>0.58333333333333337</c:v>
                </c:pt>
              </c:numCache>
            </c:numRef>
          </c:val>
          <c:extLst>
            <c:ext xmlns:c16="http://schemas.microsoft.com/office/drawing/2014/chart" uri="{C3380CC4-5D6E-409C-BE32-E72D297353CC}">
              <c16:uniqueId val="{00000004-020C-4B34-BF82-87FE4843385B}"/>
            </c:ext>
          </c:extLst>
        </c:ser>
        <c:dLbls>
          <c:showLegendKey val="0"/>
          <c:showVal val="0"/>
          <c:showCatName val="0"/>
          <c:showSerName val="0"/>
          <c:showPercent val="0"/>
          <c:showBubbleSize val="0"/>
        </c:dLbls>
        <c:gapWidth val="182"/>
        <c:axId val="55597823"/>
        <c:axId val="55592063"/>
      </c:barChart>
      <c:catAx>
        <c:axId val="5559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592063"/>
        <c:crosses val="autoZero"/>
        <c:auto val="1"/>
        <c:lblAlgn val="ctr"/>
        <c:lblOffset val="100"/>
        <c:noMultiLvlLbl val="0"/>
      </c:catAx>
      <c:valAx>
        <c:axId val="55592063"/>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Recall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7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Structural vs. Semantic Leakage Detection by Model</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'Extended Analytics'!$B$31</c:f>
              <c:strCache>
                <c:ptCount val="1"/>
                <c:pt idx="0">
                  <c:v>GPT-4o</c:v>
                </c:pt>
              </c:strCache>
            </c:strRef>
          </c:tx>
          <c:spPr>
            <a:solidFill>
              <a:srgbClr val="4472C4"/>
            </a:solidFill>
            <a:ln>
              <a:noFill/>
            </a:ln>
            <a:effectLst/>
          </c:spPr>
          <c:invertIfNegative val="0"/>
          <c:cat>
            <c:strRef>
              <c:f>'Extended Analytics'!$A$32:$A$33</c:f>
              <c:strCache>
                <c:ptCount val="2"/>
                <c:pt idx="0">
                  <c:v>Structural (5 types)</c:v>
                </c:pt>
                <c:pt idx="1">
                  <c:v>Semantic (2 types)</c:v>
                </c:pt>
              </c:strCache>
            </c:strRef>
          </c:cat>
          <c:val>
            <c:numRef>
              <c:f>'Extended Analytics'!$B$32:$B$33</c:f>
              <c:numCache>
                <c:formatCode>0.0%</c:formatCode>
                <c:ptCount val="2"/>
                <c:pt idx="0">
                  <c:v>0.7142857142857143</c:v>
                </c:pt>
                <c:pt idx="1">
                  <c:v>0.55555555555555558</c:v>
                </c:pt>
              </c:numCache>
            </c:numRef>
          </c:val>
          <c:extLst>
            <c:ext xmlns:c16="http://schemas.microsoft.com/office/drawing/2014/chart" uri="{C3380CC4-5D6E-409C-BE32-E72D297353CC}">
              <c16:uniqueId val="{00000000-40FB-47F9-8B4C-1DB76EFBC5D7}"/>
            </c:ext>
          </c:extLst>
        </c:ser>
        <c:ser>
          <c:idx val="1"/>
          <c:order val="1"/>
          <c:tx>
            <c:strRef>
              <c:f>'Extended Analytics'!$C$31</c:f>
              <c:strCache>
                <c:ptCount val="1"/>
                <c:pt idx="0">
                  <c:v>GPT-4o-mini</c:v>
                </c:pt>
              </c:strCache>
            </c:strRef>
          </c:tx>
          <c:spPr>
            <a:solidFill>
              <a:srgbClr val="ED7D31"/>
            </a:solidFill>
            <a:ln>
              <a:noFill/>
            </a:ln>
            <a:effectLst/>
          </c:spPr>
          <c:invertIfNegative val="0"/>
          <c:cat>
            <c:strRef>
              <c:f>'Extended Analytics'!$A$32:$A$33</c:f>
              <c:strCache>
                <c:ptCount val="2"/>
                <c:pt idx="0">
                  <c:v>Structural (5 types)</c:v>
                </c:pt>
                <c:pt idx="1">
                  <c:v>Semantic (2 types)</c:v>
                </c:pt>
              </c:strCache>
            </c:strRef>
          </c:cat>
          <c:val>
            <c:numRef>
              <c:f>'Extended Analytics'!$C$32:$C$33</c:f>
              <c:numCache>
                <c:formatCode>0.0%</c:formatCode>
                <c:ptCount val="2"/>
                <c:pt idx="0">
                  <c:v>0.80952380952380953</c:v>
                </c:pt>
                <c:pt idx="1">
                  <c:v>0.3888888888888889</c:v>
                </c:pt>
              </c:numCache>
            </c:numRef>
          </c:val>
          <c:extLst>
            <c:ext xmlns:c16="http://schemas.microsoft.com/office/drawing/2014/chart" uri="{C3380CC4-5D6E-409C-BE32-E72D297353CC}">
              <c16:uniqueId val="{00000001-40FB-47F9-8B4C-1DB76EFBC5D7}"/>
            </c:ext>
          </c:extLst>
        </c:ser>
        <c:ser>
          <c:idx val="2"/>
          <c:order val="2"/>
          <c:tx>
            <c:strRef>
              <c:f>'Extended Analytics'!$D$31</c:f>
              <c:strCache>
                <c:ptCount val="1"/>
                <c:pt idx="0">
                  <c:v>Claude 4.6 Sonnet</c:v>
                </c:pt>
              </c:strCache>
            </c:strRef>
          </c:tx>
          <c:spPr>
            <a:solidFill>
              <a:srgbClr val="A5A5A5"/>
            </a:solidFill>
            <a:ln>
              <a:noFill/>
            </a:ln>
            <a:effectLst/>
          </c:spPr>
          <c:invertIfNegative val="0"/>
          <c:cat>
            <c:strRef>
              <c:f>'Extended Analytics'!$A$32:$A$33</c:f>
              <c:strCache>
                <c:ptCount val="2"/>
                <c:pt idx="0">
                  <c:v>Structural (5 types)</c:v>
                </c:pt>
                <c:pt idx="1">
                  <c:v>Semantic (2 types)</c:v>
                </c:pt>
              </c:strCache>
            </c:strRef>
          </c:cat>
          <c:val>
            <c:numRef>
              <c:f>'Extended Analytics'!$D$32:$D$33</c:f>
              <c:numCache>
                <c:formatCode>0.0%</c:formatCode>
                <c:ptCount val="2"/>
                <c:pt idx="0">
                  <c:v>1</c:v>
                </c:pt>
                <c:pt idx="1">
                  <c:v>0.83333333333333337</c:v>
                </c:pt>
              </c:numCache>
            </c:numRef>
          </c:val>
          <c:extLst>
            <c:ext xmlns:c16="http://schemas.microsoft.com/office/drawing/2014/chart" uri="{C3380CC4-5D6E-409C-BE32-E72D297353CC}">
              <c16:uniqueId val="{00000002-40FB-47F9-8B4C-1DB76EFBC5D7}"/>
            </c:ext>
          </c:extLst>
        </c:ser>
        <c:ser>
          <c:idx val="3"/>
          <c:order val="3"/>
          <c:tx>
            <c:strRef>
              <c:f>'Extended Analytics'!$E$31</c:f>
              <c:strCache>
                <c:ptCount val="1"/>
                <c:pt idx="0">
                  <c:v>Claude 4.5 Haiku</c:v>
                </c:pt>
              </c:strCache>
            </c:strRef>
          </c:tx>
          <c:spPr>
            <a:solidFill>
              <a:srgbClr val="FFC000"/>
            </a:solidFill>
            <a:ln>
              <a:noFill/>
            </a:ln>
            <a:effectLst/>
          </c:spPr>
          <c:invertIfNegative val="0"/>
          <c:cat>
            <c:strRef>
              <c:f>'Extended Analytics'!$A$32:$A$33</c:f>
              <c:strCache>
                <c:ptCount val="2"/>
                <c:pt idx="0">
                  <c:v>Structural (5 types)</c:v>
                </c:pt>
                <c:pt idx="1">
                  <c:v>Semantic (2 types)</c:v>
                </c:pt>
              </c:strCache>
            </c:strRef>
          </c:cat>
          <c:val>
            <c:numRef>
              <c:f>'Extended Analytics'!$E$32:$E$33</c:f>
              <c:numCache>
                <c:formatCode>0.0%</c:formatCode>
                <c:ptCount val="2"/>
                <c:pt idx="0">
                  <c:v>1</c:v>
                </c:pt>
                <c:pt idx="1">
                  <c:v>0.66666666666666663</c:v>
                </c:pt>
              </c:numCache>
            </c:numRef>
          </c:val>
          <c:extLst>
            <c:ext xmlns:c16="http://schemas.microsoft.com/office/drawing/2014/chart" uri="{C3380CC4-5D6E-409C-BE32-E72D297353CC}">
              <c16:uniqueId val="{00000003-40FB-47F9-8B4C-1DB76EFBC5D7}"/>
            </c:ext>
          </c:extLst>
        </c:ser>
        <c:ser>
          <c:idx val="4"/>
          <c:order val="4"/>
          <c:tx>
            <c:strRef>
              <c:f>'Extended Analytics'!$F$31</c:f>
              <c:strCache>
                <c:ptCount val="1"/>
                <c:pt idx="0">
                  <c:v>Gemini 2.5 Flash</c:v>
                </c:pt>
              </c:strCache>
            </c:strRef>
          </c:tx>
          <c:spPr>
            <a:solidFill>
              <a:srgbClr val="5B9BD5"/>
            </a:solidFill>
            <a:ln>
              <a:noFill/>
            </a:ln>
            <a:effectLst/>
          </c:spPr>
          <c:invertIfNegative val="0"/>
          <c:cat>
            <c:strRef>
              <c:f>'Extended Analytics'!$A$32:$A$33</c:f>
              <c:strCache>
                <c:ptCount val="2"/>
                <c:pt idx="0">
                  <c:v>Structural (5 types)</c:v>
                </c:pt>
                <c:pt idx="1">
                  <c:v>Semantic (2 types)</c:v>
                </c:pt>
              </c:strCache>
            </c:strRef>
          </c:cat>
          <c:val>
            <c:numRef>
              <c:f>'Extended Analytics'!$F$32:$F$33</c:f>
              <c:numCache>
                <c:formatCode>0.0%</c:formatCode>
                <c:ptCount val="2"/>
                <c:pt idx="0">
                  <c:v>0.97619047619047616</c:v>
                </c:pt>
                <c:pt idx="1">
                  <c:v>0.72222222222222221</c:v>
                </c:pt>
              </c:numCache>
            </c:numRef>
          </c:val>
          <c:extLst>
            <c:ext xmlns:c16="http://schemas.microsoft.com/office/drawing/2014/chart" uri="{C3380CC4-5D6E-409C-BE32-E72D297353CC}">
              <c16:uniqueId val="{00000004-40FB-47F9-8B4C-1DB76EFBC5D7}"/>
            </c:ext>
          </c:extLst>
        </c:ser>
        <c:dLbls>
          <c:showLegendKey val="0"/>
          <c:showVal val="0"/>
          <c:showCatName val="0"/>
          <c:showSerName val="0"/>
          <c:showPercent val="0"/>
          <c:showBubbleSize val="0"/>
        </c:dLbls>
        <c:gapWidth val="219"/>
        <c:overlap val="-27"/>
        <c:axId val="55599263"/>
        <c:axId val="55599743"/>
      </c:barChart>
      <c:catAx>
        <c:axId val="5559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9743"/>
        <c:crosses val="autoZero"/>
        <c:auto val="1"/>
        <c:lblAlgn val="ctr"/>
        <c:lblOffset val="100"/>
        <c:noMultiLvlLbl val="0"/>
      </c:catAx>
      <c:valAx>
        <c:axId val="5559974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Detection Rate (Recall)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9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LLMs vs. Static Analysis Tools — Detection Capability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'Extended Analytics'!$B$51</c:f>
              <c:strCache>
                <c:ptCount val="1"/>
                <c:pt idx="0">
                  <c:v>Structural
Recall</c:v>
                </c:pt>
              </c:strCache>
            </c:strRef>
          </c:tx>
          <c:spPr>
            <a:solidFill>
              <a:srgbClr val="70AD47"/>
            </a:solidFill>
            <a:ln>
              <a:noFill/>
            </a:ln>
            <a:effectLst/>
          </c:spPr>
          <c:invertIfNegative val="0"/>
          <c:cat>
            <c:strRef>
              <c:f>'Extended Analytics'!$A$52:$A$57</c:f>
              <c:strCache>
                <c:ptCount val="6"/>
                <c:pt idx="0">
                  <c:v>Pylint / Flake8</c:v>
                </c:pt>
                <c:pt idx="1">
                  <c:v>DataLinter (Google)</c:v>
                </c:pt>
                <c:pt idx="2">
                  <c:v>Custom AST Analysis</c:v>
                </c:pt>
                <c:pt idx="3">
                  <c:v>LLMs — Generic Prompt</c:v>
                </c:pt>
                <c:pt idx="4">
                  <c:v>LLMs — Specific Prompt</c:v>
                </c:pt>
                <c:pt idx="5">
                  <c:v>LLMs — Best Model (Claude 4.6 Sonnet)</c:v>
                </c:pt>
              </c:strCache>
            </c:strRef>
          </c:cat>
          <c:val>
            <c:numRef>
              <c:f>'Extended Analytics'!$B$52:$B$57</c:f>
              <c:numCache>
                <c:formatCode>0.0%</c:formatCode>
                <c:ptCount val="6"/>
                <c:pt idx="0">
                  <c:v>0</c:v>
                </c:pt>
                <c:pt idx="1">
                  <c:v>0.5</c:v>
                </c:pt>
                <c:pt idx="2">
                  <c:v>0.75</c:v>
                </c:pt>
                <c:pt idx="3">
                  <c:v>0.9</c:v>
                </c:pt>
                <c:pt idx="4">
                  <c:v>0.9</c:v>
                </c:pt>
                <c:pt idx="5">
                  <c:v>1</c:v>
                </c:pt>
              </c:numCache>
            </c:numRef>
          </c:val>
          <c:extLst>
            <c:ext xmlns:c16="http://schemas.microsoft.com/office/drawing/2014/chart" uri="{C3380CC4-5D6E-409C-BE32-E72D297353CC}">
              <c16:uniqueId val="{00000000-ABD1-4A7B-872E-A347EEF4E44F}"/>
            </c:ext>
          </c:extLst>
        </c:ser>
        <c:ser>
          <c:idx val="1"/>
          <c:order val="1"/>
          <c:tx>
            <c:strRef>
              <c:f>'Extended Analytics'!$C$51</c:f>
              <c:strCache>
                <c:ptCount val="1"/>
                <c:pt idx="0">
                  <c:v>Semantic
Recall</c:v>
                </c:pt>
              </c:strCache>
            </c:strRef>
          </c:tx>
          <c:spPr>
            <a:solidFill>
              <a:srgbClr val="ED7D31"/>
            </a:solidFill>
            <a:ln>
              <a:noFill/>
            </a:ln>
            <a:effectLst/>
          </c:spPr>
          <c:invertIfNegative val="0"/>
          <c:cat>
            <c:strRef>
              <c:f>'Extended Analytics'!$A$52:$A$57</c:f>
              <c:strCache>
                <c:ptCount val="6"/>
                <c:pt idx="0">
                  <c:v>Pylint / Flake8</c:v>
                </c:pt>
                <c:pt idx="1">
                  <c:v>DataLinter (Google)</c:v>
                </c:pt>
                <c:pt idx="2">
                  <c:v>Custom AST Analysis</c:v>
                </c:pt>
                <c:pt idx="3">
                  <c:v>LLMs — Generic Prompt</c:v>
                </c:pt>
                <c:pt idx="4">
                  <c:v>LLMs — Specific Prompt</c:v>
                </c:pt>
                <c:pt idx="5">
                  <c:v>LLMs — Best Model (Claude 4.6 Sonnet)</c:v>
                </c:pt>
              </c:strCache>
            </c:strRef>
          </c:cat>
          <c:val>
            <c:numRef>
              <c:f>'Extended Analytics'!$C$52:$C$57</c:f>
              <c:numCache>
                <c:formatCode>0.0%</c:formatCode>
                <c:ptCount val="6"/>
                <c:pt idx="0">
                  <c:v>0</c:v>
                </c:pt>
                <c:pt idx="1">
                  <c:v>0</c:v>
                </c:pt>
                <c:pt idx="2">
                  <c:v>0</c:v>
                </c:pt>
                <c:pt idx="3">
                  <c:v>0.6333333333333333</c:v>
                </c:pt>
                <c:pt idx="4">
                  <c:v>0.6333333333333333</c:v>
                </c:pt>
                <c:pt idx="5">
                  <c:v>0.83333333333333337</c:v>
                </c:pt>
              </c:numCache>
            </c:numRef>
          </c:val>
          <c:extLst>
            <c:ext xmlns:c16="http://schemas.microsoft.com/office/drawing/2014/chart" uri="{C3380CC4-5D6E-409C-BE32-E72D297353CC}">
              <c16:uniqueId val="{00000001-ABD1-4A7B-872E-A347EEF4E44F}"/>
            </c:ext>
          </c:extLst>
        </c:ser>
        <c:ser>
          <c:idx val="2"/>
          <c:order val="2"/>
          <c:tx>
            <c:strRef>
              <c:f>'Extended Analytics'!$D$51</c:f>
              <c:strCache>
                <c:ptCount val="1"/>
                <c:pt idx="0">
                  <c:v>Overall
Recall</c:v>
                </c:pt>
              </c:strCache>
            </c:strRef>
          </c:tx>
          <c:spPr>
            <a:solidFill>
              <a:srgbClr val="4472C4"/>
            </a:solidFill>
            <a:ln>
              <a:noFill/>
            </a:ln>
            <a:effectLst/>
          </c:spPr>
          <c:invertIfNegative val="0"/>
          <c:cat>
            <c:strRef>
              <c:f>'Extended Analytics'!$A$52:$A$57</c:f>
              <c:strCache>
                <c:ptCount val="6"/>
                <c:pt idx="0">
                  <c:v>Pylint / Flake8</c:v>
                </c:pt>
                <c:pt idx="1">
                  <c:v>DataLinter (Google)</c:v>
                </c:pt>
                <c:pt idx="2">
                  <c:v>Custom AST Analysis</c:v>
                </c:pt>
                <c:pt idx="3">
                  <c:v>LLMs — Generic Prompt</c:v>
                </c:pt>
                <c:pt idx="4">
                  <c:v>LLMs — Specific Prompt</c:v>
                </c:pt>
                <c:pt idx="5">
                  <c:v>LLMs — Best Model (Claude 4.6 Sonnet)</c:v>
                </c:pt>
              </c:strCache>
            </c:strRef>
          </c:cat>
          <c:val>
            <c:numRef>
              <c:f>'Extended Analytics'!$D$52:$D$57</c:f>
              <c:numCache>
                <c:formatCode>0.00%</c:formatCode>
                <c:ptCount val="6"/>
                <c:pt idx="0" formatCode="0.0%">
                  <c:v>0</c:v>
                </c:pt>
                <c:pt idx="1">
                  <c:v>0.35</c:v>
                </c:pt>
                <c:pt idx="2">
                  <c:v>0.52500000000000002</c:v>
                </c:pt>
                <c:pt idx="3" formatCode="0.0%">
                  <c:v>0.66</c:v>
                </c:pt>
                <c:pt idx="4" formatCode="0.0%">
                  <c:v>0.98</c:v>
                </c:pt>
                <c:pt idx="5" formatCode="0.0%">
                  <c:v>0.95</c:v>
                </c:pt>
              </c:numCache>
            </c:numRef>
          </c:val>
          <c:extLst>
            <c:ext xmlns:c16="http://schemas.microsoft.com/office/drawing/2014/chart" uri="{C3380CC4-5D6E-409C-BE32-E72D297353CC}">
              <c16:uniqueId val="{00000002-ABD1-4A7B-872E-A347EEF4E44F}"/>
            </c:ext>
          </c:extLst>
        </c:ser>
        <c:dLbls>
          <c:showLegendKey val="0"/>
          <c:showVal val="0"/>
          <c:showCatName val="0"/>
          <c:showSerName val="0"/>
          <c:showPercent val="0"/>
          <c:showBubbleSize val="0"/>
        </c:dLbls>
        <c:gapWidth val="182"/>
        <c:axId val="55605983"/>
        <c:axId val="55611263"/>
      </c:barChart>
      <c:catAx>
        <c:axId val="5560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611263"/>
        <c:crosses val="autoZero"/>
        <c:auto val="1"/>
        <c:lblAlgn val="ctr"/>
        <c:lblOffset val="100"/>
        <c:noMultiLvlLbl val="0"/>
      </c:catAx>
      <c:valAx>
        <c:axId val="55611263"/>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Recall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05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Detection Rate by Difficulty Level × Model</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'Extended Analytics'!$B$40</c:f>
              <c:strCache>
                <c:ptCount val="1"/>
                <c:pt idx="0">
                  <c:v>GPT-4o</c:v>
                </c:pt>
              </c:strCache>
            </c:strRef>
          </c:tx>
          <c:spPr>
            <a:solidFill>
              <a:srgbClr val="4472C4"/>
            </a:solidFill>
            <a:ln>
              <a:noFill/>
            </a:ln>
            <a:effectLst/>
          </c:spPr>
          <c:invertIfNegative val="0"/>
          <c:cat>
            <c:strRef>
              <c:f>'Extended Analytics'!$A$41:$A$45</c:f>
              <c:strCache>
                <c:ptCount val="5"/>
                <c:pt idx="0">
                  <c:v>Easy</c:v>
                </c:pt>
                <c:pt idx="1">
                  <c:v>Easy-Medium</c:v>
                </c:pt>
                <c:pt idx="2">
                  <c:v>Medium</c:v>
                </c:pt>
                <c:pt idx="3">
                  <c:v>Medium-Hard</c:v>
                </c:pt>
                <c:pt idx="4">
                  <c:v>Hard (Target Leakage)</c:v>
                </c:pt>
              </c:strCache>
            </c:strRef>
          </c:cat>
          <c:val>
            <c:numRef>
              <c:f>'Extended Analytics'!$B$41:$B$45</c:f>
              <c:numCache>
                <c:formatCode>0.0%</c:formatCode>
                <c:ptCount val="5"/>
                <c:pt idx="0">
                  <c:v>0.75</c:v>
                </c:pt>
                <c:pt idx="1">
                  <c:v>0.66666666666666663</c:v>
                </c:pt>
                <c:pt idx="2">
                  <c:v>0.66666666666666663</c:v>
                </c:pt>
                <c:pt idx="3">
                  <c:v>0.75</c:v>
                </c:pt>
                <c:pt idx="4">
                  <c:v>0.5</c:v>
                </c:pt>
              </c:numCache>
            </c:numRef>
          </c:val>
          <c:extLst>
            <c:ext xmlns:c16="http://schemas.microsoft.com/office/drawing/2014/chart" uri="{C3380CC4-5D6E-409C-BE32-E72D297353CC}">
              <c16:uniqueId val="{00000000-F431-43F9-898D-74B96B2F1DF3}"/>
            </c:ext>
          </c:extLst>
        </c:ser>
        <c:ser>
          <c:idx val="1"/>
          <c:order val="1"/>
          <c:tx>
            <c:strRef>
              <c:f>'Extended Analytics'!$C$40</c:f>
              <c:strCache>
                <c:ptCount val="1"/>
                <c:pt idx="0">
                  <c:v>GPT-4o-mini</c:v>
                </c:pt>
              </c:strCache>
            </c:strRef>
          </c:tx>
          <c:spPr>
            <a:solidFill>
              <a:srgbClr val="ED7D31"/>
            </a:solidFill>
            <a:ln>
              <a:noFill/>
            </a:ln>
            <a:effectLst/>
          </c:spPr>
          <c:invertIfNegative val="0"/>
          <c:cat>
            <c:strRef>
              <c:f>'Extended Analytics'!$A$41:$A$45</c:f>
              <c:strCache>
                <c:ptCount val="5"/>
                <c:pt idx="0">
                  <c:v>Easy</c:v>
                </c:pt>
                <c:pt idx="1">
                  <c:v>Easy-Medium</c:v>
                </c:pt>
                <c:pt idx="2">
                  <c:v>Medium</c:v>
                </c:pt>
                <c:pt idx="3">
                  <c:v>Medium-Hard</c:v>
                </c:pt>
                <c:pt idx="4">
                  <c:v>Hard (Target Leakage)</c:v>
                </c:pt>
              </c:strCache>
            </c:strRef>
          </c:cat>
          <c:val>
            <c:numRef>
              <c:f>'Extended Analytics'!$C$41:$C$45</c:f>
              <c:numCache>
                <c:formatCode>0.0%</c:formatCode>
                <c:ptCount val="5"/>
                <c:pt idx="0">
                  <c:v>0.75</c:v>
                </c:pt>
                <c:pt idx="1">
                  <c:v>0.88888888888888884</c:v>
                </c:pt>
                <c:pt idx="2">
                  <c:v>0.66666666666666663</c:v>
                </c:pt>
                <c:pt idx="3">
                  <c:v>0.58333333333333337</c:v>
                </c:pt>
                <c:pt idx="4">
                  <c:v>0.41666666666666669</c:v>
                </c:pt>
              </c:numCache>
            </c:numRef>
          </c:val>
          <c:extLst>
            <c:ext xmlns:c16="http://schemas.microsoft.com/office/drawing/2014/chart" uri="{C3380CC4-5D6E-409C-BE32-E72D297353CC}">
              <c16:uniqueId val="{00000001-F431-43F9-898D-74B96B2F1DF3}"/>
            </c:ext>
          </c:extLst>
        </c:ser>
        <c:ser>
          <c:idx val="2"/>
          <c:order val="2"/>
          <c:tx>
            <c:strRef>
              <c:f>'Extended Analytics'!$D$40</c:f>
              <c:strCache>
                <c:ptCount val="1"/>
                <c:pt idx="0">
                  <c:v>Claude 4.6 Sonnet</c:v>
                </c:pt>
              </c:strCache>
            </c:strRef>
          </c:tx>
          <c:spPr>
            <a:solidFill>
              <a:srgbClr val="A5A5A5"/>
            </a:solidFill>
            <a:ln>
              <a:noFill/>
            </a:ln>
            <a:effectLst/>
          </c:spPr>
          <c:invertIfNegative val="0"/>
          <c:cat>
            <c:strRef>
              <c:f>'Extended Analytics'!$A$41:$A$45</c:f>
              <c:strCache>
                <c:ptCount val="5"/>
                <c:pt idx="0">
                  <c:v>Easy</c:v>
                </c:pt>
                <c:pt idx="1">
                  <c:v>Easy-Medium</c:v>
                </c:pt>
                <c:pt idx="2">
                  <c:v>Medium</c:v>
                </c:pt>
                <c:pt idx="3">
                  <c:v>Medium-Hard</c:v>
                </c:pt>
                <c:pt idx="4">
                  <c:v>Hard (Target Leakage)</c:v>
                </c:pt>
              </c:strCache>
            </c:strRef>
          </c:cat>
          <c:val>
            <c:numRef>
              <c:f>'Extended Analytics'!$D$41:$D$45</c:f>
              <c:numCache>
                <c:formatCode>0.0%</c:formatCode>
                <c:ptCount val="5"/>
                <c:pt idx="0">
                  <c:v>1</c:v>
                </c:pt>
                <c:pt idx="1">
                  <c:v>1</c:v>
                </c:pt>
                <c:pt idx="2">
                  <c:v>1</c:v>
                </c:pt>
                <c:pt idx="3">
                  <c:v>1</c:v>
                </c:pt>
                <c:pt idx="4">
                  <c:v>0.75</c:v>
                </c:pt>
              </c:numCache>
            </c:numRef>
          </c:val>
          <c:extLst>
            <c:ext xmlns:c16="http://schemas.microsoft.com/office/drawing/2014/chart" uri="{C3380CC4-5D6E-409C-BE32-E72D297353CC}">
              <c16:uniqueId val="{00000002-F431-43F9-898D-74B96B2F1DF3}"/>
            </c:ext>
          </c:extLst>
        </c:ser>
        <c:ser>
          <c:idx val="3"/>
          <c:order val="3"/>
          <c:tx>
            <c:strRef>
              <c:f>'Extended Analytics'!$E$40</c:f>
              <c:strCache>
                <c:ptCount val="1"/>
                <c:pt idx="0">
                  <c:v>Claude 4.5 Haiku</c:v>
                </c:pt>
              </c:strCache>
            </c:strRef>
          </c:tx>
          <c:spPr>
            <a:solidFill>
              <a:srgbClr val="FFC000"/>
            </a:solidFill>
            <a:ln>
              <a:noFill/>
            </a:ln>
            <a:effectLst/>
          </c:spPr>
          <c:invertIfNegative val="0"/>
          <c:cat>
            <c:strRef>
              <c:f>'Extended Analytics'!$A$41:$A$45</c:f>
              <c:strCache>
                <c:ptCount val="5"/>
                <c:pt idx="0">
                  <c:v>Easy</c:v>
                </c:pt>
                <c:pt idx="1">
                  <c:v>Easy-Medium</c:v>
                </c:pt>
                <c:pt idx="2">
                  <c:v>Medium</c:v>
                </c:pt>
                <c:pt idx="3">
                  <c:v>Medium-Hard</c:v>
                </c:pt>
                <c:pt idx="4">
                  <c:v>Hard (Target Leakage)</c:v>
                </c:pt>
              </c:strCache>
            </c:strRef>
          </c:cat>
          <c:val>
            <c:numRef>
              <c:f>'Extended Analytics'!$E$41:$E$45</c:f>
              <c:numCache>
                <c:formatCode>0.0%</c:formatCode>
                <c:ptCount val="5"/>
                <c:pt idx="0">
                  <c:v>1</c:v>
                </c:pt>
                <c:pt idx="1">
                  <c:v>1</c:v>
                </c:pt>
                <c:pt idx="2">
                  <c:v>1</c:v>
                </c:pt>
                <c:pt idx="3">
                  <c:v>1</c:v>
                </c:pt>
                <c:pt idx="4">
                  <c:v>0.5</c:v>
                </c:pt>
              </c:numCache>
            </c:numRef>
          </c:val>
          <c:extLst>
            <c:ext xmlns:c16="http://schemas.microsoft.com/office/drawing/2014/chart" uri="{C3380CC4-5D6E-409C-BE32-E72D297353CC}">
              <c16:uniqueId val="{00000003-F431-43F9-898D-74B96B2F1DF3}"/>
            </c:ext>
          </c:extLst>
        </c:ser>
        <c:ser>
          <c:idx val="4"/>
          <c:order val="4"/>
          <c:tx>
            <c:strRef>
              <c:f>'Extended Analytics'!$F$40</c:f>
              <c:strCache>
                <c:ptCount val="1"/>
                <c:pt idx="0">
                  <c:v>Gemini 2.5 Flash</c:v>
                </c:pt>
              </c:strCache>
            </c:strRef>
          </c:tx>
          <c:spPr>
            <a:solidFill>
              <a:srgbClr val="5B9BD5"/>
            </a:solidFill>
            <a:ln>
              <a:noFill/>
            </a:ln>
            <a:effectLst/>
          </c:spPr>
          <c:invertIfNegative val="0"/>
          <c:cat>
            <c:strRef>
              <c:f>'Extended Analytics'!$A$41:$A$45</c:f>
              <c:strCache>
                <c:ptCount val="5"/>
                <c:pt idx="0">
                  <c:v>Easy</c:v>
                </c:pt>
                <c:pt idx="1">
                  <c:v>Easy-Medium</c:v>
                </c:pt>
                <c:pt idx="2">
                  <c:v>Medium</c:v>
                </c:pt>
                <c:pt idx="3">
                  <c:v>Medium-Hard</c:v>
                </c:pt>
                <c:pt idx="4">
                  <c:v>Hard (Target Leakage)</c:v>
                </c:pt>
              </c:strCache>
            </c:strRef>
          </c:cat>
          <c:val>
            <c:numRef>
              <c:f>'Extended Analytics'!$F$41:$F$45</c:f>
              <c:numCache>
                <c:formatCode>0.0%</c:formatCode>
                <c:ptCount val="5"/>
                <c:pt idx="0">
                  <c:v>0.91666666666666663</c:v>
                </c:pt>
                <c:pt idx="1">
                  <c:v>1</c:v>
                </c:pt>
                <c:pt idx="2">
                  <c:v>1</c:v>
                </c:pt>
                <c:pt idx="3">
                  <c:v>1</c:v>
                </c:pt>
                <c:pt idx="4">
                  <c:v>0.58333333333333337</c:v>
                </c:pt>
              </c:numCache>
            </c:numRef>
          </c:val>
          <c:extLst>
            <c:ext xmlns:c16="http://schemas.microsoft.com/office/drawing/2014/chart" uri="{C3380CC4-5D6E-409C-BE32-E72D297353CC}">
              <c16:uniqueId val="{00000004-F431-43F9-898D-74B96B2F1DF3}"/>
            </c:ext>
          </c:extLst>
        </c:ser>
        <c:dLbls>
          <c:showLegendKey val="0"/>
          <c:showVal val="0"/>
          <c:showCatName val="0"/>
          <c:showSerName val="0"/>
          <c:showPercent val="0"/>
          <c:showBubbleSize val="0"/>
        </c:dLbls>
        <c:gapWidth val="219"/>
        <c:overlap val="-27"/>
        <c:axId val="55610783"/>
        <c:axId val="55612223"/>
      </c:barChart>
      <c:catAx>
        <c:axId val="5561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612223"/>
        <c:crosses val="autoZero"/>
        <c:auto val="1"/>
        <c:lblAlgn val="ctr"/>
        <c:lblOffset val="100"/>
        <c:noMultiLvlLbl val="0"/>
      </c:catAx>
      <c:valAx>
        <c:axId val="5561222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Recall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1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546653</xdr:colOff>
      <xdr:row>97</xdr:row>
      <xdr:rowOff>82826</xdr:rowOff>
    </xdr:from>
    <xdr:to>
      <xdr:col>6</xdr:col>
      <xdr:colOff>546653</xdr:colOff>
      <xdr:row>118</xdr:row>
      <xdr:rowOff>82826</xdr:rowOff>
    </xdr:to>
    <xdr:graphicFrame macro="">
      <xdr:nvGraphicFramePr>
        <xdr:cNvPr id="14" name="ModelPerformance">
          <a:extLst>
            <a:ext uri="{FF2B5EF4-FFF2-40B4-BE49-F238E27FC236}">
              <a16:creationId xmlns:a16="http://schemas.microsoft.com/office/drawing/2014/main" id="{C9DFDCCB-D0F8-8DC9-4675-F78CD0562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687456</xdr:colOff>
      <xdr:row>97</xdr:row>
      <xdr:rowOff>182217</xdr:rowOff>
    </xdr:from>
    <xdr:to>
      <xdr:col>17</xdr:col>
      <xdr:colOff>74543</xdr:colOff>
      <xdr:row>118</xdr:row>
      <xdr:rowOff>182217</xdr:rowOff>
    </xdr:to>
    <xdr:graphicFrame macro="">
      <xdr:nvGraphicFramePr>
        <xdr:cNvPr id="15" name="PromptImpact">
          <a:extLst>
            <a:ext uri="{FF2B5EF4-FFF2-40B4-BE49-F238E27FC236}">
              <a16:creationId xmlns:a16="http://schemas.microsoft.com/office/drawing/2014/main" id="{49C4C8F9-300A-0F48-57F9-0EB9695D3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120</xdr:row>
      <xdr:rowOff>0</xdr:rowOff>
    </xdr:from>
    <xdr:to>
      <xdr:col>6</xdr:col>
      <xdr:colOff>0</xdr:colOff>
      <xdr:row>141</xdr:row>
      <xdr:rowOff>0</xdr:rowOff>
    </xdr:to>
    <xdr:graphicFrame macro="">
      <xdr:nvGraphicFramePr>
        <xdr:cNvPr id="16" name="DifficultyDetection">
          <a:extLst>
            <a:ext uri="{FF2B5EF4-FFF2-40B4-BE49-F238E27FC236}">
              <a16:creationId xmlns:a16="http://schemas.microsoft.com/office/drawing/2014/main" id="{08D35DCD-0591-E4B6-3DAD-744885DA9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120</xdr:row>
      <xdr:rowOff>0</xdr:rowOff>
    </xdr:from>
    <xdr:to>
      <xdr:col>11</xdr:col>
      <xdr:colOff>0</xdr:colOff>
      <xdr:row>141</xdr:row>
      <xdr:rowOff>0</xdr:rowOff>
    </xdr:to>
    <xdr:graphicFrame macro="">
      <xdr:nvGraphicFramePr>
        <xdr:cNvPr id="17" name="SnippetDetection">
          <a:extLst>
            <a:ext uri="{FF2B5EF4-FFF2-40B4-BE49-F238E27FC236}">
              <a16:creationId xmlns:a16="http://schemas.microsoft.com/office/drawing/2014/main" id="{BA925384-79EE-91D2-5F9B-7691C9E78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142</xdr:row>
      <xdr:rowOff>0</xdr:rowOff>
    </xdr:from>
    <xdr:to>
      <xdr:col>6</xdr:col>
      <xdr:colOff>0</xdr:colOff>
      <xdr:row>163</xdr:row>
      <xdr:rowOff>0</xdr:rowOff>
    </xdr:to>
    <xdr:graphicFrame macro="">
      <xdr:nvGraphicFramePr>
        <xdr:cNvPr id="18" name="FalsePositiveRates">
          <a:extLst>
            <a:ext uri="{FF2B5EF4-FFF2-40B4-BE49-F238E27FC236}">
              <a16:creationId xmlns:a16="http://schemas.microsoft.com/office/drawing/2014/main" id="{BE66576B-87D2-A5EB-84DA-A735D780A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142</xdr:row>
      <xdr:rowOff>0</xdr:rowOff>
    </xdr:from>
    <xdr:to>
      <xdr:col>11</xdr:col>
      <xdr:colOff>0</xdr:colOff>
      <xdr:row>163</xdr:row>
      <xdr:rowOff>0</xdr:rowOff>
    </xdr:to>
    <xdr:graphicFrame macro="">
      <xdr:nvGraphicFramePr>
        <xdr:cNvPr id="19" name="RunConsistency">
          <a:extLst>
            <a:ext uri="{FF2B5EF4-FFF2-40B4-BE49-F238E27FC236}">
              <a16:creationId xmlns:a16="http://schemas.microsoft.com/office/drawing/2014/main" id="{555138DF-86A4-B4B6-B7F9-23CE084CC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281667</xdr:colOff>
      <xdr:row>110</xdr:row>
      <xdr:rowOff>106135</xdr:rowOff>
    </xdr:from>
    <xdr:to>
      <xdr:col>5</xdr:col>
      <xdr:colOff>907596</xdr:colOff>
      <xdr:row>127</xdr:row>
      <xdr:rowOff>133349</xdr:rowOff>
    </xdr:to>
    <xdr:graphicFrame macro="">
      <xdr:nvGraphicFramePr>
        <xdr:cNvPr id="2" name="Chart 1">
          <a:extLst>
            <a:ext uri="{FF2B5EF4-FFF2-40B4-BE49-F238E27FC236}">
              <a16:creationId xmlns:a16="http://schemas.microsoft.com/office/drawing/2014/main" id="{4BC3A283-1B81-8CE7-63F9-248A43B90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1564821</xdr:colOff>
      <xdr:row>89</xdr:row>
      <xdr:rowOff>145596</xdr:rowOff>
    </xdr:from>
    <xdr:to>
      <xdr:col>10</xdr:col>
      <xdr:colOff>438149</xdr:colOff>
      <xdr:row>110</xdr:row>
      <xdr:rowOff>172810</xdr:rowOff>
    </xdr:to>
    <xdr:graphicFrame macro="">
      <xdr:nvGraphicFramePr>
        <xdr:cNvPr id="3" name="Chart 2">
          <a:extLst>
            <a:ext uri="{FF2B5EF4-FFF2-40B4-BE49-F238E27FC236}">
              <a16:creationId xmlns:a16="http://schemas.microsoft.com/office/drawing/2014/main" id="{F9B81053-1E3D-67EE-B30F-A7577DEF9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92</xdr:row>
      <xdr:rowOff>12246</xdr:rowOff>
    </xdr:from>
    <xdr:to>
      <xdr:col>5</xdr:col>
      <xdr:colOff>854529</xdr:colOff>
      <xdr:row>108</xdr:row>
      <xdr:rowOff>25854</xdr:rowOff>
    </xdr:to>
    <xdr:graphicFrame macro="">
      <xdr:nvGraphicFramePr>
        <xdr:cNvPr id="4" name="Chart 3">
          <a:extLst>
            <a:ext uri="{FF2B5EF4-FFF2-40B4-BE49-F238E27FC236}">
              <a16:creationId xmlns:a16="http://schemas.microsoft.com/office/drawing/2014/main" id="{ADE6DF34-393D-EEC6-B242-7652F954B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1544410</xdr:colOff>
      <xdr:row>71</xdr:row>
      <xdr:rowOff>31297</xdr:rowOff>
    </xdr:from>
    <xdr:to>
      <xdr:col>10</xdr:col>
      <xdr:colOff>417738</xdr:colOff>
      <xdr:row>88</xdr:row>
      <xdr:rowOff>44904</xdr:rowOff>
    </xdr:to>
    <xdr:graphicFrame macro="">
      <xdr:nvGraphicFramePr>
        <xdr:cNvPr id="5" name="Chart 4">
          <a:extLst>
            <a:ext uri="{FF2B5EF4-FFF2-40B4-BE49-F238E27FC236}">
              <a16:creationId xmlns:a16="http://schemas.microsoft.com/office/drawing/2014/main" id="{F4AA0F4D-D3D4-FCF4-5CE0-9A3244D9D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83003</xdr:colOff>
      <xdr:row>71</xdr:row>
      <xdr:rowOff>127907</xdr:rowOff>
    </xdr:from>
    <xdr:to>
      <xdr:col>5</xdr:col>
      <xdr:colOff>708932</xdr:colOff>
      <xdr:row>88</xdr:row>
      <xdr:rowOff>127907</xdr:rowOff>
    </xdr:to>
    <xdr:graphicFrame macro="">
      <xdr:nvGraphicFramePr>
        <xdr:cNvPr id="6" name="Chart 5">
          <a:extLst>
            <a:ext uri="{FF2B5EF4-FFF2-40B4-BE49-F238E27FC236}">
              <a16:creationId xmlns:a16="http://schemas.microsoft.com/office/drawing/2014/main" id="{B01A70E1-0EF0-0356-4028-B8DF2957A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787E9E-40ED-43FA-95F8-7BBC751FB456}" autoFormatId="16" applyNumberFormats="0" applyBorderFormats="0" applyFontFormats="0" applyPatternFormats="0" applyAlignmentFormats="0" applyWidthHeightFormats="0">
  <queryTableRefresh nextId="13">
    <queryTableFields count="12">
      <queryTableField id="1" name="run_number" tableColumnId="1"/>
      <queryTableField id="2" name="snippet_id" tableColumnId="2"/>
      <queryTableField id="3" name="leakage_type" tableColumnId="3"/>
      <queryTableField id="4" name="has_leakage_ground_truth" tableColumnId="4"/>
      <queryTableField id="5" name="difficulty" tableColumnId="5"/>
      <queryTableField id="6" name="prompt_type" tableColumnId="6"/>
      <queryTableField id="7" name="provider" tableColumnId="7"/>
      <queryTableField id="8" name="model_name" tableColumnId="8"/>
      <queryTableField id="9" name="model_id" tableColumnId="9"/>
      <queryTableField id="10" name="status" tableColumnId="10"/>
      <queryTableField id="11" name="response" tableColumnId="11"/>
      <queryTableField id="12" name="timestamp"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AFE025-A891-4CA8-9440-81398DB35584}" name="all_runs_combined" displayName="all_runs_combined" ref="A1:L601" tableType="queryTable" totalsRowShown="0" headerRowDxfId="23" dataDxfId="21" headerRowBorderDxfId="22">
  <autoFilter ref="A1:L601" xr:uid="{0BAFE025-A891-4CA8-9440-81398DB35584}"/>
  <tableColumns count="12">
    <tableColumn id="1" xr3:uid="{F55650D1-3077-48D9-B375-FEED54A6D478}" uniqueName="1" name="Run #" queryTableFieldId="1" dataDxfId="20"/>
    <tableColumn id="2" xr3:uid="{CC9AA893-1DB5-4542-BCA3-C1F0CB5F1E40}" uniqueName="2" name="Snippet ID" queryTableFieldId="2" dataDxfId="19"/>
    <tableColumn id="3" xr3:uid="{87667D47-BB42-4987-A753-A26C4BFF8001}" uniqueName="3" name="Leakage Type" queryTableFieldId="3" dataDxfId="18"/>
    <tableColumn id="4" xr3:uid="{870F7A86-F28F-47FD-B247-DAE4D89F1FC6}" uniqueName="4" name="Ground Truth" queryTableFieldId="4" dataDxfId="17"/>
    <tableColumn id="5" xr3:uid="{18541B81-70B7-473C-A667-A1F10B2CA5CD}" uniqueName="5" name="Difficulty" queryTableFieldId="5" dataDxfId="16"/>
    <tableColumn id="6" xr3:uid="{C2901251-7AC5-4018-8CBE-5112EA02B9D4}" uniqueName="6" name="Prompt Type" queryTableFieldId="6" dataDxfId="15"/>
    <tableColumn id="7" xr3:uid="{B0C4B554-3D8D-47FE-82C0-0585B899247C}" uniqueName="7" name="Provider" queryTableFieldId="7" dataDxfId="14"/>
    <tableColumn id="8" xr3:uid="{63E3E037-BB6D-41C9-960E-634DA73C0260}" uniqueName="8" name="Model Name" queryTableFieldId="8" dataDxfId="13"/>
    <tableColumn id="9" xr3:uid="{0D09832B-9183-410B-A481-C714E88DAB47}" uniqueName="9" name="Model ID" queryTableFieldId="9" dataDxfId="12"/>
    <tableColumn id="10" xr3:uid="{120424DD-1F24-4BBD-BD06-020ADA3C4CBB}" uniqueName="10" name="Status" queryTableFieldId="10" dataDxfId="11"/>
    <tableColumn id="11" xr3:uid="{91C31E55-14C8-41FD-A894-17D516F7DD51}" uniqueName="11" name="Response" queryTableFieldId="11" dataDxfId="10"/>
    <tableColumn id="12" xr3:uid="{7B526871-69B2-488A-B5C1-A8EB56392378}" uniqueName="12" name="Timestamp" queryTableFieldId="12"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6E4F15-BDB5-42B2-8E2D-852A800B8D6C}" name="Table1" displayName="Table1" ref="M1:N601" totalsRowShown="0" headerRowDxfId="8" dataDxfId="6" headerRowBorderDxfId="7">
  <autoFilter ref="M1:N601" xr:uid="{5D6E4F15-BDB5-42B2-8E2D-852A800B8D6C}"/>
  <tableColumns count="2">
    <tableColumn id="8" xr3:uid="{A1784BCE-107D-4545-8A3B-0AC7CDCC6FA6}" name="LLM Detected" dataDxfId="5"/>
    <tableColumn id="9" xr3:uid="{C9A99CCD-BC07-4D17-A094-30C928BBE564}" name="Result"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665CA4-E158-4B11-8518-741A4E86C213}">
  <we:reference id="WA200009404" version="1.0.0.8" store="Omex" storeType="OMEX"/>
  <we:alternateReferences>
    <we:reference id="WA200009404" version="1.0.0.8" store="WA200009404" storeType="OMEX"/>
  </we:alternateReferences>
  <we:properties>
    <we:property name="claude.fileId" value="&quot;984d5894-5de1-4844-a32c-2c3be30d8e0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9D740-C0CF-4FAD-BD05-A7E47516D1A2}">
  <sheetPr>
    <pageSetUpPr fitToPage="1"/>
  </sheetPr>
  <dimension ref="A1:N601"/>
  <sheetViews>
    <sheetView topLeftCell="B1" zoomScale="40" zoomScaleNormal="40" workbookViewId="0">
      <pane ySplit="1" topLeftCell="A56" activePane="bottomLeft" state="frozen"/>
      <selection pane="bottomLeft" activeCell="K228" sqref="K228"/>
    </sheetView>
  </sheetViews>
  <sheetFormatPr defaultRowHeight="408.95" customHeight="1" x14ac:dyDescent="0.25"/>
  <cols>
    <col min="1" max="1" width="10.42578125" style="1" customWidth="1"/>
    <col min="2" max="2" width="11.42578125" style="1" customWidth="1"/>
    <col min="3" max="4" width="18.140625" style="1" customWidth="1"/>
    <col min="5" max="5" width="11.42578125" style="1" customWidth="1"/>
    <col min="6" max="6" width="14.28515625" style="1" customWidth="1"/>
    <col min="7" max="7" width="17.140625" style="1" customWidth="1"/>
    <col min="8" max="8" width="18.140625" style="1" customWidth="1"/>
    <col min="9" max="9" width="15.28515625" style="1" customWidth="1"/>
    <col min="10" max="10" width="9.85546875" style="1" customWidth="1"/>
    <col min="11" max="11" width="255.7109375" style="22" bestFit="1" customWidth="1"/>
    <col min="12" max="12" width="19.85546875" style="1" customWidth="1"/>
    <col min="13" max="13" width="17.140625" style="1" customWidth="1"/>
    <col min="14" max="14" width="16.140625" style="1" customWidth="1"/>
    <col min="15" max="16384" width="9.140625" style="1"/>
  </cols>
  <sheetData>
    <row r="1" spans="1:14" ht="132" customHeight="1" thickBot="1" x14ac:dyDescent="0.3">
      <c r="A1" s="3" t="s">
        <v>662</v>
      </c>
      <c r="B1" s="2" t="s">
        <v>663</v>
      </c>
      <c r="C1" s="2" t="s">
        <v>664</v>
      </c>
      <c r="D1" s="2" t="s">
        <v>665</v>
      </c>
      <c r="E1" s="2" t="s">
        <v>666</v>
      </c>
      <c r="F1" s="2" t="s">
        <v>667</v>
      </c>
      <c r="G1" s="2" t="s">
        <v>668</v>
      </c>
      <c r="H1" s="2" t="s">
        <v>669</v>
      </c>
      <c r="I1" s="2" t="s">
        <v>670</v>
      </c>
      <c r="J1" s="2" t="s">
        <v>671</v>
      </c>
      <c r="K1" s="21" t="s">
        <v>672</v>
      </c>
      <c r="L1" s="2" t="s">
        <v>673</v>
      </c>
      <c r="M1" s="2" t="s">
        <v>674</v>
      </c>
      <c r="N1" s="4" t="s">
        <v>675</v>
      </c>
    </row>
    <row r="2" spans="1:14" ht="408.95" customHeight="1" x14ac:dyDescent="0.25">
      <c r="A2" s="23">
        <v>1</v>
      </c>
      <c r="B2" s="24" t="s">
        <v>0</v>
      </c>
      <c r="C2" s="25" t="s">
        <v>1</v>
      </c>
      <c r="D2" s="26" t="b">
        <v>1</v>
      </c>
      <c r="E2" s="24" t="s">
        <v>2</v>
      </c>
      <c r="F2" s="25" t="s">
        <v>3</v>
      </c>
      <c r="G2" s="25" t="s">
        <v>4</v>
      </c>
      <c r="H2" s="25" t="s">
        <v>5</v>
      </c>
      <c r="I2" s="25" t="s">
        <v>6</v>
      </c>
      <c r="J2" s="24" t="s">
        <v>7</v>
      </c>
      <c r="K2" s="27" t="s">
        <v>8</v>
      </c>
      <c r="L2" s="28">
        <v>46107.677872592591</v>
      </c>
      <c r="M2" s="15" t="b">
        <v>0</v>
      </c>
      <c r="N2" s="5" t="s">
        <v>658</v>
      </c>
    </row>
    <row r="3" spans="1:14" ht="408.95" customHeight="1" x14ac:dyDescent="0.25">
      <c r="A3" s="29">
        <v>1</v>
      </c>
      <c r="B3" s="30" t="s">
        <v>0</v>
      </c>
      <c r="C3" s="31" t="s">
        <v>1</v>
      </c>
      <c r="D3" s="32" t="b">
        <v>1</v>
      </c>
      <c r="E3" s="30" t="s">
        <v>2</v>
      </c>
      <c r="F3" s="31" t="s">
        <v>3</v>
      </c>
      <c r="G3" s="31" t="s">
        <v>9</v>
      </c>
      <c r="H3" s="31" t="s">
        <v>10</v>
      </c>
      <c r="I3" s="31" t="s">
        <v>11</v>
      </c>
      <c r="J3" s="30" t="s">
        <v>7</v>
      </c>
      <c r="K3" s="33" t="s">
        <v>12</v>
      </c>
      <c r="L3" s="34">
        <v>46107.678099328703</v>
      </c>
      <c r="M3" s="17" t="b">
        <v>0</v>
      </c>
      <c r="N3" s="6" t="s">
        <v>658</v>
      </c>
    </row>
    <row r="4" spans="1:14" ht="408.95" customHeight="1" x14ac:dyDescent="0.25">
      <c r="A4" s="35">
        <v>1</v>
      </c>
      <c r="B4" s="36" t="s">
        <v>0</v>
      </c>
      <c r="C4" s="37" t="s">
        <v>1</v>
      </c>
      <c r="D4" s="38" t="b">
        <v>1</v>
      </c>
      <c r="E4" s="36" t="s">
        <v>2</v>
      </c>
      <c r="F4" s="37" t="s">
        <v>3</v>
      </c>
      <c r="G4" s="37" t="s">
        <v>13</v>
      </c>
      <c r="H4" s="37" t="s">
        <v>14</v>
      </c>
      <c r="I4" s="37" t="s">
        <v>15</v>
      </c>
      <c r="J4" s="36" t="s">
        <v>7</v>
      </c>
      <c r="K4" s="39" t="s">
        <v>16</v>
      </c>
      <c r="L4" s="40">
        <v>46107.678392256945</v>
      </c>
      <c r="M4" s="18" t="b">
        <v>1</v>
      </c>
      <c r="N4" s="7" t="s">
        <v>659</v>
      </c>
    </row>
    <row r="5" spans="1:14" ht="408.95" customHeight="1" x14ac:dyDescent="0.25">
      <c r="A5" s="29">
        <v>1</v>
      </c>
      <c r="B5" s="30" t="s">
        <v>0</v>
      </c>
      <c r="C5" s="31" t="s">
        <v>1</v>
      </c>
      <c r="D5" s="32" t="b">
        <v>1</v>
      </c>
      <c r="E5" s="30" t="s">
        <v>2</v>
      </c>
      <c r="F5" s="31" t="s">
        <v>3</v>
      </c>
      <c r="G5" s="31" t="s">
        <v>17</v>
      </c>
      <c r="H5" s="31" t="s">
        <v>18</v>
      </c>
      <c r="I5" s="31" t="s">
        <v>19</v>
      </c>
      <c r="J5" s="30" t="s">
        <v>7</v>
      </c>
      <c r="K5" s="33" t="s">
        <v>20</v>
      </c>
      <c r="L5" s="34">
        <v>46107.678503194446</v>
      </c>
      <c r="M5" s="16" t="b">
        <v>1</v>
      </c>
      <c r="N5" s="8" t="s">
        <v>659</v>
      </c>
    </row>
    <row r="6" spans="1:14" ht="408.95" customHeight="1" x14ac:dyDescent="0.25">
      <c r="A6" s="35">
        <v>1</v>
      </c>
      <c r="B6" s="36" t="s">
        <v>0</v>
      </c>
      <c r="C6" s="37" t="s">
        <v>1</v>
      </c>
      <c r="D6" s="38" t="b">
        <v>1</v>
      </c>
      <c r="E6" s="36" t="s">
        <v>2</v>
      </c>
      <c r="F6" s="37" t="s">
        <v>3</v>
      </c>
      <c r="G6" s="37" t="s">
        <v>21</v>
      </c>
      <c r="H6" s="37" t="s">
        <v>22</v>
      </c>
      <c r="I6" s="37" t="s">
        <v>23</v>
      </c>
      <c r="J6" s="36" t="s">
        <v>7</v>
      </c>
      <c r="K6" s="39" t="s">
        <v>24</v>
      </c>
      <c r="L6" s="40">
        <v>46107.678756203706</v>
      </c>
      <c r="M6" s="18" t="b">
        <v>1</v>
      </c>
      <c r="N6" s="7" t="s">
        <v>659</v>
      </c>
    </row>
    <row r="7" spans="1:14" ht="408.95" customHeight="1" x14ac:dyDescent="0.25">
      <c r="A7" s="29">
        <v>1</v>
      </c>
      <c r="B7" s="30" t="s">
        <v>0</v>
      </c>
      <c r="C7" s="31" t="s">
        <v>1</v>
      </c>
      <c r="D7" s="32" t="b">
        <v>1</v>
      </c>
      <c r="E7" s="30" t="s">
        <v>2</v>
      </c>
      <c r="F7" s="31" t="s">
        <v>25</v>
      </c>
      <c r="G7" s="31" t="s">
        <v>4</v>
      </c>
      <c r="H7" s="31" t="s">
        <v>5</v>
      </c>
      <c r="I7" s="31" t="s">
        <v>6</v>
      </c>
      <c r="J7" s="30" t="s">
        <v>7</v>
      </c>
      <c r="K7" s="33" t="s">
        <v>26</v>
      </c>
      <c r="L7" s="34">
        <v>46107.678892627315</v>
      </c>
      <c r="M7" s="16" t="b">
        <v>1</v>
      </c>
      <c r="N7" s="8" t="s">
        <v>659</v>
      </c>
    </row>
    <row r="8" spans="1:14" ht="408.95" customHeight="1" x14ac:dyDescent="0.25">
      <c r="A8" s="35">
        <v>1</v>
      </c>
      <c r="B8" s="36" t="s">
        <v>0</v>
      </c>
      <c r="C8" s="37" t="s">
        <v>1</v>
      </c>
      <c r="D8" s="38" t="b">
        <v>1</v>
      </c>
      <c r="E8" s="36" t="s">
        <v>2</v>
      </c>
      <c r="F8" s="37" t="s">
        <v>25</v>
      </c>
      <c r="G8" s="37" t="s">
        <v>9</v>
      </c>
      <c r="H8" s="37" t="s">
        <v>10</v>
      </c>
      <c r="I8" s="37" t="s">
        <v>11</v>
      </c>
      <c r="J8" s="36" t="s">
        <v>7</v>
      </c>
      <c r="K8" s="39" t="s">
        <v>27</v>
      </c>
      <c r="L8" s="40">
        <v>46107.679009236112</v>
      </c>
      <c r="M8" s="18" t="b">
        <v>1</v>
      </c>
      <c r="N8" s="7" t="s">
        <v>659</v>
      </c>
    </row>
    <row r="9" spans="1:14" ht="408.95" customHeight="1" x14ac:dyDescent="0.25">
      <c r="A9" s="29">
        <v>1</v>
      </c>
      <c r="B9" s="30" t="s">
        <v>0</v>
      </c>
      <c r="C9" s="31" t="s">
        <v>1</v>
      </c>
      <c r="D9" s="32" t="b">
        <v>1</v>
      </c>
      <c r="E9" s="30" t="s">
        <v>2</v>
      </c>
      <c r="F9" s="31" t="s">
        <v>25</v>
      </c>
      <c r="G9" s="31" t="s">
        <v>13</v>
      </c>
      <c r="H9" s="31" t="s">
        <v>14</v>
      </c>
      <c r="I9" s="31" t="s">
        <v>15</v>
      </c>
      <c r="J9" s="30" t="s">
        <v>7</v>
      </c>
      <c r="K9" s="33" t="s">
        <v>28</v>
      </c>
      <c r="L9" s="34">
        <v>46107.679200243052</v>
      </c>
      <c r="M9" s="16" t="b">
        <v>1</v>
      </c>
      <c r="N9" s="8" t="s">
        <v>659</v>
      </c>
    </row>
    <row r="10" spans="1:14" ht="408.95" customHeight="1" x14ac:dyDescent="0.25">
      <c r="A10" s="35">
        <v>1</v>
      </c>
      <c r="B10" s="36" t="s">
        <v>0</v>
      </c>
      <c r="C10" s="37" t="s">
        <v>1</v>
      </c>
      <c r="D10" s="38" t="b">
        <v>1</v>
      </c>
      <c r="E10" s="36" t="s">
        <v>2</v>
      </c>
      <c r="F10" s="37" t="s">
        <v>25</v>
      </c>
      <c r="G10" s="37" t="s">
        <v>17</v>
      </c>
      <c r="H10" s="37" t="s">
        <v>18</v>
      </c>
      <c r="I10" s="37" t="s">
        <v>19</v>
      </c>
      <c r="J10" s="36" t="s">
        <v>7</v>
      </c>
      <c r="K10" s="39" t="s">
        <v>29</v>
      </c>
      <c r="L10" s="40">
        <v>46107.679263032405</v>
      </c>
      <c r="M10" s="18" t="b">
        <v>1</v>
      </c>
      <c r="N10" s="7" t="s">
        <v>659</v>
      </c>
    </row>
    <row r="11" spans="1:14" ht="408.95" customHeight="1" x14ac:dyDescent="0.25">
      <c r="A11" s="29">
        <v>1</v>
      </c>
      <c r="B11" s="30" t="s">
        <v>0</v>
      </c>
      <c r="C11" s="31" t="s">
        <v>1</v>
      </c>
      <c r="D11" s="32" t="b">
        <v>1</v>
      </c>
      <c r="E11" s="30" t="s">
        <v>2</v>
      </c>
      <c r="F11" s="31" t="s">
        <v>25</v>
      </c>
      <c r="G11" s="31" t="s">
        <v>21</v>
      </c>
      <c r="H11" s="31" t="s">
        <v>22</v>
      </c>
      <c r="I11" s="31" t="s">
        <v>23</v>
      </c>
      <c r="J11" s="30" t="s">
        <v>7</v>
      </c>
      <c r="K11" s="33" t="s">
        <v>30</v>
      </c>
      <c r="L11" s="34">
        <v>46107.679410914352</v>
      </c>
      <c r="M11" s="16" t="b">
        <v>1</v>
      </c>
      <c r="N11" s="8" t="s">
        <v>659</v>
      </c>
    </row>
    <row r="12" spans="1:14" ht="408.95" customHeight="1" x14ac:dyDescent="0.25">
      <c r="A12" s="35">
        <v>1</v>
      </c>
      <c r="B12" s="36" t="s">
        <v>31</v>
      </c>
      <c r="C12" s="37" t="s">
        <v>32</v>
      </c>
      <c r="D12" s="41" t="b">
        <v>0</v>
      </c>
      <c r="E12" s="36" t="s">
        <v>33</v>
      </c>
      <c r="F12" s="37" t="s">
        <v>3</v>
      </c>
      <c r="G12" s="37" t="s">
        <v>4</v>
      </c>
      <c r="H12" s="37" t="s">
        <v>5</v>
      </c>
      <c r="I12" s="37" t="s">
        <v>6</v>
      </c>
      <c r="J12" s="36" t="s">
        <v>7</v>
      </c>
      <c r="K12" s="39" t="s">
        <v>34</v>
      </c>
      <c r="L12" s="40">
        <v>46107.679577222225</v>
      </c>
      <c r="M12" s="19" t="b">
        <v>0</v>
      </c>
      <c r="N12" s="9" t="s">
        <v>660</v>
      </c>
    </row>
    <row r="13" spans="1:14" ht="408.95" customHeight="1" x14ac:dyDescent="0.25">
      <c r="A13" s="29">
        <v>1</v>
      </c>
      <c r="B13" s="30" t="s">
        <v>31</v>
      </c>
      <c r="C13" s="31" t="s">
        <v>32</v>
      </c>
      <c r="D13" s="42" t="b">
        <v>0</v>
      </c>
      <c r="E13" s="30" t="s">
        <v>33</v>
      </c>
      <c r="F13" s="31" t="s">
        <v>3</v>
      </c>
      <c r="G13" s="31" t="s">
        <v>9</v>
      </c>
      <c r="H13" s="31" t="s">
        <v>10</v>
      </c>
      <c r="I13" s="31" t="s">
        <v>11</v>
      </c>
      <c r="J13" s="30" t="s">
        <v>7</v>
      </c>
      <c r="K13" s="33" t="s">
        <v>35</v>
      </c>
      <c r="L13" s="34">
        <v>46107.679778645834</v>
      </c>
      <c r="M13" s="17" t="b">
        <v>0</v>
      </c>
      <c r="N13" s="10" t="s">
        <v>660</v>
      </c>
    </row>
    <row r="14" spans="1:14" ht="408.95" customHeight="1" x14ac:dyDescent="0.25">
      <c r="A14" s="35">
        <v>1</v>
      </c>
      <c r="B14" s="36" t="s">
        <v>31</v>
      </c>
      <c r="C14" s="37" t="s">
        <v>32</v>
      </c>
      <c r="D14" s="41" t="b">
        <v>0</v>
      </c>
      <c r="E14" s="36" t="s">
        <v>33</v>
      </c>
      <c r="F14" s="37" t="s">
        <v>3</v>
      </c>
      <c r="G14" s="37" t="s">
        <v>13</v>
      </c>
      <c r="H14" s="37" t="s">
        <v>14</v>
      </c>
      <c r="I14" s="37" t="s">
        <v>15</v>
      </c>
      <c r="J14" s="36" t="s">
        <v>7</v>
      </c>
      <c r="K14" s="39" t="s">
        <v>36</v>
      </c>
      <c r="L14" s="40">
        <v>46107.680037627317</v>
      </c>
      <c r="M14" s="19" t="b">
        <v>0</v>
      </c>
      <c r="N14" s="9" t="s">
        <v>660</v>
      </c>
    </row>
    <row r="15" spans="1:14" ht="408.95" customHeight="1" x14ac:dyDescent="0.25">
      <c r="A15" s="29">
        <v>1</v>
      </c>
      <c r="B15" s="30" t="s">
        <v>31</v>
      </c>
      <c r="C15" s="31" t="s">
        <v>32</v>
      </c>
      <c r="D15" s="42" t="b">
        <v>0</v>
      </c>
      <c r="E15" s="30" t="s">
        <v>33</v>
      </c>
      <c r="F15" s="31" t="s">
        <v>3</v>
      </c>
      <c r="G15" s="31" t="s">
        <v>17</v>
      </c>
      <c r="H15" s="31" t="s">
        <v>18</v>
      </c>
      <c r="I15" s="31" t="s">
        <v>19</v>
      </c>
      <c r="J15" s="30" t="s">
        <v>7</v>
      </c>
      <c r="K15" s="33" t="s">
        <v>37</v>
      </c>
      <c r="L15" s="34">
        <v>46107.680164398145</v>
      </c>
      <c r="M15" s="17" t="b">
        <v>0</v>
      </c>
      <c r="N15" s="10" t="s">
        <v>660</v>
      </c>
    </row>
    <row r="16" spans="1:14" ht="408.95" customHeight="1" x14ac:dyDescent="0.25">
      <c r="A16" s="35">
        <v>1</v>
      </c>
      <c r="B16" s="36" t="s">
        <v>31</v>
      </c>
      <c r="C16" s="37" t="s">
        <v>32</v>
      </c>
      <c r="D16" s="41" t="b">
        <v>0</v>
      </c>
      <c r="E16" s="36" t="s">
        <v>33</v>
      </c>
      <c r="F16" s="37" t="s">
        <v>3</v>
      </c>
      <c r="G16" s="37" t="s">
        <v>21</v>
      </c>
      <c r="H16" s="37" t="s">
        <v>22</v>
      </c>
      <c r="I16" s="37" t="s">
        <v>23</v>
      </c>
      <c r="J16" s="36" t="s">
        <v>7</v>
      </c>
      <c r="K16" s="39" t="s">
        <v>38</v>
      </c>
      <c r="L16" s="40">
        <v>46107.680373900461</v>
      </c>
      <c r="M16" s="19" t="b">
        <v>0</v>
      </c>
      <c r="N16" s="9" t="s">
        <v>660</v>
      </c>
    </row>
    <row r="17" spans="1:14" ht="408.95" customHeight="1" x14ac:dyDescent="0.25">
      <c r="A17" s="29">
        <v>1</v>
      </c>
      <c r="B17" s="30" t="s">
        <v>31</v>
      </c>
      <c r="C17" s="31" t="s">
        <v>32</v>
      </c>
      <c r="D17" s="42" t="b">
        <v>0</v>
      </c>
      <c r="E17" s="30" t="s">
        <v>33</v>
      </c>
      <c r="F17" s="31" t="s">
        <v>25</v>
      </c>
      <c r="G17" s="31" t="s">
        <v>4</v>
      </c>
      <c r="H17" s="31" t="s">
        <v>5</v>
      </c>
      <c r="I17" s="31" t="s">
        <v>6</v>
      </c>
      <c r="J17" s="30" t="s">
        <v>7</v>
      </c>
      <c r="K17" s="33" t="s">
        <v>39</v>
      </c>
      <c r="L17" s="34">
        <v>46107.680475659719</v>
      </c>
      <c r="M17" s="17" t="b">
        <v>0</v>
      </c>
      <c r="N17" s="10" t="s">
        <v>660</v>
      </c>
    </row>
    <row r="18" spans="1:14" ht="408.95" customHeight="1" x14ac:dyDescent="0.25">
      <c r="A18" s="35">
        <v>1</v>
      </c>
      <c r="B18" s="36" t="s">
        <v>31</v>
      </c>
      <c r="C18" s="37" t="s">
        <v>32</v>
      </c>
      <c r="D18" s="41" t="b">
        <v>0</v>
      </c>
      <c r="E18" s="36" t="s">
        <v>33</v>
      </c>
      <c r="F18" s="37" t="s">
        <v>25</v>
      </c>
      <c r="G18" s="37" t="s">
        <v>9</v>
      </c>
      <c r="H18" s="37" t="s">
        <v>10</v>
      </c>
      <c r="I18" s="37" t="s">
        <v>11</v>
      </c>
      <c r="J18" s="36" t="s">
        <v>7</v>
      </c>
      <c r="K18" s="39" t="s">
        <v>40</v>
      </c>
      <c r="L18" s="40">
        <v>46107.680601030093</v>
      </c>
      <c r="M18" s="19" t="b">
        <v>0</v>
      </c>
      <c r="N18" s="9" t="s">
        <v>660</v>
      </c>
    </row>
    <row r="19" spans="1:14" ht="408.95" customHeight="1" x14ac:dyDescent="0.25">
      <c r="A19" s="29">
        <v>1</v>
      </c>
      <c r="B19" s="30" t="s">
        <v>31</v>
      </c>
      <c r="C19" s="31" t="s">
        <v>32</v>
      </c>
      <c r="D19" s="42" t="b">
        <v>0</v>
      </c>
      <c r="E19" s="30" t="s">
        <v>33</v>
      </c>
      <c r="F19" s="31" t="s">
        <v>25</v>
      </c>
      <c r="G19" s="31" t="s">
        <v>13</v>
      </c>
      <c r="H19" s="31" t="s">
        <v>14</v>
      </c>
      <c r="I19" s="31" t="s">
        <v>15</v>
      </c>
      <c r="J19" s="30" t="s">
        <v>7</v>
      </c>
      <c r="K19" s="33" t="s">
        <v>41</v>
      </c>
      <c r="L19" s="34">
        <v>46107.680794039348</v>
      </c>
      <c r="M19" s="17" t="b">
        <v>0</v>
      </c>
      <c r="N19" s="10" t="s">
        <v>660</v>
      </c>
    </row>
    <row r="20" spans="1:14" ht="408.95" customHeight="1" x14ac:dyDescent="0.25">
      <c r="A20" s="35">
        <v>1</v>
      </c>
      <c r="B20" s="36" t="s">
        <v>31</v>
      </c>
      <c r="C20" s="37" t="s">
        <v>32</v>
      </c>
      <c r="D20" s="41" t="b">
        <v>0</v>
      </c>
      <c r="E20" s="36" t="s">
        <v>33</v>
      </c>
      <c r="F20" s="37" t="s">
        <v>25</v>
      </c>
      <c r="G20" s="37" t="s">
        <v>17</v>
      </c>
      <c r="H20" s="37" t="s">
        <v>18</v>
      </c>
      <c r="I20" s="37" t="s">
        <v>19</v>
      </c>
      <c r="J20" s="36" t="s">
        <v>7</v>
      </c>
      <c r="K20" s="39" t="s">
        <v>42</v>
      </c>
      <c r="L20" s="40">
        <v>46107.680857280095</v>
      </c>
      <c r="M20" s="19" t="b">
        <v>0</v>
      </c>
      <c r="N20" s="9" t="s">
        <v>660</v>
      </c>
    </row>
    <row r="21" spans="1:14" ht="408.95" customHeight="1" x14ac:dyDescent="0.25">
      <c r="A21" s="29">
        <v>1</v>
      </c>
      <c r="B21" s="30" t="s">
        <v>31</v>
      </c>
      <c r="C21" s="31" t="s">
        <v>32</v>
      </c>
      <c r="D21" s="42" t="b">
        <v>0</v>
      </c>
      <c r="E21" s="30" t="s">
        <v>33</v>
      </c>
      <c r="F21" s="31" t="s">
        <v>25</v>
      </c>
      <c r="G21" s="31" t="s">
        <v>21</v>
      </c>
      <c r="H21" s="31" t="s">
        <v>22</v>
      </c>
      <c r="I21" s="31" t="s">
        <v>23</v>
      </c>
      <c r="J21" s="30" t="s">
        <v>7</v>
      </c>
      <c r="K21" s="33" t="s">
        <v>43</v>
      </c>
      <c r="L21" s="34">
        <v>46107.680984444443</v>
      </c>
      <c r="M21" s="17" t="b">
        <v>0</v>
      </c>
      <c r="N21" s="10" t="s">
        <v>660</v>
      </c>
    </row>
    <row r="22" spans="1:14" ht="408.95" customHeight="1" x14ac:dyDescent="0.25">
      <c r="A22" s="35">
        <v>1</v>
      </c>
      <c r="B22" s="36" t="s">
        <v>44</v>
      </c>
      <c r="C22" s="37" t="s">
        <v>1</v>
      </c>
      <c r="D22" s="38" t="b">
        <v>1</v>
      </c>
      <c r="E22" s="36" t="s">
        <v>2</v>
      </c>
      <c r="F22" s="37" t="s">
        <v>3</v>
      </c>
      <c r="G22" s="37" t="s">
        <v>4</v>
      </c>
      <c r="H22" s="37" t="s">
        <v>5</v>
      </c>
      <c r="I22" s="37" t="s">
        <v>6</v>
      </c>
      <c r="J22" s="36" t="s">
        <v>7</v>
      </c>
      <c r="K22" s="39" t="s">
        <v>45</v>
      </c>
      <c r="L22" s="40">
        <v>46107.681170300923</v>
      </c>
      <c r="M22" s="19" t="b">
        <v>0</v>
      </c>
      <c r="N22" s="11" t="s">
        <v>658</v>
      </c>
    </row>
    <row r="23" spans="1:14" ht="408.95" customHeight="1" x14ac:dyDescent="0.25">
      <c r="A23" s="29">
        <v>1</v>
      </c>
      <c r="B23" s="30" t="s">
        <v>44</v>
      </c>
      <c r="C23" s="31" t="s">
        <v>1</v>
      </c>
      <c r="D23" s="32" t="b">
        <v>1</v>
      </c>
      <c r="E23" s="30" t="s">
        <v>2</v>
      </c>
      <c r="F23" s="31" t="s">
        <v>3</v>
      </c>
      <c r="G23" s="31" t="s">
        <v>9</v>
      </c>
      <c r="H23" s="31" t="s">
        <v>10</v>
      </c>
      <c r="I23" s="31" t="s">
        <v>11</v>
      </c>
      <c r="J23" s="30" t="s">
        <v>7</v>
      </c>
      <c r="K23" s="33" t="s">
        <v>46</v>
      </c>
      <c r="L23" s="34">
        <v>46107.681514166667</v>
      </c>
      <c r="M23" s="16" t="b">
        <v>1</v>
      </c>
      <c r="N23" s="8" t="s">
        <v>659</v>
      </c>
    </row>
    <row r="24" spans="1:14" ht="408.95" customHeight="1" x14ac:dyDescent="0.25">
      <c r="A24" s="35">
        <v>1</v>
      </c>
      <c r="B24" s="36" t="s">
        <v>44</v>
      </c>
      <c r="C24" s="37" t="s">
        <v>1</v>
      </c>
      <c r="D24" s="38" t="b">
        <v>1</v>
      </c>
      <c r="E24" s="36" t="s">
        <v>2</v>
      </c>
      <c r="F24" s="37" t="s">
        <v>3</v>
      </c>
      <c r="G24" s="37" t="s">
        <v>13</v>
      </c>
      <c r="H24" s="37" t="s">
        <v>14</v>
      </c>
      <c r="I24" s="37" t="s">
        <v>15</v>
      </c>
      <c r="J24" s="36" t="s">
        <v>7</v>
      </c>
      <c r="K24" s="39" t="s">
        <v>47</v>
      </c>
      <c r="L24" s="40">
        <v>46107.681846261577</v>
      </c>
      <c r="M24" s="18" t="b">
        <v>1</v>
      </c>
      <c r="N24" s="7" t="s">
        <v>659</v>
      </c>
    </row>
    <row r="25" spans="1:14" ht="408.95" customHeight="1" x14ac:dyDescent="0.25">
      <c r="A25" s="29">
        <v>1</v>
      </c>
      <c r="B25" s="30" t="s">
        <v>44</v>
      </c>
      <c r="C25" s="31" t="s">
        <v>1</v>
      </c>
      <c r="D25" s="32" t="b">
        <v>1</v>
      </c>
      <c r="E25" s="30" t="s">
        <v>2</v>
      </c>
      <c r="F25" s="31" t="s">
        <v>3</v>
      </c>
      <c r="G25" s="31" t="s">
        <v>17</v>
      </c>
      <c r="H25" s="31" t="s">
        <v>18</v>
      </c>
      <c r="I25" s="31" t="s">
        <v>19</v>
      </c>
      <c r="J25" s="30" t="s">
        <v>7</v>
      </c>
      <c r="K25" s="33" t="s">
        <v>48</v>
      </c>
      <c r="L25" s="34">
        <v>46107.681970949074</v>
      </c>
      <c r="M25" s="16" t="b">
        <v>1</v>
      </c>
      <c r="N25" s="8" t="s">
        <v>659</v>
      </c>
    </row>
    <row r="26" spans="1:14" ht="408.95" customHeight="1" x14ac:dyDescent="0.25">
      <c r="A26" s="35">
        <v>1</v>
      </c>
      <c r="B26" s="36" t="s">
        <v>44</v>
      </c>
      <c r="C26" s="37" t="s">
        <v>1</v>
      </c>
      <c r="D26" s="38" t="b">
        <v>1</v>
      </c>
      <c r="E26" s="36" t="s">
        <v>2</v>
      </c>
      <c r="F26" s="37" t="s">
        <v>3</v>
      </c>
      <c r="G26" s="37" t="s">
        <v>21</v>
      </c>
      <c r="H26" s="37" t="s">
        <v>22</v>
      </c>
      <c r="I26" s="37" t="s">
        <v>23</v>
      </c>
      <c r="J26" s="36" t="s">
        <v>7</v>
      </c>
      <c r="K26" s="39" t="s">
        <v>49</v>
      </c>
      <c r="L26" s="40">
        <v>46107.6821552662</v>
      </c>
      <c r="M26" s="19" t="b">
        <v>0</v>
      </c>
      <c r="N26" s="11" t="s">
        <v>658</v>
      </c>
    </row>
    <row r="27" spans="1:14" ht="408.95" customHeight="1" x14ac:dyDescent="0.25">
      <c r="A27" s="29">
        <v>1</v>
      </c>
      <c r="B27" s="30" t="s">
        <v>44</v>
      </c>
      <c r="C27" s="31" t="s">
        <v>1</v>
      </c>
      <c r="D27" s="32" t="b">
        <v>1</v>
      </c>
      <c r="E27" s="30" t="s">
        <v>2</v>
      </c>
      <c r="F27" s="31" t="s">
        <v>25</v>
      </c>
      <c r="G27" s="31" t="s">
        <v>4</v>
      </c>
      <c r="H27" s="31" t="s">
        <v>5</v>
      </c>
      <c r="I27" s="31" t="s">
        <v>6</v>
      </c>
      <c r="J27" s="30" t="s">
        <v>7</v>
      </c>
      <c r="K27" s="33" t="s">
        <v>50</v>
      </c>
      <c r="L27" s="34">
        <v>46107.682256689812</v>
      </c>
      <c r="M27" s="16" t="b">
        <v>1</v>
      </c>
      <c r="N27" s="8" t="s">
        <v>659</v>
      </c>
    </row>
    <row r="28" spans="1:14" ht="408.95" customHeight="1" x14ac:dyDescent="0.25">
      <c r="A28" s="35">
        <v>1</v>
      </c>
      <c r="B28" s="36" t="s">
        <v>44</v>
      </c>
      <c r="C28" s="37" t="s">
        <v>1</v>
      </c>
      <c r="D28" s="38" t="b">
        <v>1</v>
      </c>
      <c r="E28" s="36" t="s">
        <v>2</v>
      </c>
      <c r="F28" s="37" t="s">
        <v>25</v>
      </c>
      <c r="G28" s="37" t="s">
        <v>9</v>
      </c>
      <c r="H28" s="37" t="s">
        <v>10</v>
      </c>
      <c r="I28" s="37" t="s">
        <v>11</v>
      </c>
      <c r="J28" s="36" t="s">
        <v>7</v>
      </c>
      <c r="K28" s="39" t="s">
        <v>51</v>
      </c>
      <c r="L28" s="40">
        <v>46107.6823678125</v>
      </c>
      <c r="M28" s="18" t="b">
        <v>1</v>
      </c>
      <c r="N28" s="7" t="s">
        <v>659</v>
      </c>
    </row>
    <row r="29" spans="1:14" ht="408.95" customHeight="1" x14ac:dyDescent="0.25">
      <c r="A29" s="29">
        <v>1</v>
      </c>
      <c r="B29" s="30" t="s">
        <v>44</v>
      </c>
      <c r="C29" s="31" t="s">
        <v>1</v>
      </c>
      <c r="D29" s="32" t="b">
        <v>1</v>
      </c>
      <c r="E29" s="30" t="s">
        <v>2</v>
      </c>
      <c r="F29" s="31" t="s">
        <v>25</v>
      </c>
      <c r="G29" s="31" t="s">
        <v>13</v>
      </c>
      <c r="H29" s="31" t="s">
        <v>14</v>
      </c>
      <c r="I29" s="31" t="s">
        <v>15</v>
      </c>
      <c r="J29" s="30" t="s">
        <v>7</v>
      </c>
      <c r="K29" s="33" t="s">
        <v>52</v>
      </c>
      <c r="L29" s="34">
        <v>46107.682555381944</v>
      </c>
      <c r="M29" s="16" t="b">
        <v>1</v>
      </c>
      <c r="N29" s="8" t="s">
        <v>659</v>
      </c>
    </row>
    <row r="30" spans="1:14" ht="408.95" customHeight="1" x14ac:dyDescent="0.25">
      <c r="A30" s="35">
        <v>1</v>
      </c>
      <c r="B30" s="36" t="s">
        <v>44</v>
      </c>
      <c r="C30" s="37" t="s">
        <v>1</v>
      </c>
      <c r="D30" s="38" t="b">
        <v>1</v>
      </c>
      <c r="E30" s="36" t="s">
        <v>2</v>
      </c>
      <c r="F30" s="37" t="s">
        <v>25</v>
      </c>
      <c r="G30" s="37" t="s">
        <v>17</v>
      </c>
      <c r="H30" s="37" t="s">
        <v>18</v>
      </c>
      <c r="I30" s="37" t="s">
        <v>19</v>
      </c>
      <c r="J30" s="36" t="s">
        <v>7</v>
      </c>
      <c r="K30" s="39" t="s">
        <v>53</v>
      </c>
      <c r="L30" s="40">
        <v>46107.682623298613</v>
      </c>
      <c r="M30" s="18" t="b">
        <v>1</v>
      </c>
      <c r="N30" s="7" t="s">
        <v>659</v>
      </c>
    </row>
    <row r="31" spans="1:14" ht="408.95" customHeight="1" x14ac:dyDescent="0.25">
      <c r="A31" s="29">
        <v>1</v>
      </c>
      <c r="B31" s="30" t="s">
        <v>44</v>
      </c>
      <c r="C31" s="31" t="s">
        <v>1</v>
      </c>
      <c r="D31" s="32" t="b">
        <v>1</v>
      </c>
      <c r="E31" s="30" t="s">
        <v>2</v>
      </c>
      <c r="F31" s="31" t="s">
        <v>25</v>
      </c>
      <c r="G31" s="31" t="s">
        <v>21</v>
      </c>
      <c r="H31" s="31" t="s">
        <v>22</v>
      </c>
      <c r="I31" s="31" t="s">
        <v>23</v>
      </c>
      <c r="J31" s="30" t="s">
        <v>7</v>
      </c>
      <c r="K31" s="33" t="s">
        <v>54</v>
      </c>
      <c r="L31" s="34">
        <v>46107.682754409725</v>
      </c>
      <c r="M31" s="16" t="b">
        <v>1</v>
      </c>
      <c r="N31" s="8" t="s">
        <v>659</v>
      </c>
    </row>
    <row r="32" spans="1:14" ht="408.95" customHeight="1" x14ac:dyDescent="0.25">
      <c r="A32" s="35">
        <v>1</v>
      </c>
      <c r="B32" s="36" t="s">
        <v>55</v>
      </c>
      <c r="C32" s="37" t="s">
        <v>32</v>
      </c>
      <c r="D32" s="41" t="b">
        <v>0</v>
      </c>
      <c r="E32" s="36" t="s">
        <v>33</v>
      </c>
      <c r="F32" s="37" t="s">
        <v>3</v>
      </c>
      <c r="G32" s="37" t="s">
        <v>4</v>
      </c>
      <c r="H32" s="37" t="s">
        <v>5</v>
      </c>
      <c r="I32" s="37" t="s">
        <v>6</v>
      </c>
      <c r="J32" s="36" t="s">
        <v>7</v>
      </c>
      <c r="K32" s="39" t="s">
        <v>56</v>
      </c>
      <c r="L32" s="40">
        <v>46107.68294471065</v>
      </c>
      <c r="M32" s="19" t="b">
        <v>0</v>
      </c>
      <c r="N32" s="9" t="s">
        <v>660</v>
      </c>
    </row>
    <row r="33" spans="1:14" ht="408.95" customHeight="1" x14ac:dyDescent="0.25">
      <c r="A33" s="29">
        <v>1</v>
      </c>
      <c r="B33" s="30" t="s">
        <v>55</v>
      </c>
      <c r="C33" s="31" t="s">
        <v>32</v>
      </c>
      <c r="D33" s="42" t="b">
        <v>0</v>
      </c>
      <c r="E33" s="30" t="s">
        <v>33</v>
      </c>
      <c r="F33" s="31" t="s">
        <v>3</v>
      </c>
      <c r="G33" s="31" t="s">
        <v>9</v>
      </c>
      <c r="H33" s="31" t="s">
        <v>10</v>
      </c>
      <c r="I33" s="31" t="s">
        <v>11</v>
      </c>
      <c r="J33" s="30" t="s">
        <v>7</v>
      </c>
      <c r="K33" s="33" t="s">
        <v>57</v>
      </c>
      <c r="L33" s="34">
        <v>46107.68320521991</v>
      </c>
      <c r="M33" s="17" t="b">
        <v>0</v>
      </c>
      <c r="N33" s="10" t="s">
        <v>660</v>
      </c>
    </row>
    <row r="34" spans="1:14" ht="408.95" customHeight="1" x14ac:dyDescent="0.25">
      <c r="A34" s="35">
        <v>1</v>
      </c>
      <c r="B34" s="36" t="s">
        <v>55</v>
      </c>
      <c r="C34" s="37" t="s">
        <v>32</v>
      </c>
      <c r="D34" s="41" t="b">
        <v>0</v>
      </c>
      <c r="E34" s="36" t="s">
        <v>33</v>
      </c>
      <c r="F34" s="37" t="s">
        <v>3</v>
      </c>
      <c r="G34" s="37" t="s">
        <v>13</v>
      </c>
      <c r="H34" s="37" t="s">
        <v>14</v>
      </c>
      <c r="I34" s="37" t="s">
        <v>15</v>
      </c>
      <c r="J34" s="36" t="s">
        <v>7</v>
      </c>
      <c r="K34" s="39" t="s">
        <v>58</v>
      </c>
      <c r="L34" s="40">
        <v>46107.683523009262</v>
      </c>
      <c r="M34" s="19" t="b">
        <v>0</v>
      </c>
      <c r="N34" s="9" t="s">
        <v>660</v>
      </c>
    </row>
    <row r="35" spans="1:14" ht="408.95" customHeight="1" x14ac:dyDescent="0.25">
      <c r="A35" s="29">
        <v>1</v>
      </c>
      <c r="B35" s="30" t="s">
        <v>55</v>
      </c>
      <c r="C35" s="31" t="s">
        <v>32</v>
      </c>
      <c r="D35" s="42" t="b">
        <v>0</v>
      </c>
      <c r="E35" s="30" t="s">
        <v>33</v>
      </c>
      <c r="F35" s="31" t="s">
        <v>3</v>
      </c>
      <c r="G35" s="31" t="s">
        <v>17</v>
      </c>
      <c r="H35" s="31" t="s">
        <v>18</v>
      </c>
      <c r="I35" s="31" t="s">
        <v>19</v>
      </c>
      <c r="J35" s="30" t="s">
        <v>7</v>
      </c>
      <c r="K35" s="33" t="s">
        <v>59</v>
      </c>
      <c r="L35" s="34">
        <v>46107.683647187499</v>
      </c>
      <c r="M35" s="17" t="b">
        <v>0</v>
      </c>
      <c r="N35" s="10" t="s">
        <v>660</v>
      </c>
    </row>
    <row r="36" spans="1:14" ht="408.95" customHeight="1" x14ac:dyDescent="0.25">
      <c r="A36" s="35">
        <v>1</v>
      </c>
      <c r="B36" s="36" t="s">
        <v>55</v>
      </c>
      <c r="C36" s="37" t="s">
        <v>32</v>
      </c>
      <c r="D36" s="41" t="b">
        <v>0</v>
      </c>
      <c r="E36" s="36" t="s">
        <v>33</v>
      </c>
      <c r="F36" s="37" t="s">
        <v>3</v>
      </c>
      <c r="G36" s="37" t="s">
        <v>21</v>
      </c>
      <c r="H36" s="37" t="s">
        <v>22</v>
      </c>
      <c r="I36" s="37" t="s">
        <v>23</v>
      </c>
      <c r="J36" s="36" t="s">
        <v>7</v>
      </c>
      <c r="K36" s="39" t="s">
        <v>60</v>
      </c>
      <c r="L36" s="40">
        <v>46107.683841990744</v>
      </c>
      <c r="M36" s="19" t="b">
        <v>0</v>
      </c>
      <c r="N36" s="9" t="s">
        <v>660</v>
      </c>
    </row>
    <row r="37" spans="1:14" ht="408.95" customHeight="1" x14ac:dyDescent="0.25">
      <c r="A37" s="29">
        <v>1</v>
      </c>
      <c r="B37" s="30" t="s">
        <v>55</v>
      </c>
      <c r="C37" s="31" t="s">
        <v>32</v>
      </c>
      <c r="D37" s="42" t="b">
        <v>0</v>
      </c>
      <c r="E37" s="30" t="s">
        <v>33</v>
      </c>
      <c r="F37" s="31" t="s">
        <v>25</v>
      </c>
      <c r="G37" s="31" t="s">
        <v>4</v>
      </c>
      <c r="H37" s="31" t="s">
        <v>5</v>
      </c>
      <c r="I37" s="31" t="s">
        <v>6</v>
      </c>
      <c r="J37" s="30" t="s">
        <v>7</v>
      </c>
      <c r="K37" s="33" t="s">
        <v>61</v>
      </c>
      <c r="L37" s="34">
        <v>46107.683944131946</v>
      </c>
      <c r="M37" s="17" t="b">
        <v>0</v>
      </c>
      <c r="N37" s="10" t="s">
        <v>660</v>
      </c>
    </row>
    <row r="38" spans="1:14" ht="408.95" customHeight="1" x14ac:dyDescent="0.25">
      <c r="A38" s="35">
        <v>1</v>
      </c>
      <c r="B38" s="36" t="s">
        <v>55</v>
      </c>
      <c r="C38" s="37" t="s">
        <v>32</v>
      </c>
      <c r="D38" s="41" t="b">
        <v>0</v>
      </c>
      <c r="E38" s="36" t="s">
        <v>33</v>
      </c>
      <c r="F38" s="37" t="s">
        <v>25</v>
      </c>
      <c r="G38" s="37" t="s">
        <v>9</v>
      </c>
      <c r="H38" s="37" t="s">
        <v>10</v>
      </c>
      <c r="I38" s="37" t="s">
        <v>11</v>
      </c>
      <c r="J38" s="36" t="s">
        <v>7</v>
      </c>
      <c r="K38" s="39" t="s">
        <v>62</v>
      </c>
      <c r="L38" s="40">
        <v>46107.684059143518</v>
      </c>
      <c r="M38" s="19" t="b">
        <v>0</v>
      </c>
      <c r="N38" s="9" t="s">
        <v>660</v>
      </c>
    </row>
    <row r="39" spans="1:14" ht="408.95" customHeight="1" x14ac:dyDescent="0.25">
      <c r="A39" s="29">
        <v>1</v>
      </c>
      <c r="B39" s="30" t="s">
        <v>55</v>
      </c>
      <c r="C39" s="31" t="s">
        <v>32</v>
      </c>
      <c r="D39" s="42" t="b">
        <v>0</v>
      </c>
      <c r="E39" s="30" t="s">
        <v>33</v>
      </c>
      <c r="F39" s="31" t="s">
        <v>25</v>
      </c>
      <c r="G39" s="31" t="s">
        <v>13</v>
      </c>
      <c r="H39" s="31" t="s">
        <v>14</v>
      </c>
      <c r="I39" s="31" t="s">
        <v>15</v>
      </c>
      <c r="J39" s="30" t="s">
        <v>7</v>
      </c>
      <c r="K39" s="33" t="s">
        <v>63</v>
      </c>
      <c r="L39" s="34">
        <v>46107.684278749999</v>
      </c>
      <c r="M39" s="17" t="b">
        <v>0</v>
      </c>
      <c r="N39" s="10" t="s">
        <v>660</v>
      </c>
    </row>
    <row r="40" spans="1:14" ht="408.95" customHeight="1" x14ac:dyDescent="0.25">
      <c r="A40" s="35">
        <v>1</v>
      </c>
      <c r="B40" s="36" t="s">
        <v>55</v>
      </c>
      <c r="C40" s="37" t="s">
        <v>32</v>
      </c>
      <c r="D40" s="41" t="b">
        <v>0</v>
      </c>
      <c r="E40" s="36" t="s">
        <v>33</v>
      </c>
      <c r="F40" s="37" t="s">
        <v>25</v>
      </c>
      <c r="G40" s="37" t="s">
        <v>17</v>
      </c>
      <c r="H40" s="37" t="s">
        <v>18</v>
      </c>
      <c r="I40" s="37" t="s">
        <v>19</v>
      </c>
      <c r="J40" s="36" t="s">
        <v>7</v>
      </c>
      <c r="K40" s="39" t="s">
        <v>64</v>
      </c>
      <c r="L40" s="40">
        <v>46107.684340173611</v>
      </c>
      <c r="M40" s="19" t="b">
        <v>0</v>
      </c>
      <c r="N40" s="9" t="s">
        <v>660</v>
      </c>
    </row>
    <row r="41" spans="1:14" ht="408.95" customHeight="1" x14ac:dyDescent="0.25">
      <c r="A41" s="29">
        <v>1</v>
      </c>
      <c r="B41" s="30" t="s">
        <v>55</v>
      </c>
      <c r="C41" s="31" t="s">
        <v>32</v>
      </c>
      <c r="D41" s="42" t="b">
        <v>0</v>
      </c>
      <c r="E41" s="30" t="s">
        <v>33</v>
      </c>
      <c r="F41" s="31" t="s">
        <v>25</v>
      </c>
      <c r="G41" s="31" t="s">
        <v>21</v>
      </c>
      <c r="H41" s="31" t="s">
        <v>22</v>
      </c>
      <c r="I41" s="31" t="s">
        <v>23</v>
      </c>
      <c r="J41" s="30" t="s">
        <v>7</v>
      </c>
      <c r="K41" s="33" t="s">
        <v>65</v>
      </c>
      <c r="L41" s="34">
        <v>46107.684468333333</v>
      </c>
      <c r="M41" s="17" t="b">
        <v>0</v>
      </c>
      <c r="N41" s="10" t="s">
        <v>660</v>
      </c>
    </row>
    <row r="42" spans="1:14" ht="408.95" customHeight="1" x14ac:dyDescent="0.25">
      <c r="A42" s="35">
        <v>1</v>
      </c>
      <c r="B42" s="36" t="s">
        <v>66</v>
      </c>
      <c r="C42" s="37" t="s">
        <v>67</v>
      </c>
      <c r="D42" s="38" t="b">
        <v>1</v>
      </c>
      <c r="E42" s="36" t="s">
        <v>68</v>
      </c>
      <c r="F42" s="37" t="s">
        <v>3</v>
      </c>
      <c r="G42" s="37" t="s">
        <v>4</v>
      </c>
      <c r="H42" s="37" t="s">
        <v>5</v>
      </c>
      <c r="I42" s="37" t="s">
        <v>6</v>
      </c>
      <c r="J42" s="36" t="s">
        <v>7</v>
      </c>
      <c r="K42" s="39" t="s">
        <v>69</v>
      </c>
      <c r="L42" s="40">
        <v>46107.684628854164</v>
      </c>
      <c r="M42" s="19" t="b">
        <v>0</v>
      </c>
      <c r="N42" s="11" t="s">
        <v>658</v>
      </c>
    </row>
    <row r="43" spans="1:14" ht="408.95" customHeight="1" x14ac:dyDescent="0.25">
      <c r="A43" s="29">
        <v>1</v>
      </c>
      <c r="B43" s="30" t="s">
        <v>66</v>
      </c>
      <c r="C43" s="31" t="s">
        <v>67</v>
      </c>
      <c r="D43" s="32" t="b">
        <v>1</v>
      </c>
      <c r="E43" s="30" t="s">
        <v>68</v>
      </c>
      <c r="F43" s="31" t="s">
        <v>3</v>
      </c>
      <c r="G43" s="31" t="s">
        <v>9</v>
      </c>
      <c r="H43" s="31" t="s">
        <v>10</v>
      </c>
      <c r="I43" s="31" t="s">
        <v>11</v>
      </c>
      <c r="J43" s="30" t="s">
        <v>7</v>
      </c>
      <c r="K43" s="33" t="s">
        <v>70</v>
      </c>
      <c r="L43" s="34">
        <v>46107.684876736108</v>
      </c>
      <c r="M43" s="16" t="b">
        <v>1</v>
      </c>
      <c r="N43" s="8" t="s">
        <v>659</v>
      </c>
    </row>
    <row r="44" spans="1:14" ht="408.95" customHeight="1" x14ac:dyDescent="0.25">
      <c r="A44" s="35">
        <v>1</v>
      </c>
      <c r="B44" s="36" t="s">
        <v>66</v>
      </c>
      <c r="C44" s="37" t="s">
        <v>67</v>
      </c>
      <c r="D44" s="38" t="b">
        <v>1</v>
      </c>
      <c r="E44" s="36" t="s">
        <v>68</v>
      </c>
      <c r="F44" s="37" t="s">
        <v>3</v>
      </c>
      <c r="G44" s="37" t="s">
        <v>13</v>
      </c>
      <c r="H44" s="37" t="s">
        <v>14</v>
      </c>
      <c r="I44" s="37" t="s">
        <v>15</v>
      </c>
      <c r="J44" s="36" t="s">
        <v>7</v>
      </c>
      <c r="K44" s="39" t="s">
        <v>71</v>
      </c>
      <c r="L44" s="40">
        <v>46107.685205254631</v>
      </c>
      <c r="M44" s="18" t="b">
        <v>1</v>
      </c>
      <c r="N44" s="7" t="s">
        <v>659</v>
      </c>
    </row>
    <row r="45" spans="1:14" ht="408.95" customHeight="1" x14ac:dyDescent="0.25">
      <c r="A45" s="29">
        <v>1</v>
      </c>
      <c r="B45" s="30" t="s">
        <v>66</v>
      </c>
      <c r="C45" s="31" t="s">
        <v>67</v>
      </c>
      <c r="D45" s="32" t="b">
        <v>1</v>
      </c>
      <c r="E45" s="30" t="s">
        <v>68</v>
      </c>
      <c r="F45" s="31" t="s">
        <v>3</v>
      </c>
      <c r="G45" s="31" t="s">
        <v>17</v>
      </c>
      <c r="H45" s="31" t="s">
        <v>18</v>
      </c>
      <c r="I45" s="31" t="s">
        <v>19</v>
      </c>
      <c r="J45" s="30" t="s">
        <v>7</v>
      </c>
      <c r="K45" s="33" t="s">
        <v>72</v>
      </c>
      <c r="L45" s="34">
        <v>46107.685328287036</v>
      </c>
      <c r="M45" s="16" t="b">
        <v>1</v>
      </c>
      <c r="N45" s="8" t="s">
        <v>659</v>
      </c>
    </row>
    <row r="46" spans="1:14" ht="408.95" customHeight="1" x14ac:dyDescent="0.25">
      <c r="A46" s="35">
        <v>1</v>
      </c>
      <c r="B46" s="36" t="s">
        <v>66</v>
      </c>
      <c r="C46" s="37" t="s">
        <v>67</v>
      </c>
      <c r="D46" s="38" t="b">
        <v>1</v>
      </c>
      <c r="E46" s="36" t="s">
        <v>68</v>
      </c>
      <c r="F46" s="37" t="s">
        <v>3</v>
      </c>
      <c r="G46" s="37" t="s">
        <v>21</v>
      </c>
      <c r="H46" s="37" t="s">
        <v>22</v>
      </c>
      <c r="I46" s="37" t="s">
        <v>23</v>
      </c>
      <c r="J46" s="36" t="s">
        <v>7</v>
      </c>
      <c r="K46" s="39" t="s">
        <v>73</v>
      </c>
      <c r="L46" s="40">
        <v>46107.685510057869</v>
      </c>
      <c r="M46" s="18" t="b">
        <v>1</v>
      </c>
      <c r="N46" s="7" t="s">
        <v>659</v>
      </c>
    </row>
    <row r="47" spans="1:14" ht="408.95" customHeight="1" x14ac:dyDescent="0.25">
      <c r="A47" s="29">
        <v>1</v>
      </c>
      <c r="B47" s="30" t="s">
        <v>66</v>
      </c>
      <c r="C47" s="31" t="s">
        <v>67</v>
      </c>
      <c r="D47" s="32" t="b">
        <v>1</v>
      </c>
      <c r="E47" s="30" t="s">
        <v>68</v>
      </c>
      <c r="F47" s="31" t="s">
        <v>25</v>
      </c>
      <c r="G47" s="31" t="s">
        <v>4</v>
      </c>
      <c r="H47" s="31" t="s">
        <v>5</v>
      </c>
      <c r="I47" s="31" t="s">
        <v>6</v>
      </c>
      <c r="J47" s="30" t="s">
        <v>7</v>
      </c>
      <c r="K47" s="33" t="s">
        <v>74</v>
      </c>
      <c r="L47" s="34">
        <v>46107.68564826389</v>
      </c>
      <c r="M47" s="16" t="b">
        <v>1</v>
      </c>
      <c r="N47" s="8" t="s">
        <v>659</v>
      </c>
    </row>
    <row r="48" spans="1:14" ht="408.95" customHeight="1" x14ac:dyDescent="0.25">
      <c r="A48" s="35">
        <v>1</v>
      </c>
      <c r="B48" s="36" t="s">
        <v>66</v>
      </c>
      <c r="C48" s="37" t="s">
        <v>67</v>
      </c>
      <c r="D48" s="38" t="b">
        <v>1</v>
      </c>
      <c r="E48" s="36" t="s">
        <v>68</v>
      </c>
      <c r="F48" s="37" t="s">
        <v>25</v>
      </c>
      <c r="G48" s="37" t="s">
        <v>9</v>
      </c>
      <c r="H48" s="37" t="s">
        <v>10</v>
      </c>
      <c r="I48" s="37" t="s">
        <v>11</v>
      </c>
      <c r="J48" s="36" t="s">
        <v>7</v>
      </c>
      <c r="K48" s="39" t="s">
        <v>75</v>
      </c>
      <c r="L48" s="40">
        <v>46107.685760752312</v>
      </c>
      <c r="M48" s="18" t="b">
        <v>1</v>
      </c>
      <c r="N48" s="7" t="s">
        <v>659</v>
      </c>
    </row>
    <row r="49" spans="1:14" ht="408.95" customHeight="1" x14ac:dyDescent="0.25">
      <c r="A49" s="29">
        <v>1</v>
      </c>
      <c r="B49" s="30" t="s">
        <v>66</v>
      </c>
      <c r="C49" s="31" t="s">
        <v>67</v>
      </c>
      <c r="D49" s="32" t="b">
        <v>1</v>
      </c>
      <c r="E49" s="30" t="s">
        <v>68</v>
      </c>
      <c r="F49" s="31" t="s">
        <v>25</v>
      </c>
      <c r="G49" s="31" t="s">
        <v>13</v>
      </c>
      <c r="H49" s="31" t="s">
        <v>14</v>
      </c>
      <c r="I49" s="31" t="s">
        <v>15</v>
      </c>
      <c r="J49" s="30" t="s">
        <v>7</v>
      </c>
      <c r="K49" s="33" t="s">
        <v>76</v>
      </c>
      <c r="L49" s="34">
        <v>46107.685957083333</v>
      </c>
      <c r="M49" s="16" t="b">
        <v>1</v>
      </c>
      <c r="N49" s="8" t="s">
        <v>659</v>
      </c>
    </row>
    <row r="50" spans="1:14" ht="408.95" customHeight="1" x14ac:dyDescent="0.25">
      <c r="A50" s="35">
        <v>1</v>
      </c>
      <c r="B50" s="36" t="s">
        <v>66</v>
      </c>
      <c r="C50" s="37" t="s">
        <v>67</v>
      </c>
      <c r="D50" s="38" t="b">
        <v>1</v>
      </c>
      <c r="E50" s="36" t="s">
        <v>68</v>
      </c>
      <c r="F50" s="37" t="s">
        <v>25</v>
      </c>
      <c r="G50" s="37" t="s">
        <v>17</v>
      </c>
      <c r="H50" s="37" t="s">
        <v>18</v>
      </c>
      <c r="I50" s="37" t="s">
        <v>19</v>
      </c>
      <c r="J50" s="36" t="s">
        <v>7</v>
      </c>
      <c r="K50" s="39" t="s">
        <v>77</v>
      </c>
      <c r="L50" s="40">
        <v>46107.686023032409</v>
      </c>
      <c r="M50" s="18" t="b">
        <v>1</v>
      </c>
      <c r="N50" s="7" t="s">
        <v>659</v>
      </c>
    </row>
    <row r="51" spans="1:14" ht="408.95" customHeight="1" x14ac:dyDescent="0.25">
      <c r="A51" s="29">
        <v>1</v>
      </c>
      <c r="B51" s="30" t="s">
        <v>66</v>
      </c>
      <c r="C51" s="31" t="s">
        <v>67</v>
      </c>
      <c r="D51" s="32" t="b">
        <v>1</v>
      </c>
      <c r="E51" s="30" t="s">
        <v>68</v>
      </c>
      <c r="F51" s="31" t="s">
        <v>25</v>
      </c>
      <c r="G51" s="31" t="s">
        <v>21</v>
      </c>
      <c r="H51" s="31" t="s">
        <v>22</v>
      </c>
      <c r="I51" s="31" t="s">
        <v>23</v>
      </c>
      <c r="J51" s="30" t="s">
        <v>7</v>
      </c>
      <c r="K51" s="33" t="s">
        <v>78</v>
      </c>
      <c r="L51" s="34">
        <v>46107.686163240738</v>
      </c>
      <c r="M51" s="16" t="b">
        <v>1</v>
      </c>
      <c r="N51" s="8" t="s">
        <v>659</v>
      </c>
    </row>
    <row r="52" spans="1:14" ht="408.95" customHeight="1" x14ac:dyDescent="0.25">
      <c r="A52" s="35">
        <v>1</v>
      </c>
      <c r="B52" s="36" t="s">
        <v>79</v>
      </c>
      <c r="C52" s="37" t="s">
        <v>80</v>
      </c>
      <c r="D52" s="41" t="b">
        <v>0</v>
      </c>
      <c r="E52" s="36" t="s">
        <v>33</v>
      </c>
      <c r="F52" s="37" t="s">
        <v>3</v>
      </c>
      <c r="G52" s="37" t="s">
        <v>4</v>
      </c>
      <c r="H52" s="37" t="s">
        <v>5</v>
      </c>
      <c r="I52" s="37" t="s">
        <v>6</v>
      </c>
      <c r="J52" s="36" t="s">
        <v>7</v>
      </c>
      <c r="K52" s="39" t="s">
        <v>81</v>
      </c>
      <c r="L52" s="40">
        <v>46107.686325856484</v>
      </c>
      <c r="M52" s="19" t="b">
        <v>0</v>
      </c>
      <c r="N52" s="9" t="s">
        <v>660</v>
      </c>
    </row>
    <row r="53" spans="1:14" ht="408.95" customHeight="1" x14ac:dyDescent="0.25">
      <c r="A53" s="29">
        <v>1</v>
      </c>
      <c r="B53" s="30" t="s">
        <v>79</v>
      </c>
      <c r="C53" s="31" t="s">
        <v>80</v>
      </c>
      <c r="D53" s="42" t="b">
        <v>0</v>
      </c>
      <c r="E53" s="30" t="s">
        <v>33</v>
      </c>
      <c r="F53" s="31" t="s">
        <v>3</v>
      </c>
      <c r="G53" s="31" t="s">
        <v>9</v>
      </c>
      <c r="H53" s="31" t="s">
        <v>10</v>
      </c>
      <c r="I53" s="31" t="s">
        <v>11</v>
      </c>
      <c r="J53" s="30" t="s">
        <v>7</v>
      </c>
      <c r="K53" s="33" t="s">
        <v>82</v>
      </c>
      <c r="L53" s="34">
        <v>46107.686544467593</v>
      </c>
      <c r="M53" s="17" t="b">
        <v>0</v>
      </c>
      <c r="N53" s="10" t="s">
        <v>660</v>
      </c>
    </row>
    <row r="54" spans="1:14" ht="408.95" customHeight="1" x14ac:dyDescent="0.25">
      <c r="A54" s="35">
        <v>1</v>
      </c>
      <c r="B54" s="36" t="s">
        <v>79</v>
      </c>
      <c r="C54" s="37" t="s">
        <v>80</v>
      </c>
      <c r="D54" s="41" t="b">
        <v>0</v>
      </c>
      <c r="E54" s="36" t="s">
        <v>33</v>
      </c>
      <c r="F54" s="37" t="s">
        <v>3</v>
      </c>
      <c r="G54" s="37" t="s">
        <v>13</v>
      </c>
      <c r="H54" s="37" t="s">
        <v>14</v>
      </c>
      <c r="I54" s="37" t="s">
        <v>15</v>
      </c>
      <c r="J54" s="36" t="s">
        <v>7</v>
      </c>
      <c r="K54" s="39" t="s">
        <v>83</v>
      </c>
      <c r="L54" s="40">
        <v>46107.686880081019</v>
      </c>
      <c r="M54" s="19" t="b">
        <v>0</v>
      </c>
      <c r="N54" s="9" t="s">
        <v>660</v>
      </c>
    </row>
    <row r="55" spans="1:14" ht="408.95" customHeight="1" x14ac:dyDescent="0.25">
      <c r="A55" s="29">
        <v>1</v>
      </c>
      <c r="B55" s="30" t="s">
        <v>79</v>
      </c>
      <c r="C55" s="31" t="s">
        <v>80</v>
      </c>
      <c r="D55" s="42" t="b">
        <v>0</v>
      </c>
      <c r="E55" s="30" t="s">
        <v>33</v>
      </c>
      <c r="F55" s="31" t="s">
        <v>3</v>
      </c>
      <c r="G55" s="31" t="s">
        <v>17</v>
      </c>
      <c r="H55" s="31" t="s">
        <v>18</v>
      </c>
      <c r="I55" s="31" t="s">
        <v>19</v>
      </c>
      <c r="J55" s="30" t="s">
        <v>7</v>
      </c>
      <c r="K55" s="33" t="s">
        <v>84</v>
      </c>
      <c r="L55" s="34">
        <v>46107.686980046296</v>
      </c>
      <c r="M55" s="16" t="b">
        <v>1</v>
      </c>
      <c r="N55" s="12" t="s">
        <v>661</v>
      </c>
    </row>
    <row r="56" spans="1:14" ht="408.95" customHeight="1" x14ac:dyDescent="0.25">
      <c r="A56" s="35">
        <v>1</v>
      </c>
      <c r="B56" s="36" t="s">
        <v>79</v>
      </c>
      <c r="C56" s="37" t="s">
        <v>80</v>
      </c>
      <c r="D56" s="41" t="b">
        <v>0</v>
      </c>
      <c r="E56" s="36" t="s">
        <v>33</v>
      </c>
      <c r="F56" s="37" t="s">
        <v>3</v>
      </c>
      <c r="G56" s="37" t="s">
        <v>21</v>
      </c>
      <c r="H56" s="37" t="s">
        <v>22</v>
      </c>
      <c r="I56" s="37" t="s">
        <v>23</v>
      </c>
      <c r="J56" s="36" t="s">
        <v>7</v>
      </c>
      <c r="K56" s="39" t="s">
        <v>85</v>
      </c>
      <c r="L56" s="40">
        <v>46107.687306284723</v>
      </c>
      <c r="M56" s="19" t="b">
        <v>0</v>
      </c>
      <c r="N56" s="9" t="s">
        <v>660</v>
      </c>
    </row>
    <row r="57" spans="1:14" ht="408.95" customHeight="1" x14ac:dyDescent="0.25">
      <c r="A57" s="29">
        <v>1</v>
      </c>
      <c r="B57" s="30" t="s">
        <v>79</v>
      </c>
      <c r="C57" s="31" t="s">
        <v>80</v>
      </c>
      <c r="D57" s="42" t="b">
        <v>0</v>
      </c>
      <c r="E57" s="30" t="s">
        <v>33</v>
      </c>
      <c r="F57" s="31" t="s">
        <v>25</v>
      </c>
      <c r="G57" s="31" t="s">
        <v>4</v>
      </c>
      <c r="H57" s="31" t="s">
        <v>5</v>
      </c>
      <c r="I57" s="31" t="s">
        <v>6</v>
      </c>
      <c r="J57" s="30" t="s">
        <v>7</v>
      </c>
      <c r="K57" s="33" t="s">
        <v>86</v>
      </c>
      <c r="L57" s="34">
        <v>46107.687408680555</v>
      </c>
      <c r="M57" s="17" t="b">
        <v>0</v>
      </c>
      <c r="N57" s="10" t="s">
        <v>660</v>
      </c>
    </row>
    <row r="58" spans="1:14" ht="408.95" customHeight="1" x14ac:dyDescent="0.25">
      <c r="A58" s="35">
        <v>1</v>
      </c>
      <c r="B58" s="36" t="s">
        <v>79</v>
      </c>
      <c r="C58" s="37" t="s">
        <v>80</v>
      </c>
      <c r="D58" s="41" t="b">
        <v>0</v>
      </c>
      <c r="E58" s="36" t="s">
        <v>33</v>
      </c>
      <c r="F58" s="37" t="s">
        <v>25</v>
      </c>
      <c r="G58" s="37" t="s">
        <v>9</v>
      </c>
      <c r="H58" s="37" t="s">
        <v>10</v>
      </c>
      <c r="I58" s="37" t="s">
        <v>11</v>
      </c>
      <c r="J58" s="36" t="s">
        <v>7</v>
      </c>
      <c r="K58" s="39" t="s">
        <v>87</v>
      </c>
      <c r="L58" s="40">
        <v>46107.687515868056</v>
      </c>
      <c r="M58" s="19" t="b">
        <v>0</v>
      </c>
      <c r="N58" s="9" t="s">
        <v>660</v>
      </c>
    </row>
    <row r="59" spans="1:14" ht="408.95" customHeight="1" x14ac:dyDescent="0.25">
      <c r="A59" s="29">
        <v>1</v>
      </c>
      <c r="B59" s="30" t="s">
        <v>79</v>
      </c>
      <c r="C59" s="31" t="s">
        <v>80</v>
      </c>
      <c r="D59" s="42" t="b">
        <v>0</v>
      </c>
      <c r="E59" s="30" t="s">
        <v>33</v>
      </c>
      <c r="F59" s="31" t="s">
        <v>25</v>
      </c>
      <c r="G59" s="31" t="s">
        <v>13</v>
      </c>
      <c r="H59" s="31" t="s">
        <v>14</v>
      </c>
      <c r="I59" s="31" t="s">
        <v>15</v>
      </c>
      <c r="J59" s="30" t="s">
        <v>7</v>
      </c>
      <c r="K59" s="33" t="s">
        <v>88</v>
      </c>
      <c r="L59" s="34">
        <v>46107.687718020832</v>
      </c>
      <c r="M59" s="17" t="b">
        <v>0</v>
      </c>
      <c r="N59" s="10" t="s">
        <v>660</v>
      </c>
    </row>
    <row r="60" spans="1:14" ht="408.95" customHeight="1" x14ac:dyDescent="0.25">
      <c r="A60" s="35">
        <v>1</v>
      </c>
      <c r="B60" s="36" t="s">
        <v>79</v>
      </c>
      <c r="C60" s="37" t="s">
        <v>80</v>
      </c>
      <c r="D60" s="41" t="b">
        <v>0</v>
      </c>
      <c r="E60" s="36" t="s">
        <v>33</v>
      </c>
      <c r="F60" s="37" t="s">
        <v>25</v>
      </c>
      <c r="G60" s="37" t="s">
        <v>17</v>
      </c>
      <c r="H60" s="37" t="s">
        <v>18</v>
      </c>
      <c r="I60" s="37" t="s">
        <v>19</v>
      </c>
      <c r="J60" s="36" t="s">
        <v>7</v>
      </c>
      <c r="K60" s="39" t="s">
        <v>89</v>
      </c>
      <c r="L60" s="40">
        <v>46107.687783136571</v>
      </c>
      <c r="M60" s="19" t="b">
        <v>0</v>
      </c>
      <c r="N60" s="9" t="s">
        <v>660</v>
      </c>
    </row>
    <row r="61" spans="1:14" ht="408.95" customHeight="1" x14ac:dyDescent="0.25">
      <c r="A61" s="29">
        <v>1</v>
      </c>
      <c r="B61" s="30" t="s">
        <v>79</v>
      </c>
      <c r="C61" s="31" t="s">
        <v>80</v>
      </c>
      <c r="D61" s="42" t="b">
        <v>0</v>
      </c>
      <c r="E61" s="30" t="s">
        <v>33</v>
      </c>
      <c r="F61" s="31" t="s">
        <v>25</v>
      </c>
      <c r="G61" s="31" t="s">
        <v>21</v>
      </c>
      <c r="H61" s="31" t="s">
        <v>22</v>
      </c>
      <c r="I61" s="31" t="s">
        <v>23</v>
      </c>
      <c r="J61" s="30" t="s">
        <v>7</v>
      </c>
      <c r="K61" s="33" t="s">
        <v>90</v>
      </c>
      <c r="L61" s="34">
        <v>46107.68789483796</v>
      </c>
      <c r="M61" s="17" t="b">
        <v>0</v>
      </c>
      <c r="N61" s="10" t="s">
        <v>660</v>
      </c>
    </row>
    <row r="62" spans="1:14" ht="408.95" customHeight="1" x14ac:dyDescent="0.25">
      <c r="A62" s="35">
        <v>1</v>
      </c>
      <c r="B62" s="36" t="s">
        <v>91</v>
      </c>
      <c r="C62" s="37" t="s">
        <v>92</v>
      </c>
      <c r="D62" s="38" t="b">
        <v>1</v>
      </c>
      <c r="E62" s="36" t="s">
        <v>68</v>
      </c>
      <c r="F62" s="37" t="s">
        <v>3</v>
      </c>
      <c r="G62" s="37" t="s">
        <v>4</v>
      </c>
      <c r="H62" s="37" t="s">
        <v>5</v>
      </c>
      <c r="I62" s="37" t="s">
        <v>6</v>
      </c>
      <c r="J62" s="36" t="s">
        <v>7</v>
      </c>
      <c r="K62" s="39" t="s">
        <v>93</v>
      </c>
      <c r="L62" s="40">
        <v>46107.688043449074</v>
      </c>
      <c r="M62" s="19" t="b">
        <v>0</v>
      </c>
      <c r="N62" s="11" t="s">
        <v>658</v>
      </c>
    </row>
    <row r="63" spans="1:14" ht="408.95" customHeight="1" x14ac:dyDescent="0.25">
      <c r="A63" s="29">
        <v>1</v>
      </c>
      <c r="B63" s="30" t="s">
        <v>91</v>
      </c>
      <c r="C63" s="31" t="s">
        <v>92</v>
      </c>
      <c r="D63" s="32" t="b">
        <v>1</v>
      </c>
      <c r="E63" s="30" t="s">
        <v>68</v>
      </c>
      <c r="F63" s="31" t="s">
        <v>3</v>
      </c>
      <c r="G63" s="31" t="s">
        <v>9</v>
      </c>
      <c r="H63" s="31" t="s">
        <v>10</v>
      </c>
      <c r="I63" s="31" t="s">
        <v>11</v>
      </c>
      <c r="J63" s="30" t="s">
        <v>7</v>
      </c>
      <c r="K63" s="33" t="s">
        <v>94</v>
      </c>
      <c r="L63" s="34">
        <v>46107.68833798611</v>
      </c>
      <c r="M63" s="16" t="b">
        <v>1</v>
      </c>
      <c r="N63" s="8" t="s">
        <v>659</v>
      </c>
    </row>
    <row r="64" spans="1:14" ht="408.95" customHeight="1" x14ac:dyDescent="0.25">
      <c r="A64" s="35">
        <v>1</v>
      </c>
      <c r="B64" s="36" t="s">
        <v>91</v>
      </c>
      <c r="C64" s="37" t="s">
        <v>92</v>
      </c>
      <c r="D64" s="38" t="b">
        <v>1</v>
      </c>
      <c r="E64" s="36" t="s">
        <v>68</v>
      </c>
      <c r="F64" s="37" t="s">
        <v>3</v>
      </c>
      <c r="G64" s="37" t="s">
        <v>13</v>
      </c>
      <c r="H64" s="37" t="s">
        <v>14</v>
      </c>
      <c r="I64" s="37" t="s">
        <v>15</v>
      </c>
      <c r="J64" s="36" t="s">
        <v>7</v>
      </c>
      <c r="K64" s="39" t="s">
        <v>95</v>
      </c>
      <c r="L64" s="40">
        <v>46107.688694259261</v>
      </c>
      <c r="M64" s="18" t="b">
        <v>1</v>
      </c>
      <c r="N64" s="7" t="s">
        <v>659</v>
      </c>
    </row>
    <row r="65" spans="1:14" ht="408.95" customHeight="1" x14ac:dyDescent="0.25">
      <c r="A65" s="29">
        <v>1</v>
      </c>
      <c r="B65" s="30" t="s">
        <v>91</v>
      </c>
      <c r="C65" s="31" t="s">
        <v>92</v>
      </c>
      <c r="D65" s="32" t="b">
        <v>1</v>
      </c>
      <c r="E65" s="30" t="s">
        <v>68</v>
      </c>
      <c r="F65" s="31" t="s">
        <v>3</v>
      </c>
      <c r="G65" s="31" t="s">
        <v>17</v>
      </c>
      <c r="H65" s="31" t="s">
        <v>18</v>
      </c>
      <c r="I65" s="31" t="s">
        <v>19</v>
      </c>
      <c r="J65" s="30" t="s">
        <v>7</v>
      </c>
      <c r="K65" s="33" t="s">
        <v>96</v>
      </c>
      <c r="L65" s="34">
        <v>46107.688811215281</v>
      </c>
      <c r="M65" s="16" t="b">
        <v>1</v>
      </c>
      <c r="N65" s="8" t="s">
        <v>659</v>
      </c>
    </row>
    <row r="66" spans="1:14" ht="408.95" customHeight="1" x14ac:dyDescent="0.25">
      <c r="A66" s="35">
        <v>1</v>
      </c>
      <c r="B66" s="36" t="s">
        <v>91</v>
      </c>
      <c r="C66" s="37" t="s">
        <v>92</v>
      </c>
      <c r="D66" s="38" t="b">
        <v>1</v>
      </c>
      <c r="E66" s="36" t="s">
        <v>68</v>
      </c>
      <c r="F66" s="37" t="s">
        <v>3</v>
      </c>
      <c r="G66" s="37" t="s">
        <v>21</v>
      </c>
      <c r="H66" s="37" t="s">
        <v>22</v>
      </c>
      <c r="I66" s="37" t="s">
        <v>23</v>
      </c>
      <c r="J66" s="36" t="s">
        <v>7</v>
      </c>
      <c r="K66" s="39" t="s">
        <v>97</v>
      </c>
      <c r="L66" s="40">
        <v>46107.689093391207</v>
      </c>
      <c r="M66" s="18" t="b">
        <v>1</v>
      </c>
      <c r="N66" s="7" t="s">
        <v>659</v>
      </c>
    </row>
    <row r="67" spans="1:14" ht="408.95" customHeight="1" x14ac:dyDescent="0.25">
      <c r="A67" s="29">
        <v>1</v>
      </c>
      <c r="B67" s="30" t="s">
        <v>91</v>
      </c>
      <c r="C67" s="31" t="s">
        <v>92</v>
      </c>
      <c r="D67" s="32" t="b">
        <v>1</v>
      </c>
      <c r="E67" s="30" t="s">
        <v>68</v>
      </c>
      <c r="F67" s="31" t="s">
        <v>25</v>
      </c>
      <c r="G67" s="31" t="s">
        <v>4</v>
      </c>
      <c r="H67" s="31" t="s">
        <v>5</v>
      </c>
      <c r="I67" s="31" t="s">
        <v>6</v>
      </c>
      <c r="J67" s="30" t="s">
        <v>7</v>
      </c>
      <c r="K67" s="33" t="s">
        <v>98</v>
      </c>
      <c r="L67" s="34">
        <v>46107.689210694443</v>
      </c>
      <c r="M67" s="16" t="b">
        <v>1</v>
      </c>
      <c r="N67" s="8" t="s">
        <v>659</v>
      </c>
    </row>
    <row r="68" spans="1:14" ht="408.95" customHeight="1" x14ac:dyDescent="0.25">
      <c r="A68" s="35">
        <v>1</v>
      </c>
      <c r="B68" s="36" t="s">
        <v>91</v>
      </c>
      <c r="C68" s="37" t="s">
        <v>92</v>
      </c>
      <c r="D68" s="38" t="b">
        <v>1</v>
      </c>
      <c r="E68" s="36" t="s">
        <v>68</v>
      </c>
      <c r="F68" s="37" t="s">
        <v>25</v>
      </c>
      <c r="G68" s="37" t="s">
        <v>9</v>
      </c>
      <c r="H68" s="37" t="s">
        <v>10</v>
      </c>
      <c r="I68" s="37" t="s">
        <v>11</v>
      </c>
      <c r="J68" s="36" t="s">
        <v>7</v>
      </c>
      <c r="K68" s="39" t="s">
        <v>99</v>
      </c>
      <c r="L68" s="40">
        <v>46107.689354027774</v>
      </c>
      <c r="M68" s="18" t="b">
        <v>1</v>
      </c>
      <c r="N68" s="7" t="s">
        <v>659</v>
      </c>
    </row>
    <row r="69" spans="1:14" ht="408.95" customHeight="1" x14ac:dyDescent="0.25">
      <c r="A69" s="29">
        <v>1</v>
      </c>
      <c r="B69" s="30" t="s">
        <v>91</v>
      </c>
      <c r="C69" s="31" t="s">
        <v>92</v>
      </c>
      <c r="D69" s="32" t="b">
        <v>1</v>
      </c>
      <c r="E69" s="30" t="s">
        <v>68</v>
      </c>
      <c r="F69" s="31" t="s">
        <v>25</v>
      </c>
      <c r="G69" s="31" t="s">
        <v>13</v>
      </c>
      <c r="H69" s="31" t="s">
        <v>14</v>
      </c>
      <c r="I69" s="31" t="s">
        <v>15</v>
      </c>
      <c r="J69" s="30" t="s">
        <v>7</v>
      </c>
      <c r="K69" s="33" t="s">
        <v>100</v>
      </c>
      <c r="L69" s="34">
        <v>46107.689566134257</v>
      </c>
      <c r="M69" s="16" t="b">
        <v>1</v>
      </c>
      <c r="N69" s="8" t="s">
        <v>659</v>
      </c>
    </row>
    <row r="70" spans="1:14" ht="408.95" customHeight="1" x14ac:dyDescent="0.25">
      <c r="A70" s="35">
        <v>1</v>
      </c>
      <c r="B70" s="36" t="s">
        <v>91</v>
      </c>
      <c r="C70" s="37" t="s">
        <v>92</v>
      </c>
      <c r="D70" s="38" t="b">
        <v>1</v>
      </c>
      <c r="E70" s="36" t="s">
        <v>68</v>
      </c>
      <c r="F70" s="37" t="s">
        <v>25</v>
      </c>
      <c r="G70" s="37" t="s">
        <v>17</v>
      </c>
      <c r="H70" s="37" t="s">
        <v>18</v>
      </c>
      <c r="I70" s="37" t="s">
        <v>19</v>
      </c>
      <c r="J70" s="36" t="s">
        <v>7</v>
      </c>
      <c r="K70" s="39" t="s">
        <v>101</v>
      </c>
      <c r="L70" s="40">
        <v>46107.689643495367</v>
      </c>
      <c r="M70" s="18" t="b">
        <v>1</v>
      </c>
      <c r="N70" s="7" t="s">
        <v>659</v>
      </c>
    </row>
    <row r="71" spans="1:14" ht="408.95" customHeight="1" x14ac:dyDescent="0.25">
      <c r="A71" s="29">
        <v>1</v>
      </c>
      <c r="B71" s="30" t="s">
        <v>91</v>
      </c>
      <c r="C71" s="31" t="s">
        <v>92</v>
      </c>
      <c r="D71" s="32" t="b">
        <v>1</v>
      </c>
      <c r="E71" s="30" t="s">
        <v>68</v>
      </c>
      <c r="F71" s="31" t="s">
        <v>25</v>
      </c>
      <c r="G71" s="31" t="s">
        <v>21</v>
      </c>
      <c r="H71" s="31" t="s">
        <v>22</v>
      </c>
      <c r="I71" s="31" t="s">
        <v>23</v>
      </c>
      <c r="J71" s="30" t="s">
        <v>7</v>
      </c>
      <c r="K71" s="33" t="s">
        <v>102</v>
      </c>
      <c r="L71" s="34">
        <v>46107.689829895833</v>
      </c>
      <c r="M71" s="16" t="b">
        <v>1</v>
      </c>
      <c r="N71" s="8" t="s">
        <v>659</v>
      </c>
    </row>
    <row r="72" spans="1:14" ht="408.95" customHeight="1" x14ac:dyDescent="0.25">
      <c r="A72" s="35">
        <v>1</v>
      </c>
      <c r="B72" s="36" t="s">
        <v>103</v>
      </c>
      <c r="C72" s="37" t="s">
        <v>104</v>
      </c>
      <c r="D72" s="41" t="b">
        <v>0</v>
      </c>
      <c r="E72" s="36" t="s">
        <v>33</v>
      </c>
      <c r="F72" s="37" t="s">
        <v>3</v>
      </c>
      <c r="G72" s="37" t="s">
        <v>4</v>
      </c>
      <c r="H72" s="37" t="s">
        <v>5</v>
      </c>
      <c r="I72" s="37" t="s">
        <v>6</v>
      </c>
      <c r="J72" s="36" t="s">
        <v>7</v>
      </c>
      <c r="K72" s="39" t="s">
        <v>105</v>
      </c>
      <c r="L72" s="40">
        <v>46107.689976574075</v>
      </c>
      <c r="M72" s="19" t="b">
        <v>0</v>
      </c>
      <c r="N72" s="9" t="s">
        <v>660</v>
      </c>
    </row>
    <row r="73" spans="1:14" ht="408.95" customHeight="1" x14ac:dyDescent="0.25">
      <c r="A73" s="29">
        <v>1</v>
      </c>
      <c r="B73" s="30" t="s">
        <v>103</v>
      </c>
      <c r="C73" s="31" t="s">
        <v>104</v>
      </c>
      <c r="D73" s="42" t="b">
        <v>0</v>
      </c>
      <c r="E73" s="30" t="s">
        <v>33</v>
      </c>
      <c r="F73" s="31" t="s">
        <v>3</v>
      </c>
      <c r="G73" s="31" t="s">
        <v>9</v>
      </c>
      <c r="H73" s="31" t="s">
        <v>10</v>
      </c>
      <c r="I73" s="31" t="s">
        <v>11</v>
      </c>
      <c r="J73" s="30" t="s">
        <v>7</v>
      </c>
      <c r="K73" s="33" t="s">
        <v>106</v>
      </c>
      <c r="L73" s="34">
        <v>46107.690195787036</v>
      </c>
      <c r="M73" s="17" t="b">
        <v>0</v>
      </c>
      <c r="N73" s="10" t="s">
        <v>660</v>
      </c>
    </row>
    <row r="74" spans="1:14" ht="408.95" customHeight="1" x14ac:dyDescent="0.25">
      <c r="A74" s="35">
        <v>1</v>
      </c>
      <c r="B74" s="36" t="s">
        <v>103</v>
      </c>
      <c r="C74" s="37" t="s">
        <v>104</v>
      </c>
      <c r="D74" s="41" t="b">
        <v>0</v>
      </c>
      <c r="E74" s="36" t="s">
        <v>33</v>
      </c>
      <c r="F74" s="37" t="s">
        <v>3</v>
      </c>
      <c r="G74" s="37" t="s">
        <v>13</v>
      </c>
      <c r="H74" s="37" t="s">
        <v>14</v>
      </c>
      <c r="I74" s="37" t="s">
        <v>15</v>
      </c>
      <c r="J74" s="36" t="s">
        <v>7</v>
      </c>
      <c r="K74" s="39" t="s">
        <v>107</v>
      </c>
      <c r="L74" s="40">
        <v>46107.690521192133</v>
      </c>
      <c r="M74" s="19" t="b">
        <v>0</v>
      </c>
      <c r="N74" s="9" t="s">
        <v>660</v>
      </c>
    </row>
    <row r="75" spans="1:14" ht="408.95" customHeight="1" x14ac:dyDescent="0.25">
      <c r="A75" s="29">
        <v>1</v>
      </c>
      <c r="B75" s="30" t="s">
        <v>103</v>
      </c>
      <c r="C75" s="31" t="s">
        <v>104</v>
      </c>
      <c r="D75" s="42" t="b">
        <v>0</v>
      </c>
      <c r="E75" s="30" t="s">
        <v>33</v>
      </c>
      <c r="F75" s="31" t="s">
        <v>3</v>
      </c>
      <c r="G75" s="31" t="s">
        <v>17</v>
      </c>
      <c r="H75" s="31" t="s">
        <v>18</v>
      </c>
      <c r="I75" s="31" t="s">
        <v>19</v>
      </c>
      <c r="J75" s="30" t="s">
        <v>7</v>
      </c>
      <c r="K75" s="33" t="s">
        <v>108</v>
      </c>
      <c r="L75" s="34">
        <v>46107.69063892361</v>
      </c>
      <c r="M75" s="16" t="b">
        <v>1</v>
      </c>
      <c r="N75" s="12" t="s">
        <v>661</v>
      </c>
    </row>
    <row r="76" spans="1:14" ht="408.95" customHeight="1" x14ac:dyDescent="0.25">
      <c r="A76" s="35">
        <v>1</v>
      </c>
      <c r="B76" s="36" t="s">
        <v>103</v>
      </c>
      <c r="C76" s="37" t="s">
        <v>104</v>
      </c>
      <c r="D76" s="41" t="b">
        <v>0</v>
      </c>
      <c r="E76" s="36" t="s">
        <v>33</v>
      </c>
      <c r="F76" s="37" t="s">
        <v>3</v>
      </c>
      <c r="G76" s="37" t="s">
        <v>21</v>
      </c>
      <c r="H76" s="37" t="s">
        <v>22</v>
      </c>
      <c r="I76" s="37" t="s">
        <v>23</v>
      </c>
      <c r="J76" s="36" t="s">
        <v>7</v>
      </c>
      <c r="K76" s="39" t="s">
        <v>109</v>
      </c>
      <c r="L76" s="40">
        <v>46107.690923287038</v>
      </c>
      <c r="M76" s="19" t="b">
        <v>0</v>
      </c>
      <c r="N76" s="9" t="s">
        <v>660</v>
      </c>
    </row>
    <row r="77" spans="1:14" ht="408.95" customHeight="1" x14ac:dyDescent="0.25">
      <c r="A77" s="29">
        <v>1</v>
      </c>
      <c r="B77" s="30" t="s">
        <v>103</v>
      </c>
      <c r="C77" s="31" t="s">
        <v>104</v>
      </c>
      <c r="D77" s="42" t="b">
        <v>0</v>
      </c>
      <c r="E77" s="30" t="s">
        <v>33</v>
      </c>
      <c r="F77" s="31" t="s">
        <v>25</v>
      </c>
      <c r="G77" s="31" t="s">
        <v>4</v>
      </c>
      <c r="H77" s="31" t="s">
        <v>5</v>
      </c>
      <c r="I77" s="31" t="s">
        <v>6</v>
      </c>
      <c r="J77" s="30" t="s">
        <v>7</v>
      </c>
      <c r="K77" s="33" t="s">
        <v>110</v>
      </c>
      <c r="L77" s="34">
        <v>46107.69104085648</v>
      </c>
      <c r="M77" s="17" t="b">
        <v>0</v>
      </c>
      <c r="N77" s="10" t="s">
        <v>660</v>
      </c>
    </row>
    <row r="78" spans="1:14" ht="408.95" customHeight="1" x14ac:dyDescent="0.25">
      <c r="A78" s="35">
        <v>1</v>
      </c>
      <c r="B78" s="36" t="s">
        <v>103</v>
      </c>
      <c r="C78" s="37" t="s">
        <v>104</v>
      </c>
      <c r="D78" s="41" t="b">
        <v>0</v>
      </c>
      <c r="E78" s="36" t="s">
        <v>33</v>
      </c>
      <c r="F78" s="37" t="s">
        <v>25</v>
      </c>
      <c r="G78" s="37" t="s">
        <v>9</v>
      </c>
      <c r="H78" s="37" t="s">
        <v>10</v>
      </c>
      <c r="I78" s="37" t="s">
        <v>11</v>
      </c>
      <c r="J78" s="36" t="s">
        <v>7</v>
      </c>
      <c r="K78" s="39" t="s">
        <v>111</v>
      </c>
      <c r="L78" s="40">
        <v>46107.691132824075</v>
      </c>
      <c r="M78" s="19" t="b">
        <v>0</v>
      </c>
      <c r="N78" s="9" t="s">
        <v>660</v>
      </c>
    </row>
    <row r="79" spans="1:14" ht="408.95" customHeight="1" x14ac:dyDescent="0.25">
      <c r="A79" s="29">
        <v>1</v>
      </c>
      <c r="B79" s="30" t="s">
        <v>103</v>
      </c>
      <c r="C79" s="31" t="s">
        <v>104</v>
      </c>
      <c r="D79" s="42" t="b">
        <v>0</v>
      </c>
      <c r="E79" s="30" t="s">
        <v>33</v>
      </c>
      <c r="F79" s="31" t="s">
        <v>25</v>
      </c>
      <c r="G79" s="31" t="s">
        <v>13</v>
      </c>
      <c r="H79" s="31" t="s">
        <v>14</v>
      </c>
      <c r="I79" s="31" t="s">
        <v>15</v>
      </c>
      <c r="J79" s="30" t="s">
        <v>7</v>
      </c>
      <c r="K79" s="33" t="s">
        <v>112</v>
      </c>
      <c r="L79" s="34">
        <v>46107.691328912035</v>
      </c>
      <c r="M79" s="17" t="b">
        <v>0</v>
      </c>
      <c r="N79" s="10" t="s">
        <v>660</v>
      </c>
    </row>
    <row r="80" spans="1:14" ht="408.95" customHeight="1" x14ac:dyDescent="0.25">
      <c r="A80" s="35">
        <v>1</v>
      </c>
      <c r="B80" s="36" t="s">
        <v>103</v>
      </c>
      <c r="C80" s="37" t="s">
        <v>104</v>
      </c>
      <c r="D80" s="41" t="b">
        <v>0</v>
      </c>
      <c r="E80" s="36" t="s">
        <v>33</v>
      </c>
      <c r="F80" s="37" t="s">
        <v>25</v>
      </c>
      <c r="G80" s="37" t="s">
        <v>17</v>
      </c>
      <c r="H80" s="37" t="s">
        <v>18</v>
      </c>
      <c r="I80" s="37" t="s">
        <v>19</v>
      </c>
      <c r="J80" s="36" t="s">
        <v>7</v>
      </c>
      <c r="K80" s="39" t="s">
        <v>113</v>
      </c>
      <c r="L80" s="40">
        <v>46107.691385694445</v>
      </c>
      <c r="M80" s="19" t="b">
        <v>0</v>
      </c>
      <c r="N80" s="9" t="s">
        <v>660</v>
      </c>
    </row>
    <row r="81" spans="1:14" ht="408.95" customHeight="1" x14ac:dyDescent="0.25">
      <c r="A81" s="29">
        <v>1</v>
      </c>
      <c r="B81" s="30" t="s">
        <v>103</v>
      </c>
      <c r="C81" s="31" t="s">
        <v>104</v>
      </c>
      <c r="D81" s="42" t="b">
        <v>0</v>
      </c>
      <c r="E81" s="30" t="s">
        <v>33</v>
      </c>
      <c r="F81" s="31" t="s">
        <v>25</v>
      </c>
      <c r="G81" s="31" t="s">
        <v>21</v>
      </c>
      <c r="H81" s="31" t="s">
        <v>22</v>
      </c>
      <c r="I81" s="31" t="s">
        <v>23</v>
      </c>
      <c r="J81" s="30" t="s">
        <v>7</v>
      </c>
      <c r="K81" s="33" t="s">
        <v>114</v>
      </c>
      <c r="L81" s="34">
        <v>46107.69150533565</v>
      </c>
      <c r="M81" s="17" t="b">
        <v>0</v>
      </c>
      <c r="N81" s="10" t="s">
        <v>660</v>
      </c>
    </row>
    <row r="82" spans="1:14" ht="408.95" customHeight="1" x14ac:dyDescent="0.25">
      <c r="A82" s="35">
        <v>1</v>
      </c>
      <c r="B82" s="36" t="s">
        <v>115</v>
      </c>
      <c r="C82" s="37" t="s">
        <v>92</v>
      </c>
      <c r="D82" s="38" t="b">
        <v>1</v>
      </c>
      <c r="E82" s="36" t="s">
        <v>68</v>
      </c>
      <c r="F82" s="37" t="s">
        <v>3</v>
      </c>
      <c r="G82" s="37" t="s">
        <v>4</v>
      </c>
      <c r="H82" s="37" t="s">
        <v>5</v>
      </c>
      <c r="I82" s="37" t="s">
        <v>6</v>
      </c>
      <c r="J82" s="36" t="s">
        <v>7</v>
      </c>
      <c r="K82" s="39" t="s">
        <v>116</v>
      </c>
      <c r="L82" s="40">
        <v>46107.691682164354</v>
      </c>
      <c r="M82" s="18" t="b">
        <v>1</v>
      </c>
      <c r="N82" s="7" t="s">
        <v>659</v>
      </c>
    </row>
    <row r="83" spans="1:14" ht="408.95" customHeight="1" x14ac:dyDescent="0.25">
      <c r="A83" s="29">
        <v>1</v>
      </c>
      <c r="B83" s="30" t="s">
        <v>115</v>
      </c>
      <c r="C83" s="31" t="s">
        <v>92</v>
      </c>
      <c r="D83" s="32" t="b">
        <v>1</v>
      </c>
      <c r="E83" s="30" t="s">
        <v>68</v>
      </c>
      <c r="F83" s="31" t="s">
        <v>3</v>
      </c>
      <c r="G83" s="31" t="s">
        <v>9</v>
      </c>
      <c r="H83" s="31" t="s">
        <v>10</v>
      </c>
      <c r="I83" s="31" t="s">
        <v>11</v>
      </c>
      <c r="J83" s="30" t="s">
        <v>7</v>
      </c>
      <c r="K83" s="33" t="s">
        <v>117</v>
      </c>
      <c r="L83" s="34">
        <v>46107.692005254627</v>
      </c>
      <c r="M83" s="16" t="b">
        <v>1</v>
      </c>
      <c r="N83" s="8" t="s">
        <v>659</v>
      </c>
    </row>
    <row r="84" spans="1:14" ht="408.95" customHeight="1" x14ac:dyDescent="0.25">
      <c r="A84" s="35">
        <v>1</v>
      </c>
      <c r="B84" s="36" t="s">
        <v>115</v>
      </c>
      <c r="C84" s="37" t="s">
        <v>92</v>
      </c>
      <c r="D84" s="38" t="b">
        <v>1</v>
      </c>
      <c r="E84" s="36" t="s">
        <v>68</v>
      </c>
      <c r="F84" s="37" t="s">
        <v>3</v>
      </c>
      <c r="G84" s="37" t="s">
        <v>13</v>
      </c>
      <c r="H84" s="37" t="s">
        <v>14</v>
      </c>
      <c r="I84" s="37" t="s">
        <v>15</v>
      </c>
      <c r="J84" s="36" t="s">
        <v>7</v>
      </c>
      <c r="K84" s="39" t="s">
        <v>118</v>
      </c>
      <c r="L84" s="40">
        <v>46107.692298912036</v>
      </c>
      <c r="M84" s="18" t="b">
        <v>1</v>
      </c>
      <c r="N84" s="7" t="s">
        <v>659</v>
      </c>
    </row>
    <row r="85" spans="1:14" ht="408.95" customHeight="1" x14ac:dyDescent="0.25">
      <c r="A85" s="29">
        <v>1</v>
      </c>
      <c r="B85" s="30" t="s">
        <v>115</v>
      </c>
      <c r="C85" s="31" t="s">
        <v>92</v>
      </c>
      <c r="D85" s="32" t="b">
        <v>1</v>
      </c>
      <c r="E85" s="30" t="s">
        <v>68</v>
      </c>
      <c r="F85" s="31" t="s">
        <v>3</v>
      </c>
      <c r="G85" s="31" t="s">
        <v>17</v>
      </c>
      <c r="H85" s="31" t="s">
        <v>18</v>
      </c>
      <c r="I85" s="31" t="s">
        <v>19</v>
      </c>
      <c r="J85" s="30" t="s">
        <v>7</v>
      </c>
      <c r="K85" s="33" t="s">
        <v>119</v>
      </c>
      <c r="L85" s="34">
        <v>46107.692405694441</v>
      </c>
      <c r="M85" s="16" t="b">
        <v>1</v>
      </c>
      <c r="N85" s="8" t="s">
        <v>659</v>
      </c>
    </row>
    <row r="86" spans="1:14" ht="408.95" customHeight="1" x14ac:dyDescent="0.25">
      <c r="A86" s="35">
        <v>1</v>
      </c>
      <c r="B86" s="36" t="s">
        <v>115</v>
      </c>
      <c r="C86" s="37" t="s">
        <v>92</v>
      </c>
      <c r="D86" s="38" t="b">
        <v>1</v>
      </c>
      <c r="E86" s="36" t="s">
        <v>68</v>
      </c>
      <c r="F86" s="37" t="s">
        <v>3</v>
      </c>
      <c r="G86" s="37" t="s">
        <v>21</v>
      </c>
      <c r="H86" s="37" t="s">
        <v>22</v>
      </c>
      <c r="I86" s="37" t="s">
        <v>23</v>
      </c>
      <c r="J86" s="36" t="s">
        <v>7</v>
      </c>
      <c r="K86" s="39" t="s">
        <v>120</v>
      </c>
      <c r="L86" s="40">
        <v>46107.692701851855</v>
      </c>
      <c r="M86" s="18" t="b">
        <v>1</v>
      </c>
      <c r="N86" s="7" t="s">
        <v>659</v>
      </c>
    </row>
    <row r="87" spans="1:14" ht="408.95" customHeight="1" x14ac:dyDescent="0.25">
      <c r="A87" s="29">
        <v>1</v>
      </c>
      <c r="B87" s="30" t="s">
        <v>115</v>
      </c>
      <c r="C87" s="31" t="s">
        <v>92</v>
      </c>
      <c r="D87" s="32" t="b">
        <v>1</v>
      </c>
      <c r="E87" s="30" t="s">
        <v>68</v>
      </c>
      <c r="F87" s="31" t="s">
        <v>25</v>
      </c>
      <c r="G87" s="31" t="s">
        <v>4</v>
      </c>
      <c r="H87" s="31" t="s">
        <v>5</v>
      </c>
      <c r="I87" s="31" t="s">
        <v>6</v>
      </c>
      <c r="J87" s="30" t="s">
        <v>7</v>
      </c>
      <c r="K87" s="33" t="s">
        <v>121</v>
      </c>
      <c r="L87" s="34">
        <v>46107.692808333333</v>
      </c>
      <c r="M87" s="16" t="b">
        <v>1</v>
      </c>
      <c r="N87" s="8" t="s">
        <v>659</v>
      </c>
    </row>
    <row r="88" spans="1:14" ht="408.95" customHeight="1" x14ac:dyDescent="0.25">
      <c r="A88" s="35">
        <v>1</v>
      </c>
      <c r="B88" s="36" t="s">
        <v>115</v>
      </c>
      <c r="C88" s="37" t="s">
        <v>92</v>
      </c>
      <c r="D88" s="38" t="b">
        <v>1</v>
      </c>
      <c r="E88" s="36" t="s">
        <v>68</v>
      </c>
      <c r="F88" s="37" t="s">
        <v>25</v>
      </c>
      <c r="G88" s="37" t="s">
        <v>9</v>
      </c>
      <c r="H88" s="37" t="s">
        <v>10</v>
      </c>
      <c r="I88" s="37" t="s">
        <v>11</v>
      </c>
      <c r="J88" s="36" t="s">
        <v>7</v>
      </c>
      <c r="K88" s="39" t="s">
        <v>122</v>
      </c>
      <c r="L88" s="40">
        <v>46107.692910578706</v>
      </c>
      <c r="M88" s="18" t="b">
        <v>1</v>
      </c>
      <c r="N88" s="7" t="s">
        <v>659</v>
      </c>
    </row>
    <row r="89" spans="1:14" ht="408.95" customHeight="1" x14ac:dyDescent="0.25">
      <c r="A89" s="29">
        <v>1</v>
      </c>
      <c r="B89" s="30" t="s">
        <v>115</v>
      </c>
      <c r="C89" s="31" t="s">
        <v>92</v>
      </c>
      <c r="D89" s="32" t="b">
        <v>1</v>
      </c>
      <c r="E89" s="30" t="s">
        <v>68</v>
      </c>
      <c r="F89" s="31" t="s">
        <v>25</v>
      </c>
      <c r="G89" s="31" t="s">
        <v>13</v>
      </c>
      <c r="H89" s="31" t="s">
        <v>14</v>
      </c>
      <c r="I89" s="31" t="s">
        <v>15</v>
      </c>
      <c r="J89" s="30" t="s">
        <v>7</v>
      </c>
      <c r="K89" s="33" t="s">
        <v>123</v>
      </c>
      <c r="L89" s="34">
        <v>46107.693109942127</v>
      </c>
      <c r="M89" s="16" t="b">
        <v>1</v>
      </c>
      <c r="N89" s="8" t="s">
        <v>659</v>
      </c>
    </row>
    <row r="90" spans="1:14" ht="408.95" customHeight="1" x14ac:dyDescent="0.25">
      <c r="A90" s="35">
        <v>1</v>
      </c>
      <c r="B90" s="36" t="s">
        <v>115</v>
      </c>
      <c r="C90" s="37" t="s">
        <v>92</v>
      </c>
      <c r="D90" s="38" t="b">
        <v>1</v>
      </c>
      <c r="E90" s="36" t="s">
        <v>68</v>
      </c>
      <c r="F90" s="37" t="s">
        <v>25</v>
      </c>
      <c r="G90" s="37" t="s">
        <v>17</v>
      </c>
      <c r="H90" s="37" t="s">
        <v>18</v>
      </c>
      <c r="I90" s="37" t="s">
        <v>19</v>
      </c>
      <c r="J90" s="36" t="s">
        <v>7</v>
      </c>
      <c r="K90" s="39" t="s">
        <v>124</v>
      </c>
      <c r="L90" s="40">
        <v>46107.69317486111</v>
      </c>
      <c r="M90" s="18" t="b">
        <v>1</v>
      </c>
      <c r="N90" s="7" t="s">
        <v>659</v>
      </c>
    </row>
    <row r="91" spans="1:14" ht="408.95" customHeight="1" x14ac:dyDescent="0.25">
      <c r="A91" s="29">
        <v>1</v>
      </c>
      <c r="B91" s="30" t="s">
        <v>115</v>
      </c>
      <c r="C91" s="31" t="s">
        <v>92</v>
      </c>
      <c r="D91" s="32" t="b">
        <v>1</v>
      </c>
      <c r="E91" s="30" t="s">
        <v>68</v>
      </c>
      <c r="F91" s="31" t="s">
        <v>25</v>
      </c>
      <c r="G91" s="31" t="s">
        <v>21</v>
      </c>
      <c r="H91" s="31" t="s">
        <v>22</v>
      </c>
      <c r="I91" s="31" t="s">
        <v>23</v>
      </c>
      <c r="J91" s="30" t="s">
        <v>7</v>
      </c>
      <c r="K91" s="33" t="s">
        <v>125</v>
      </c>
      <c r="L91" s="34">
        <v>46107.693311886571</v>
      </c>
      <c r="M91" s="16" t="b">
        <v>1</v>
      </c>
      <c r="N91" s="8" t="s">
        <v>659</v>
      </c>
    </row>
    <row r="92" spans="1:14" ht="408.95" customHeight="1" x14ac:dyDescent="0.25">
      <c r="A92" s="35">
        <v>1</v>
      </c>
      <c r="B92" s="36" t="s">
        <v>126</v>
      </c>
      <c r="C92" s="37" t="s">
        <v>104</v>
      </c>
      <c r="D92" s="41" t="b">
        <v>0</v>
      </c>
      <c r="E92" s="36" t="s">
        <v>33</v>
      </c>
      <c r="F92" s="37" t="s">
        <v>3</v>
      </c>
      <c r="G92" s="37" t="s">
        <v>4</v>
      </c>
      <c r="H92" s="37" t="s">
        <v>5</v>
      </c>
      <c r="I92" s="37" t="s">
        <v>6</v>
      </c>
      <c r="J92" s="36" t="s">
        <v>7</v>
      </c>
      <c r="K92" s="39" t="s">
        <v>127</v>
      </c>
      <c r="L92" s="40">
        <v>46107.693478923611</v>
      </c>
      <c r="M92" s="19" t="b">
        <v>0</v>
      </c>
      <c r="N92" s="9" t="s">
        <v>660</v>
      </c>
    </row>
    <row r="93" spans="1:14" ht="408.95" customHeight="1" x14ac:dyDescent="0.25">
      <c r="A93" s="29">
        <v>1</v>
      </c>
      <c r="B93" s="30" t="s">
        <v>126</v>
      </c>
      <c r="C93" s="31" t="s">
        <v>104</v>
      </c>
      <c r="D93" s="42" t="b">
        <v>0</v>
      </c>
      <c r="E93" s="30" t="s">
        <v>33</v>
      </c>
      <c r="F93" s="31" t="s">
        <v>3</v>
      </c>
      <c r="G93" s="31" t="s">
        <v>9</v>
      </c>
      <c r="H93" s="31" t="s">
        <v>10</v>
      </c>
      <c r="I93" s="31" t="s">
        <v>11</v>
      </c>
      <c r="J93" s="30" t="s">
        <v>7</v>
      </c>
      <c r="K93" s="33" t="s">
        <v>128</v>
      </c>
      <c r="L93" s="34">
        <v>46107.693666956016</v>
      </c>
      <c r="M93" s="17" t="b">
        <v>0</v>
      </c>
      <c r="N93" s="10" t="s">
        <v>660</v>
      </c>
    </row>
    <row r="94" spans="1:14" ht="408.95" customHeight="1" x14ac:dyDescent="0.25">
      <c r="A94" s="35">
        <v>1</v>
      </c>
      <c r="B94" s="36" t="s">
        <v>126</v>
      </c>
      <c r="C94" s="37" t="s">
        <v>104</v>
      </c>
      <c r="D94" s="41" t="b">
        <v>0</v>
      </c>
      <c r="E94" s="36" t="s">
        <v>33</v>
      </c>
      <c r="F94" s="37" t="s">
        <v>3</v>
      </c>
      <c r="G94" s="37" t="s">
        <v>13</v>
      </c>
      <c r="H94" s="37" t="s">
        <v>14</v>
      </c>
      <c r="I94" s="37" t="s">
        <v>15</v>
      </c>
      <c r="J94" s="36" t="s">
        <v>7</v>
      </c>
      <c r="K94" s="39" t="s">
        <v>129</v>
      </c>
      <c r="L94" s="40">
        <v>46107.693954953706</v>
      </c>
      <c r="M94" s="19" t="b">
        <v>0</v>
      </c>
      <c r="N94" s="9" t="s">
        <v>660</v>
      </c>
    </row>
    <row r="95" spans="1:14" ht="408.95" customHeight="1" x14ac:dyDescent="0.25">
      <c r="A95" s="29">
        <v>1</v>
      </c>
      <c r="B95" s="30" t="s">
        <v>126</v>
      </c>
      <c r="C95" s="31" t="s">
        <v>104</v>
      </c>
      <c r="D95" s="42" t="b">
        <v>0</v>
      </c>
      <c r="E95" s="30" t="s">
        <v>33</v>
      </c>
      <c r="F95" s="31" t="s">
        <v>3</v>
      </c>
      <c r="G95" s="31" t="s">
        <v>17</v>
      </c>
      <c r="H95" s="31" t="s">
        <v>18</v>
      </c>
      <c r="I95" s="31" t="s">
        <v>19</v>
      </c>
      <c r="J95" s="30" t="s">
        <v>7</v>
      </c>
      <c r="K95" s="33" t="s">
        <v>130</v>
      </c>
      <c r="L95" s="34">
        <v>46107.694096597224</v>
      </c>
      <c r="M95" s="16" t="b">
        <v>1</v>
      </c>
      <c r="N95" s="12" t="s">
        <v>661</v>
      </c>
    </row>
    <row r="96" spans="1:14" ht="408.95" customHeight="1" x14ac:dyDescent="0.25">
      <c r="A96" s="35">
        <v>1</v>
      </c>
      <c r="B96" s="36" t="s">
        <v>126</v>
      </c>
      <c r="C96" s="37" t="s">
        <v>104</v>
      </c>
      <c r="D96" s="41" t="b">
        <v>0</v>
      </c>
      <c r="E96" s="36" t="s">
        <v>33</v>
      </c>
      <c r="F96" s="37" t="s">
        <v>3</v>
      </c>
      <c r="G96" s="37" t="s">
        <v>21</v>
      </c>
      <c r="H96" s="37" t="s">
        <v>22</v>
      </c>
      <c r="I96" s="37" t="s">
        <v>23</v>
      </c>
      <c r="J96" s="36" t="s">
        <v>7</v>
      </c>
      <c r="K96" s="39" t="s">
        <v>131</v>
      </c>
      <c r="L96" s="40">
        <v>46107.69429832176</v>
      </c>
      <c r="M96" s="19" t="b">
        <v>0</v>
      </c>
      <c r="N96" s="9" t="s">
        <v>660</v>
      </c>
    </row>
    <row r="97" spans="1:14" ht="408.95" customHeight="1" x14ac:dyDescent="0.25">
      <c r="A97" s="29">
        <v>1</v>
      </c>
      <c r="B97" s="30" t="s">
        <v>126</v>
      </c>
      <c r="C97" s="31" t="s">
        <v>104</v>
      </c>
      <c r="D97" s="42" t="b">
        <v>0</v>
      </c>
      <c r="E97" s="30" t="s">
        <v>33</v>
      </c>
      <c r="F97" s="31" t="s">
        <v>25</v>
      </c>
      <c r="G97" s="31" t="s">
        <v>4</v>
      </c>
      <c r="H97" s="31" t="s">
        <v>5</v>
      </c>
      <c r="I97" s="31" t="s">
        <v>6</v>
      </c>
      <c r="J97" s="30" t="s">
        <v>7</v>
      </c>
      <c r="K97" s="33" t="s">
        <v>132</v>
      </c>
      <c r="L97" s="34">
        <v>46107.694403530091</v>
      </c>
      <c r="M97" s="17" t="b">
        <v>0</v>
      </c>
      <c r="N97" s="10" t="s">
        <v>660</v>
      </c>
    </row>
    <row r="98" spans="1:14" ht="408.95" customHeight="1" x14ac:dyDescent="0.25">
      <c r="A98" s="35">
        <v>1</v>
      </c>
      <c r="B98" s="36" t="s">
        <v>126</v>
      </c>
      <c r="C98" s="37" t="s">
        <v>104</v>
      </c>
      <c r="D98" s="41" t="b">
        <v>0</v>
      </c>
      <c r="E98" s="36" t="s">
        <v>33</v>
      </c>
      <c r="F98" s="37" t="s">
        <v>25</v>
      </c>
      <c r="G98" s="37" t="s">
        <v>9</v>
      </c>
      <c r="H98" s="37" t="s">
        <v>10</v>
      </c>
      <c r="I98" s="37" t="s">
        <v>11</v>
      </c>
      <c r="J98" s="36" t="s">
        <v>7</v>
      </c>
      <c r="K98" s="39" t="s">
        <v>133</v>
      </c>
      <c r="L98" s="40">
        <v>46107.694500150465</v>
      </c>
      <c r="M98" s="19" t="b">
        <v>0</v>
      </c>
      <c r="N98" s="9" t="s">
        <v>660</v>
      </c>
    </row>
    <row r="99" spans="1:14" ht="408.95" customHeight="1" x14ac:dyDescent="0.25">
      <c r="A99" s="29">
        <v>1</v>
      </c>
      <c r="B99" s="30" t="s">
        <v>126</v>
      </c>
      <c r="C99" s="31" t="s">
        <v>104</v>
      </c>
      <c r="D99" s="42" t="b">
        <v>0</v>
      </c>
      <c r="E99" s="30" t="s">
        <v>33</v>
      </c>
      <c r="F99" s="31" t="s">
        <v>25</v>
      </c>
      <c r="G99" s="31" t="s">
        <v>13</v>
      </c>
      <c r="H99" s="31" t="s">
        <v>14</v>
      </c>
      <c r="I99" s="31" t="s">
        <v>15</v>
      </c>
      <c r="J99" s="30" t="s">
        <v>7</v>
      </c>
      <c r="K99" s="33" t="s">
        <v>134</v>
      </c>
      <c r="L99" s="34">
        <v>46107.694676423613</v>
      </c>
      <c r="M99" s="17" t="b">
        <v>0</v>
      </c>
      <c r="N99" s="10" t="s">
        <v>660</v>
      </c>
    </row>
    <row r="100" spans="1:14" ht="408.95" customHeight="1" x14ac:dyDescent="0.25">
      <c r="A100" s="35">
        <v>1</v>
      </c>
      <c r="B100" s="36" t="s">
        <v>126</v>
      </c>
      <c r="C100" s="37" t="s">
        <v>104</v>
      </c>
      <c r="D100" s="41" t="b">
        <v>0</v>
      </c>
      <c r="E100" s="36" t="s">
        <v>33</v>
      </c>
      <c r="F100" s="37" t="s">
        <v>25</v>
      </c>
      <c r="G100" s="37" t="s">
        <v>17</v>
      </c>
      <c r="H100" s="37" t="s">
        <v>18</v>
      </c>
      <c r="I100" s="37" t="s">
        <v>19</v>
      </c>
      <c r="J100" s="36" t="s">
        <v>7</v>
      </c>
      <c r="K100" s="39" t="s">
        <v>135</v>
      </c>
      <c r="L100" s="40">
        <v>46107.694737928243</v>
      </c>
      <c r="M100" s="19" t="b">
        <v>0</v>
      </c>
      <c r="N100" s="9" t="s">
        <v>660</v>
      </c>
    </row>
    <row r="101" spans="1:14" ht="408.95" customHeight="1" x14ac:dyDescent="0.25">
      <c r="A101" s="29">
        <v>1</v>
      </c>
      <c r="B101" s="30" t="s">
        <v>126</v>
      </c>
      <c r="C101" s="31" t="s">
        <v>104</v>
      </c>
      <c r="D101" s="42" t="b">
        <v>0</v>
      </c>
      <c r="E101" s="30" t="s">
        <v>33</v>
      </c>
      <c r="F101" s="31" t="s">
        <v>25</v>
      </c>
      <c r="G101" s="31" t="s">
        <v>21</v>
      </c>
      <c r="H101" s="31" t="s">
        <v>22</v>
      </c>
      <c r="I101" s="31" t="s">
        <v>23</v>
      </c>
      <c r="J101" s="30" t="s">
        <v>7</v>
      </c>
      <c r="K101" s="33" t="s">
        <v>136</v>
      </c>
      <c r="L101" s="34">
        <v>46107.694857824077</v>
      </c>
      <c r="M101" s="17" t="b">
        <v>0</v>
      </c>
      <c r="N101" s="10" t="s">
        <v>660</v>
      </c>
    </row>
    <row r="102" spans="1:14" ht="408.95" customHeight="1" x14ac:dyDescent="0.25">
      <c r="A102" s="35">
        <v>1</v>
      </c>
      <c r="B102" s="36" t="s">
        <v>137</v>
      </c>
      <c r="C102" s="37" t="s">
        <v>138</v>
      </c>
      <c r="D102" s="38" t="b">
        <v>1</v>
      </c>
      <c r="E102" s="36" t="s">
        <v>139</v>
      </c>
      <c r="F102" s="37" t="s">
        <v>3</v>
      </c>
      <c r="G102" s="37" t="s">
        <v>4</v>
      </c>
      <c r="H102" s="37" t="s">
        <v>5</v>
      </c>
      <c r="I102" s="37" t="s">
        <v>6</v>
      </c>
      <c r="J102" s="36" t="s">
        <v>7</v>
      </c>
      <c r="K102" s="39" t="s">
        <v>140</v>
      </c>
      <c r="L102" s="40">
        <v>46107.695086238426</v>
      </c>
      <c r="M102" s="19" t="b">
        <v>0</v>
      </c>
      <c r="N102" s="11" t="s">
        <v>658</v>
      </c>
    </row>
    <row r="103" spans="1:14" ht="408.95" customHeight="1" x14ac:dyDescent="0.25">
      <c r="A103" s="29">
        <v>1</v>
      </c>
      <c r="B103" s="30" t="s">
        <v>137</v>
      </c>
      <c r="C103" s="31" t="s">
        <v>138</v>
      </c>
      <c r="D103" s="32" t="b">
        <v>1</v>
      </c>
      <c r="E103" s="30" t="s">
        <v>139</v>
      </c>
      <c r="F103" s="31" t="s">
        <v>3</v>
      </c>
      <c r="G103" s="31" t="s">
        <v>9</v>
      </c>
      <c r="H103" s="31" t="s">
        <v>10</v>
      </c>
      <c r="I103" s="31" t="s">
        <v>11</v>
      </c>
      <c r="J103" s="30" t="s">
        <v>7</v>
      </c>
      <c r="K103" s="33" t="s">
        <v>141</v>
      </c>
      <c r="L103" s="34">
        <v>46107.695313078701</v>
      </c>
      <c r="M103" s="16" t="b">
        <v>1</v>
      </c>
      <c r="N103" s="8" t="s">
        <v>659</v>
      </c>
    </row>
    <row r="104" spans="1:14" ht="408.95" customHeight="1" x14ac:dyDescent="0.25">
      <c r="A104" s="35">
        <v>1</v>
      </c>
      <c r="B104" s="36" t="s">
        <v>137</v>
      </c>
      <c r="C104" s="37" t="s">
        <v>138</v>
      </c>
      <c r="D104" s="38" t="b">
        <v>1</v>
      </c>
      <c r="E104" s="36" t="s">
        <v>139</v>
      </c>
      <c r="F104" s="37" t="s">
        <v>3</v>
      </c>
      <c r="G104" s="37" t="s">
        <v>13</v>
      </c>
      <c r="H104" s="37" t="s">
        <v>14</v>
      </c>
      <c r="I104" s="37" t="s">
        <v>15</v>
      </c>
      <c r="J104" s="36" t="s">
        <v>7</v>
      </c>
      <c r="K104" s="39" t="s">
        <v>142</v>
      </c>
      <c r="L104" s="40">
        <v>46107.695625381944</v>
      </c>
      <c r="M104" s="18" t="b">
        <v>1</v>
      </c>
      <c r="N104" s="7" t="s">
        <v>659</v>
      </c>
    </row>
    <row r="105" spans="1:14" ht="408.95" customHeight="1" x14ac:dyDescent="0.25">
      <c r="A105" s="29">
        <v>1</v>
      </c>
      <c r="B105" s="30" t="s">
        <v>137</v>
      </c>
      <c r="C105" s="31" t="s">
        <v>138</v>
      </c>
      <c r="D105" s="32" t="b">
        <v>1</v>
      </c>
      <c r="E105" s="30" t="s">
        <v>139</v>
      </c>
      <c r="F105" s="31" t="s">
        <v>3</v>
      </c>
      <c r="G105" s="31" t="s">
        <v>17</v>
      </c>
      <c r="H105" s="31" t="s">
        <v>18</v>
      </c>
      <c r="I105" s="31" t="s">
        <v>19</v>
      </c>
      <c r="J105" s="30" t="s">
        <v>7</v>
      </c>
      <c r="K105" s="33" t="s">
        <v>143</v>
      </c>
      <c r="L105" s="34">
        <v>46107.695731030093</v>
      </c>
      <c r="M105" s="16" t="b">
        <v>1</v>
      </c>
      <c r="N105" s="8" t="s">
        <v>659</v>
      </c>
    </row>
    <row r="106" spans="1:14" ht="408.95" customHeight="1" x14ac:dyDescent="0.25">
      <c r="A106" s="35">
        <v>1</v>
      </c>
      <c r="B106" s="36" t="s">
        <v>137</v>
      </c>
      <c r="C106" s="37" t="s">
        <v>138</v>
      </c>
      <c r="D106" s="38" t="b">
        <v>1</v>
      </c>
      <c r="E106" s="36" t="s">
        <v>139</v>
      </c>
      <c r="F106" s="37" t="s">
        <v>3</v>
      </c>
      <c r="G106" s="37" t="s">
        <v>21</v>
      </c>
      <c r="H106" s="37" t="s">
        <v>22</v>
      </c>
      <c r="I106" s="37" t="s">
        <v>23</v>
      </c>
      <c r="J106" s="36" t="s">
        <v>7</v>
      </c>
      <c r="K106" s="39" t="s">
        <v>144</v>
      </c>
      <c r="L106" s="40">
        <v>46107.695897800928</v>
      </c>
      <c r="M106" s="18" t="b">
        <v>1</v>
      </c>
      <c r="N106" s="7" t="s">
        <v>659</v>
      </c>
    </row>
    <row r="107" spans="1:14" ht="408.95" customHeight="1" x14ac:dyDescent="0.25">
      <c r="A107" s="29">
        <v>1</v>
      </c>
      <c r="B107" s="30" t="s">
        <v>137</v>
      </c>
      <c r="C107" s="31" t="s">
        <v>138</v>
      </c>
      <c r="D107" s="32" t="b">
        <v>1</v>
      </c>
      <c r="E107" s="30" t="s">
        <v>139</v>
      </c>
      <c r="F107" s="31" t="s">
        <v>25</v>
      </c>
      <c r="G107" s="31" t="s">
        <v>4</v>
      </c>
      <c r="H107" s="31" t="s">
        <v>5</v>
      </c>
      <c r="I107" s="31" t="s">
        <v>6</v>
      </c>
      <c r="J107" s="30" t="s">
        <v>7</v>
      </c>
      <c r="K107" s="33" t="s">
        <v>145</v>
      </c>
      <c r="L107" s="34">
        <v>46107.696043773147</v>
      </c>
      <c r="M107" s="16" t="b">
        <v>1</v>
      </c>
      <c r="N107" s="8" t="s">
        <v>659</v>
      </c>
    </row>
    <row r="108" spans="1:14" ht="408.95" customHeight="1" x14ac:dyDescent="0.25">
      <c r="A108" s="35">
        <v>1</v>
      </c>
      <c r="B108" s="36" t="s">
        <v>137</v>
      </c>
      <c r="C108" s="37" t="s">
        <v>138</v>
      </c>
      <c r="D108" s="38" t="b">
        <v>1</v>
      </c>
      <c r="E108" s="36" t="s">
        <v>139</v>
      </c>
      <c r="F108" s="37" t="s">
        <v>25</v>
      </c>
      <c r="G108" s="37" t="s">
        <v>9</v>
      </c>
      <c r="H108" s="37" t="s">
        <v>10</v>
      </c>
      <c r="I108" s="37" t="s">
        <v>11</v>
      </c>
      <c r="J108" s="36" t="s">
        <v>7</v>
      </c>
      <c r="K108" s="39" t="s">
        <v>146</v>
      </c>
      <c r="L108" s="40">
        <v>46107.696210451388</v>
      </c>
      <c r="M108" s="18" t="b">
        <v>1</v>
      </c>
      <c r="N108" s="7" t="s">
        <v>659</v>
      </c>
    </row>
    <row r="109" spans="1:14" ht="408.95" customHeight="1" x14ac:dyDescent="0.25">
      <c r="A109" s="29">
        <v>1</v>
      </c>
      <c r="B109" s="30" t="s">
        <v>137</v>
      </c>
      <c r="C109" s="31" t="s">
        <v>138</v>
      </c>
      <c r="D109" s="32" t="b">
        <v>1</v>
      </c>
      <c r="E109" s="30" t="s">
        <v>139</v>
      </c>
      <c r="F109" s="31" t="s">
        <v>25</v>
      </c>
      <c r="G109" s="31" t="s">
        <v>13</v>
      </c>
      <c r="H109" s="31" t="s">
        <v>14</v>
      </c>
      <c r="I109" s="31" t="s">
        <v>15</v>
      </c>
      <c r="J109" s="30" t="s">
        <v>7</v>
      </c>
      <c r="K109" s="33" t="s">
        <v>147</v>
      </c>
      <c r="L109" s="34">
        <v>46107.696416643521</v>
      </c>
      <c r="M109" s="16" t="b">
        <v>1</v>
      </c>
      <c r="N109" s="8" t="s">
        <v>659</v>
      </c>
    </row>
    <row r="110" spans="1:14" ht="408.95" customHeight="1" x14ac:dyDescent="0.25">
      <c r="A110" s="35">
        <v>1</v>
      </c>
      <c r="B110" s="36" t="s">
        <v>137</v>
      </c>
      <c r="C110" s="37" t="s">
        <v>138</v>
      </c>
      <c r="D110" s="38" t="b">
        <v>1</v>
      </c>
      <c r="E110" s="36" t="s">
        <v>139</v>
      </c>
      <c r="F110" s="37" t="s">
        <v>25</v>
      </c>
      <c r="G110" s="37" t="s">
        <v>17</v>
      </c>
      <c r="H110" s="37" t="s">
        <v>18</v>
      </c>
      <c r="I110" s="37" t="s">
        <v>19</v>
      </c>
      <c r="J110" s="36" t="s">
        <v>7</v>
      </c>
      <c r="K110" s="39" t="s">
        <v>148</v>
      </c>
      <c r="L110" s="40">
        <v>46107.696488159723</v>
      </c>
      <c r="M110" s="18" t="b">
        <v>1</v>
      </c>
      <c r="N110" s="7" t="s">
        <v>659</v>
      </c>
    </row>
    <row r="111" spans="1:14" ht="408.95" customHeight="1" x14ac:dyDescent="0.25">
      <c r="A111" s="29">
        <v>1</v>
      </c>
      <c r="B111" s="30" t="s">
        <v>137</v>
      </c>
      <c r="C111" s="31" t="s">
        <v>138</v>
      </c>
      <c r="D111" s="32" t="b">
        <v>1</v>
      </c>
      <c r="E111" s="30" t="s">
        <v>139</v>
      </c>
      <c r="F111" s="31" t="s">
        <v>25</v>
      </c>
      <c r="G111" s="31" t="s">
        <v>21</v>
      </c>
      <c r="H111" s="31" t="s">
        <v>22</v>
      </c>
      <c r="I111" s="31" t="s">
        <v>23</v>
      </c>
      <c r="J111" s="30" t="s">
        <v>7</v>
      </c>
      <c r="K111" s="33" t="s">
        <v>149</v>
      </c>
      <c r="L111" s="34">
        <v>46107.696630937498</v>
      </c>
      <c r="M111" s="16" t="b">
        <v>1</v>
      </c>
      <c r="N111" s="8" t="s">
        <v>659</v>
      </c>
    </row>
    <row r="112" spans="1:14" ht="408.95" customHeight="1" x14ac:dyDescent="0.25">
      <c r="A112" s="35">
        <v>1</v>
      </c>
      <c r="B112" s="36" t="s">
        <v>150</v>
      </c>
      <c r="C112" s="37" t="s">
        <v>151</v>
      </c>
      <c r="D112" s="41" t="b">
        <v>0</v>
      </c>
      <c r="E112" s="36" t="s">
        <v>33</v>
      </c>
      <c r="F112" s="37" t="s">
        <v>3</v>
      </c>
      <c r="G112" s="37" t="s">
        <v>4</v>
      </c>
      <c r="H112" s="37" t="s">
        <v>5</v>
      </c>
      <c r="I112" s="37" t="s">
        <v>6</v>
      </c>
      <c r="J112" s="36" t="s">
        <v>7</v>
      </c>
      <c r="K112" s="39" t="s">
        <v>152</v>
      </c>
      <c r="L112" s="40">
        <v>46107.696792511575</v>
      </c>
      <c r="M112" s="19" t="b">
        <v>0</v>
      </c>
      <c r="N112" s="9" t="s">
        <v>660</v>
      </c>
    </row>
    <row r="113" spans="1:14" ht="408.95" customHeight="1" x14ac:dyDescent="0.25">
      <c r="A113" s="29">
        <v>1</v>
      </c>
      <c r="B113" s="30" t="s">
        <v>150</v>
      </c>
      <c r="C113" s="31" t="s">
        <v>151</v>
      </c>
      <c r="D113" s="42" t="b">
        <v>0</v>
      </c>
      <c r="E113" s="30" t="s">
        <v>33</v>
      </c>
      <c r="F113" s="31" t="s">
        <v>3</v>
      </c>
      <c r="G113" s="31" t="s">
        <v>9</v>
      </c>
      <c r="H113" s="31" t="s">
        <v>10</v>
      </c>
      <c r="I113" s="31" t="s">
        <v>11</v>
      </c>
      <c r="J113" s="30" t="s">
        <v>7</v>
      </c>
      <c r="K113" s="33" t="s">
        <v>153</v>
      </c>
      <c r="L113" s="34">
        <v>46107.697062407409</v>
      </c>
      <c r="M113" s="17" t="b">
        <v>0</v>
      </c>
      <c r="N113" s="10" t="s">
        <v>660</v>
      </c>
    </row>
    <row r="114" spans="1:14" ht="408.95" customHeight="1" x14ac:dyDescent="0.25">
      <c r="A114" s="35">
        <v>1</v>
      </c>
      <c r="B114" s="36" t="s">
        <v>150</v>
      </c>
      <c r="C114" s="37" t="s">
        <v>151</v>
      </c>
      <c r="D114" s="41" t="b">
        <v>0</v>
      </c>
      <c r="E114" s="36" t="s">
        <v>33</v>
      </c>
      <c r="F114" s="37" t="s">
        <v>3</v>
      </c>
      <c r="G114" s="37" t="s">
        <v>13</v>
      </c>
      <c r="H114" s="37" t="s">
        <v>14</v>
      </c>
      <c r="I114" s="37" t="s">
        <v>15</v>
      </c>
      <c r="J114" s="36" t="s">
        <v>7</v>
      </c>
      <c r="K114" s="39" t="s">
        <v>154</v>
      </c>
      <c r="L114" s="40">
        <v>46107.697371666669</v>
      </c>
      <c r="M114" s="19" t="b">
        <v>0</v>
      </c>
      <c r="N114" s="9" t="s">
        <v>660</v>
      </c>
    </row>
    <row r="115" spans="1:14" ht="408.95" customHeight="1" x14ac:dyDescent="0.25">
      <c r="A115" s="29">
        <v>1</v>
      </c>
      <c r="B115" s="30" t="s">
        <v>150</v>
      </c>
      <c r="C115" s="31" t="s">
        <v>151</v>
      </c>
      <c r="D115" s="42" t="b">
        <v>0</v>
      </c>
      <c r="E115" s="30" t="s">
        <v>33</v>
      </c>
      <c r="F115" s="31" t="s">
        <v>3</v>
      </c>
      <c r="G115" s="31" t="s">
        <v>17</v>
      </c>
      <c r="H115" s="31" t="s">
        <v>18</v>
      </c>
      <c r="I115" s="31" t="s">
        <v>19</v>
      </c>
      <c r="J115" s="30" t="s">
        <v>7</v>
      </c>
      <c r="K115" s="33" t="s">
        <v>155</v>
      </c>
      <c r="L115" s="34">
        <v>46107.697480625</v>
      </c>
      <c r="M115" s="17" t="b">
        <v>0</v>
      </c>
      <c r="N115" s="10" t="s">
        <v>660</v>
      </c>
    </row>
    <row r="116" spans="1:14" ht="408.95" customHeight="1" x14ac:dyDescent="0.25">
      <c r="A116" s="35">
        <v>1</v>
      </c>
      <c r="B116" s="36" t="s">
        <v>150</v>
      </c>
      <c r="C116" s="37" t="s">
        <v>151</v>
      </c>
      <c r="D116" s="41" t="b">
        <v>0</v>
      </c>
      <c r="E116" s="36" t="s">
        <v>33</v>
      </c>
      <c r="F116" s="37" t="s">
        <v>3</v>
      </c>
      <c r="G116" s="37" t="s">
        <v>21</v>
      </c>
      <c r="H116" s="37" t="s">
        <v>22</v>
      </c>
      <c r="I116" s="37" t="s">
        <v>23</v>
      </c>
      <c r="J116" s="36" t="s">
        <v>7</v>
      </c>
      <c r="K116" s="39" t="s">
        <v>156</v>
      </c>
      <c r="L116" s="40">
        <v>46107.697796458335</v>
      </c>
      <c r="M116" s="19" t="b">
        <v>0</v>
      </c>
      <c r="N116" s="9" t="s">
        <v>660</v>
      </c>
    </row>
    <row r="117" spans="1:14" ht="408.95" customHeight="1" x14ac:dyDescent="0.25">
      <c r="A117" s="29">
        <v>1</v>
      </c>
      <c r="B117" s="30" t="s">
        <v>150</v>
      </c>
      <c r="C117" s="31" t="s">
        <v>151</v>
      </c>
      <c r="D117" s="42" t="b">
        <v>0</v>
      </c>
      <c r="E117" s="30" t="s">
        <v>33</v>
      </c>
      <c r="F117" s="31" t="s">
        <v>25</v>
      </c>
      <c r="G117" s="31" t="s">
        <v>4</v>
      </c>
      <c r="H117" s="31" t="s">
        <v>5</v>
      </c>
      <c r="I117" s="31" t="s">
        <v>6</v>
      </c>
      <c r="J117" s="30" t="s">
        <v>7</v>
      </c>
      <c r="K117" s="33" t="s">
        <v>157</v>
      </c>
      <c r="L117" s="34">
        <v>46107.697935428238</v>
      </c>
      <c r="M117" s="17" t="b">
        <v>0</v>
      </c>
      <c r="N117" s="10" t="s">
        <v>660</v>
      </c>
    </row>
    <row r="118" spans="1:14" ht="408.95" customHeight="1" x14ac:dyDescent="0.25">
      <c r="A118" s="35">
        <v>1</v>
      </c>
      <c r="B118" s="36" t="s">
        <v>150</v>
      </c>
      <c r="C118" s="37" t="s">
        <v>151</v>
      </c>
      <c r="D118" s="41" t="b">
        <v>0</v>
      </c>
      <c r="E118" s="36" t="s">
        <v>33</v>
      </c>
      <c r="F118" s="37" t="s">
        <v>25</v>
      </c>
      <c r="G118" s="37" t="s">
        <v>9</v>
      </c>
      <c r="H118" s="37" t="s">
        <v>10</v>
      </c>
      <c r="I118" s="37" t="s">
        <v>11</v>
      </c>
      <c r="J118" s="36" t="s">
        <v>7</v>
      </c>
      <c r="K118" s="39" t="s">
        <v>158</v>
      </c>
      <c r="L118" s="40">
        <v>46107.698028923609</v>
      </c>
      <c r="M118" s="19" t="b">
        <v>0</v>
      </c>
      <c r="N118" s="9" t="s">
        <v>660</v>
      </c>
    </row>
    <row r="119" spans="1:14" ht="408.95" customHeight="1" x14ac:dyDescent="0.25">
      <c r="A119" s="29">
        <v>1</v>
      </c>
      <c r="B119" s="30" t="s">
        <v>150</v>
      </c>
      <c r="C119" s="31" t="s">
        <v>151</v>
      </c>
      <c r="D119" s="42" t="b">
        <v>0</v>
      </c>
      <c r="E119" s="30" t="s">
        <v>33</v>
      </c>
      <c r="F119" s="31" t="s">
        <v>25</v>
      </c>
      <c r="G119" s="31" t="s">
        <v>13</v>
      </c>
      <c r="H119" s="31" t="s">
        <v>14</v>
      </c>
      <c r="I119" s="31" t="s">
        <v>15</v>
      </c>
      <c r="J119" s="30" t="s">
        <v>7</v>
      </c>
      <c r="K119" s="33" t="s">
        <v>159</v>
      </c>
      <c r="L119" s="34">
        <v>46107.698251967595</v>
      </c>
      <c r="M119" s="17" t="b">
        <v>0</v>
      </c>
      <c r="N119" s="10" t="s">
        <v>660</v>
      </c>
    </row>
    <row r="120" spans="1:14" ht="408.95" customHeight="1" x14ac:dyDescent="0.25">
      <c r="A120" s="35">
        <v>1</v>
      </c>
      <c r="B120" s="36" t="s">
        <v>150</v>
      </c>
      <c r="C120" s="37" t="s">
        <v>151</v>
      </c>
      <c r="D120" s="41" t="b">
        <v>0</v>
      </c>
      <c r="E120" s="36" t="s">
        <v>33</v>
      </c>
      <c r="F120" s="37" t="s">
        <v>25</v>
      </c>
      <c r="G120" s="37" t="s">
        <v>17</v>
      </c>
      <c r="H120" s="37" t="s">
        <v>18</v>
      </c>
      <c r="I120" s="37" t="s">
        <v>19</v>
      </c>
      <c r="J120" s="36" t="s">
        <v>7</v>
      </c>
      <c r="K120" s="39" t="s">
        <v>160</v>
      </c>
      <c r="L120" s="40">
        <v>46107.698315069443</v>
      </c>
      <c r="M120" s="19" t="b">
        <v>0</v>
      </c>
      <c r="N120" s="9" t="s">
        <v>660</v>
      </c>
    </row>
    <row r="121" spans="1:14" ht="408.95" customHeight="1" x14ac:dyDescent="0.25">
      <c r="A121" s="29">
        <v>1</v>
      </c>
      <c r="B121" s="30" t="s">
        <v>150</v>
      </c>
      <c r="C121" s="31" t="s">
        <v>151</v>
      </c>
      <c r="D121" s="42" t="b">
        <v>0</v>
      </c>
      <c r="E121" s="30" t="s">
        <v>33</v>
      </c>
      <c r="F121" s="31" t="s">
        <v>25</v>
      </c>
      <c r="G121" s="31" t="s">
        <v>21</v>
      </c>
      <c r="H121" s="31" t="s">
        <v>22</v>
      </c>
      <c r="I121" s="31" t="s">
        <v>23</v>
      </c>
      <c r="J121" s="30" t="s">
        <v>7</v>
      </c>
      <c r="K121" s="33" t="s">
        <v>161</v>
      </c>
      <c r="L121" s="34">
        <v>46107.698419328706</v>
      </c>
      <c r="M121" s="17" t="b">
        <v>0</v>
      </c>
      <c r="N121" s="10" t="s">
        <v>660</v>
      </c>
    </row>
    <row r="122" spans="1:14" ht="408.95" customHeight="1" x14ac:dyDescent="0.25">
      <c r="A122" s="35">
        <v>1</v>
      </c>
      <c r="B122" s="36" t="s">
        <v>162</v>
      </c>
      <c r="C122" s="37" t="s">
        <v>163</v>
      </c>
      <c r="D122" s="38" t="b">
        <v>1</v>
      </c>
      <c r="E122" s="36" t="s">
        <v>164</v>
      </c>
      <c r="F122" s="37" t="s">
        <v>3</v>
      </c>
      <c r="G122" s="37" t="s">
        <v>4</v>
      </c>
      <c r="H122" s="37" t="s">
        <v>5</v>
      </c>
      <c r="I122" s="37" t="s">
        <v>6</v>
      </c>
      <c r="J122" s="36" t="s">
        <v>7</v>
      </c>
      <c r="K122" s="39" t="s">
        <v>165</v>
      </c>
      <c r="L122" s="40">
        <v>46107.698573576388</v>
      </c>
      <c r="M122" s="18" t="b">
        <v>1</v>
      </c>
      <c r="N122" s="7" t="s">
        <v>659</v>
      </c>
    </row>
    <row r="123" spans="1:14" ht="408.95" customHeight="1" x14ac:dyDescent="0.25">
      <c r="A123" s="29">
        <v>1</v>
      </c>
      <c r="B123" s="30" t="s">
        <v>162</v>
      </c>
      <c r="C123" s="31" t="s">
        <v>163</v>
      </c>
      <c r="D123" s="32" t="b">
        <v>1</v>
      </c>
      <c r="E123" s="30" t="s">
        <v>164</v>
      </c>
      <c r="F123" s="31" t="s">
        <v>3</v>
      </c>
      <c r="G123" s="31" t="s">
        <v>9</v>
      </c>
      <c r="H123" s="31" t="s">
        <v>10</v>
      </c>
      <c r="I123" s="31" t="s">
        <v>11</v>
      </c>
      <c r="J123" s="30" t="s">
        <v>7</v>
      </c>
      <c r="K123" s="33" t="s">
        <v>166</v>
      </c>
      <c r="L123" s="34">
        <v>46107.698788194444</v>
      </c>
      <c r="M123" s="17" t="b">
        <v>0</v>
      </c>
      <c r="N123" s="6" t="s">
        <v>658</v>
      </c>
    </row>
    <row r="124" spans="1:14" ht="408.95" customHeight="1" x14ac:dyDescent="0.25">
      <c r="A124" s="35">
        <v>1</v>
      </c>
      <c r="B124" s="36" t="s">
        <v>162</v>
      </c>
      <c r="C124" s="37" t="s">
        <v>163</v>
      </c>
      <c r="D124" s="38" t="b">
        <v>1</v>
      </c>
      <c r="E124" s="36" t="s">
        <v>164</v>
      </c>
      <c r="F124" s="37" t="s">
        <v>3</v>
      </c>
      <c r="G124" s="37" t="s">
        <v>13</v>
      </c>
      <c r="H124" s="37" t="s">
        <v>14</v>
      </c>
      <c r="I124" s="37" t="s">
        <v>15</v>
      </c>
      <c r="J124" s="36" t="s">
        <v>7</v>
      </c>
      <c r="K124" s="39" t="s">
        <v>167</v>
      </c>
      <c r="L124" s="40">
        <v>46107.699142662037</v>
      </c>
      <c r="M124" s="18" t="b">
        <v>1</v>
      </c>
      <c r="N124" s="7" t="s">
        <v>659</v>
      </c>
    </row>
    <row r="125" spans="1:14" ht="408.95" customHeight="1" x14ac:dyDescent="0.25">
      <c r="A125" s="29">
        <v>1</v>
      </c>
      <c r="B125" s="30" t="s">
        <v>162</v>
      </c>
      <c r="C125" s="31" t="s">
        <v>163</v>
      </c>
      <c r="D125" s="32" t="b">
        <v>1</v>
      </c>
      <c r="E125" s="30" t="s">
        <v>164</v>
      </c>
      <c r="F125" s="31" t="s">
        <v>3</v>
      </c>
      <c r="G125" s="31" t="s">
        <v>17</v>
      </c>
      <c r="H125" s="31" t="s">
        <v>18</v>
      </c>
      <c r="I125" s="31" t="s">
        <v>19</v>
      </c>
      <c r="J125" s="30" t="s">
        <v>7</v>
      </c>
      <c r="K125" s="33" t="s">
        <v>168</v>
      </c>
      <c r="L125" s="34">
        <v>46107.699254270832</v>
      </c>
      <c r="M125" s="16" t="b">
        <v>1</v>
      </c>
      <c r="N125" s="8" t="s">
        <v>659</v>
      </c>
    </row>
    <row r="126" spans="1:14" ht="408.95" customHeight="1" x14ac:dyDescent="0.25">
      <c r="A126" s="35">
        <v>1</v>
      </c>
      <c r="B126" s="36" t="s">
        <v>162</v>
      </c>
      <c r="C126" s="37" t="s">
        <v>163</v>
      </c>
      <c r="D126" s="38" t="b">
        <v>1</v>
      </c>
      <c r="E126" s="36" t="s">
        <v>164</v>
      </c>
      <c r="F126" s="37" t="s">
        <v>3</v>
      </c>
      <c r="G126" s="37" t="s">
        <v>21</v>
      </c>
      <c r="H126" s="37" t="s">
        <v>22</v>
      </c>
      <c r="I126" s="37" t="s">
        <v>23</v>
      </c>
      <c r="J126" s="36" t="s">
        <v>7</v>
      </c>
      <c r="K126" s="39" t="s">
        <v>169</v>
      </c>
      <c r="L126" s="40">
        <v>46107.699554641207</v>
      </c>
      <c r="M126" s="18" t="b">
        <v>1</v>
      </c>
      <c r="N126" s="7" t="s">
        <v>659</v>
      </c>
    </row>
    <row r="127" spans="1:14" ht="408.95" customHeight="1" x14ac:dyDescent="0.25">
      <c r="A127" s="29">
        <v>1</v>
      </c>
      <c r="B127" s="30" t="s">
        <v>162</v>
      </c>
      <c r="C127" s="31" t="s">
        <v>163</v>
      </c>
      <c r="D127" s="32" t="b">
        <v>1</v>
      </c>
      <c r="E127" s="30" t="s">
        <v>164</v>
      </c>
      <c r="F127" s="31" t="s">
        <v>25</v>
      </c>
      <c r="G127" s="31" t="s">
        <v>4</v>
      </c>
      <c r="H127" s="31" t="s">
        <v>5</v>
      </c>
      <c r="I127" s="31" t="s">
        <v>6</v>
      </c>
      <c r="J127" s="30" t="s">
        <v>7</v>
      </c>
      <c r="K127" s="33" t="s">
        <v>170</v>
      </c>
      <c r="L127" s="34">
        <v>46107.699710682871</v>
      </c>
      <c r="M127" s="16" t="b">
        <v>1</v>
      </c>
      <c r="N127" s="8" t="s">
        <v>659</v>
      </c>
    </row>
    <row r="128" spans="1:14" ht="408.95" customHeight="1" x14ac:dyDescent="0.25">
      <c r="A128" s="35">
        <v>1</v>
      </c>
      <c r="B128" s="36" t="s">
        <v>162</v>
      </c>
      <c r="C128" s="37" t="s">
        <v>163</v>
      </c>
      <c r="D128" s="38" t="b">
        <v>1</v>
      </c>
      <c r="E128" s="36" t="s">
        <v>164</v>
      </c>
      <c r="F128" s="37" t="s">
        <v>25</v>
      </c>
      <c r="G128" s="37" t="s">
        <v>9</v>
      </c>
      <c r="H128" s="37" t="s">
        <v>10</v>
      </c>
      <c r="I128" s="37" t="s">
        <v>11</v>
      </c>
      <c r="J128" s="36" t="s">
        <v>7</v>
      </c>
      <c r="K128" s="39" t="s">
        <v>171</v>
      </c>
      <c r="L128" s="40">
        <v>46107.699853043981</v>
      </c>
      <c r="M128" s="18" t="b">
        <v>1</v>
      </c>
      <c r="N128" s="7" t="s">
        <v>659</v>
      </c>
    </row>
    <row r="129" spans="1:14" ht="408.95" customHeight="1" x14ac:dyDescent="0.25">
      <c r="A129" s="29">
        <v>1</v>
      </c>
      <c r="B129" s="30" t="s">
        <v>162</v>
      </c>
      <c r="C129" s="31" t="s">
        <v>163</v>
      </c>
      <c r="D129" s="32" t="b">
        <v>1</v>
      </c>
      <c r="E129" s="30" t="s">
        <v>164</v>
      </c>
      <c r="F129" s="31" t="s">
        <v>25</v>
      </c>
      <c r="G129" s="31" t="s">
        <v>13</v>
      </c>
      <c r="H129" s="31" t="s">
        <v>14</v>
      </c>
      <c r="I129" s="31" t="s">
        <v>15</v>
      </c>
      <c r="J129" s="30" t="s">
        <v>7</v>
      </c>
      <c r="K129" s="33" t="s">
        <v>172</v>
      </c>
      <c r="L129" s="34">
        <v>46107.700052118053</v>
      </c>
      <c r="M129" s="16" t="b">
        <v>1</v>
      </c>
      <c r="N129" s="8" t="s">
        <v>659</v>
      </c>
    </row>
    <row r="130" spans="1:14" ht="408.95" customHeight="1" x14ac:dyDescent="0.25">
      <c r="A130" s="35">
        <v>1</v>
      </c>
      <c r="B130" s="36" t="s">
        <v>162</v>
      </c>
      <c r="C130" s="37" t="s">
        <v>163</v>
      </c>
      <c r="D130" s="38" t="b">
        <v>1</v>
      </c>
      <c r="E130" s="36" t="s">
        <v>164</v>
      </c>
      <c r="F130" s="37" t="s">
        <v>25</v>
      </c>
      <c r="G130" s="37" t="s">
        <v>17</v>
      </c>
      <c r="H130" s="37" t="s">
        <v>18</v>
      </c>
      <c r="I130" s="37" t="s">
        <v>19</v>
      </c>
      <c r="J130" s="36" t="s">
        <v>7</v>
      </c>
      <c r="K130" s="39" t="s">
        <v>173</v>
      </c>
      <c r="L130" s="40">
        <v>46107.700118576387</v>
      </c>
      <c r="M130" s="18" t="b">
        <v>1</v>
      </c>
      <c r="N130" s="7" t="s">
        <v>659</v>
      </c>
    </row>
    <row r="131" spans="1:14" ht="408.95" customHeight="1" x14ac:dyDescent="0.25">
      <c r="A131" s="29">
        <v>1</v>
      </c>
      <c r="B131" s="30" t="s">
        <v>162</v>
      </c>
      <c r="C131" s="31" t="s">
        <v>163</v>
      </c>
      <c r="D131" s="32" t="b">
        <v>1</v>
      </c>
      <c r="E131" s="30" t="s">
        <v>164</v>
      </c>
      <c r="F131" s="31" t="s">
        <v>25</v>
      </c>
      <c r="G131" s="31" t="s">
        <v>21</v>
      </c>
      <c r="H131" s="31" t="s">
        <v>22</v>
      </c>
      <c r="I131" s="31" t="s">
        <v>23</v>
      </c>
      <c r="J131" s="30" t="s">
        <v>7</v>
      </c>
      <c r="K131" s="33" t="s">
        <v>174</v>
      </c>
      <c r="L131" s="34">
        <v>46107.700261215279</v>
      </c>
      <c r="M131" s="16" t="b">
        <v>1</v>
      </c>
      <c r="N131" s="8" t="s">
        <v>659</v>
      </c>
    </row>
    <row r="132" spans="1:14" ht="408.95" customHeight="1" x14ac:dyDescent="0.25">
      <c r="A132" s="35">
        <v>1</v>
      </c>
      <c r="B132" s="36" t="s">
        <v>175</v>
      </c>
      <c r="C132" s="37" t="s">
        <v>176</v>
      </c>
      <c r="D132" s="41" t="b">
        <v>0</v>
      </c>
      <c r="E132" s="36" t="s">
        <v>33</v>
      </c>
      <c r="F132" s="37" t="s">
        <v>3</v>
      </c>
      <c r="G132" s="37" t="s">
        <v>4</v>
      </c>
      <c r="H132" s="37" t="s">
        <v>5</v>
      </c>
      <c r="I132" s="37" t="s">
        <v>6</v>
      </c>
      <c r="J132" s="36" t="s">
        <v>7</v>
      </c>
      <c r="K132" s="39" t="s">
        <v>177</v>
      </c>
      <c r="L132" s="40">
        <v>46107.700435555555</v>
      </c>
      <c r="M132" s="19" t="b">
        <v>0</v>
      </c>
      <c r="N132" s="9" t="s">
        <v>660</v>
      </c>
    </row>
    <row r="133" spans="1:14" ht="408.95" customHeight="1" x14ac:dyDescent="0.25">
      <c r="A133" s="29">
        <v>1</v>
      </c>
      <c r="B133" s="30" t="s">
        <v>175</v>
      </c>
      <c r="C133" s="31" t="s">
        <v>176</v>
      </c>
      <c r="D133" s="42" t="b">
        <v>0</v>
      </c>
      <c r="E133" s="30" t="s">
        <v>33</v>
      </c>
      <c r="F133" s="31" t="s">
        <v>3</v>
      </c>
      <c r="G133" s="31" t="s">
        <v>9</v>
      </c>
      <c r="H133" s="31" t="s">
        <v>10</v>
      </c>
      <c r="I133" s="31" t="s">
        <v>11</v>
      </c>
      <c r="J133" s="30" t="s">
        <v>7</v>
      </c>
      <c r="K133" s="33" t="s">
        <v>178</v>
      </c>
      <c r="L133" s="34">
        <v>46107.700690555554</v>
      </c>
      <c r="M133" s="17" t="b">
        <v>0</v>
      </c>
      <c r="N133" s="10" t="s">
        <v>660</v>
      </c>
    </row>
    <row r="134" spans="1:14" ht="408.95" customHeight="1" x14ac:dyDescent="0.25">
      <c r="A134" s="35">
        <v>1</v>
      </c>
      <c r="B134" s="36" t="s">
        <v>175</v>
      </c>
      <c r="C134" s="37" t="s">
        <v>176</v>
      </c>
      <c r="D134" s="41" t="b">
        <v>0</v>
      </c>
      <c r="E134" s="36" t="s">
        <v>33</v>
      </c>
      <c r="F134" s="37" t="s">
        <v>3</v>
      </c>
      <c r="G134" s="37" t="s">
        <v>13</v>
      </c>
      <c r="H134" s="37" t="s">
        <v>14</v>
      </c>
      <c r="I134" s="37" t="s">
        <v>15</v>
      </c>
      <c r="J134" s="36" t="s">
        <v>7</v>
      </c>
      <c r="K134" s="39" t="s">
        <v>179</v>
      </c>
      <c r="L134" s="40">
        <v>46107.701033773148</v>
      </c>
      <c r="M134" s="19" t="b">
        <v>0</v>
      </c>
      <c r="N134" s="9" t="s">
        <v>660</v>
      </c>
    </row>
    <row r="135" spans="1:14" ht="408.95" customHeight="1" x14ac:dyDescent="0.25">
      <c r="A135" s="29">
        <v>1</v>
      </c>
      <c r="B135" s="30" t="s">
        <v>175</v>
      </c>
      <c r="C135" s="31" t="s">
        <v>176</v>
      </c>
      <c r="D135" s="42" t="b">
        <v>0</v>
      </c>
      <c r="E135" s="30" t="s">
        <v>33</v>
      </c>
      <c r="F135" s="31" t="s">
        <v>3</v>
      </c>
      <c r="G135" s="31" t="s">
        <v>17</v>
      </c>
      <c r="H135" s="31" t="s">
        <v>18</v>
      </c>
      <c r="I135" s="31" t="s">
        <v>19</v>
      </c>
      <c r="J135" s="30" t="s">
        <v>7</v>
      </c>
      <c r="K135" s="33" t="s">
        <v>180</v>
      </c>
      <c r="L135" s="34">
        <v>46107.701167245374</v>
      </c>
      <c r="M135" s="16" t="b">
        <v>1</v>
      </c>
      <c r="N135" s="12" t="s">
        <v>661</v>
      </c>
    </row>
    <row r="136" spans="1:14" ht="408.95" customHeight="1" x14ac:dyDescent="0.25">
      <c r="A136" s="35">
        <v>1</v>
      </c>
      <c r="B136" s="36" t="s">
        <v>175</v>
      </c>
      <c r="C136" s="37" t="s">
        <v>176</v>
      </c>
      <c r="D136" s="41" t="b">
        <v>0</v>
      </c>
      <c r="E136" s="36" t="s">
        <v>33</v>
      </c>
      <c r="F136" s="37" t="s">
        <v>3</v>
      </c>
      <c r="G136" s="37" t="s">
        <v>21</v>
      </c>
      <c r="H136" s="37" t="s">
        <v>22</v>
      </c>
      <c r="I136" s="37" t="s">
        <v>23</v>
      </c>
      <c r="J136" s="36" t="s">
        <v>7</v>
      </c>
      <c r="K136" s="39" t="s">
        <v>181</v>
      </c>
      <c r="L136" s="40">
        <v>46107.701562083334</v>
      </c>
      <c r="M136" s="19" t="b">
        <v>0</v>
      </c>
      <c r="N136" s="9" t="s">
        <v>660</v>
      </c>
    </row>
    <row r="137" spans="1:14" ht="408.95" customHeight="1" x14ac:dyDescent="0.25">
      <c r="A137" s="29">
        <v>1</v>
      </c>
      <c r="B137" s="30" t="s">
        <v>175</v>
      </c>
      <c r="C137" s="31" t="s">
        <v>176</v>
      </c>
      <c r="D137" s="42" t="b">
        <v>0</v>
      </c>
      <c r="E137" s="30" t="s">
        <v>33</v>
      </c>
      <c r="F137" s="31" t="s">
        <v>25</v>
      </c>
      <c r="G137" s="31" t="s">
        <v>4</v>
      </c>
      <c r="H137" s="31" t="s">
        <v>5</v>
      </c>
      <c r="I137" s="31" t="s">
        <v>6</v>
      </c>
      <c r="J137" s="30" t="s">
        <v>7</v>
      </c>
      <c r="K137" s="33" t="s">
        <v>182</v>
      </c>
      <c r="L137" s="34">
        <v>46107.701695497686</v>
      </c>
      <c r="M137" s="17" t="b">
        <v>0</v>
      </c>
      <c r="N137" s="10" t="s">
        <v>660</v>
      </c>
    </row>
    <row r="138" spans="1:14" ht="408.95" customHeight="1" x14ac:dyDescent="0.25">
      <c r="A138" s="35">
        <v>1</v>
      </c>
      <c r="B138" s="36" t="s">
        <v>175</v>
      </c>
      <c r="C138" s="37" t="s">
        <v>176</v>
      </c>
      <c r="D138" s="41" t="b">
        <v>0</v>
      </c>
      <c r="E138" s="36" t="s">
        <v>33</v>
      </c>
      <c r="F138" s="37" t="s">
        <v>25</v>
      </c>
      <c r="G138" s="37" t="s">
        <v>9</v>
      </c>
      <c r="H138" s="37" t="s">
        <v>10</v>
      </c>
      <c r="I138" s="37" t="s">
        <v>11</v>
      </c>
      <c r="J138" s="36" t="s">
        <v>7</v>
      </c>
      <c r="K138" s="39" t="s">
        <v>183</v>
      </c>
      <c r="L138" s="40">
        <v>46107.701822141207</v>
      </c>
      <c r="M138" s="19" t="b">
        <v>0</v>
      </c>
      <c r="N138" s="9" t="s">
        <v>660</v>
      </c>
    </row>
    <row r="139" spans="1:14" ht="408.95" customHeight="1" x14ac:dyDescent="0.25">
      <c r="A139" s="29">
        <v>1</v>
      </c>
      <c r="B139" s="30" t="s">
        <v>175</v>
      </c>
      <c r="C139" s="31" t="s">
        <v>176</v>
      </c>
      <c r="D139" s="42" t="b">
        <v>0</v>
      </c>
      <c r="E139" s="30" t="s">
        <v>33</v>
      </c>
      <c r="F139" s="31" t="s">
        <v>25</v>
      </c>
      <c r="G139" s="31" t="s">
        <v>13</v>
      </c>
      <c r="H139" s="31" t="s">
        <v>14</v>
      </c>
      <c r="I139" s="31" t="s">
        <v>15</v>
      </c>
      <c r="J139" s="30" t="s">
        <v>7</v>
      </c>
      <c r="K139" s="33" t="s">
        <v>184</v>
      </c>
      <c r="L139" s="34">
        <v>46107.702029282409</v>
      </c>
      <c r="M139" s="17" t="b">
        <v>0</v>
      </c>
      <c r="N139" s="10" t="s">
        <v>660</v>
      </c>
    </row>
    <row r="140" spans="1:14" ht="408.95" customHeight="1" x14ac:dyDescent="0.25">
      <c r="A140" s="35">
        <v>1</v>
      </c>
      <c r="B140" s="36" t="s">
        <v>175</v>
      </c>
      <c r="C140" s="37" t="s">
        <v>176</v>
      </c>
      <c r="D140" s="41" t="b">
        <v>0</v>
      </c>
      <c r="E140" s="36" t="s">
        <v>33</v>
      </c>
      <c r="F140" s="37" t="s">
        <v>25</v>
      </c>
      <c r="G140" s="37" t="s">
        <v>17</v>
      </c>
      <c r="H140" s="37" t="s">
        <v>18</v>
      </c>
      <c r="I140" s="37" t="s">
        <v>19</v>
      </c>
      <c r="J140" s="36" t="s">
        <v>7</v>
      </c>
      <c r="K140" s="39" t="s">
        <v>185</v>
      </c>
      <c r="L140" s="40">
        <v>46107.702085509256</v>
      </c>
      <c r="M140" s="19" t="b">
        <v>0</v>
      </c>
      <c r="N140" s="9" t="s">
        <v>660</v>
      </c>
    </row>
    <row r="141" spans="1:14" ht="408.95" customHeight="1" x14ac:dyDescent="0.25">
      <c r="A141" s="29">
        <v>1</v>
      </c>
      <c r="B141" s="30" t="s">
        <v>175</v>
      </c>
      <c r="C141" s="31" t="s">
        <v>176</v>
      </c>
      <c r="D141" s="42" t="b">
        <v>0</v>
      </c>
      <c r="E141" s="30" t="s">
        <v>33</v>
      </c>
      <c r="F141" s="31" t="s">
        <v>25</v>
      </c>
      <c r="G141" s="31" t="s">
        <v>21</v>
      </c>
      <c r="H141" s="31" t="s">
        <v>22</v>
      </c>
      <c r="I141" s="31" t="s">
        <v>23</v>
      </c>
      <c r="J141" s="30" t="s">
        <v>7</v>
      </c>
      <c r="K141" s="33" t="s">
        <v>186</v>
      </c>
      <c r="L141" s="34">
        <v>46107.702203414352</v>
      </c>
      <c r="M141" s="17" t="b">
        <v>0</v>
      </c>
      <c r="N141" s="10" t="s">
        <v>660</v>
      </c>
    </row>
    <row r="142" spans="1:14" ht="408.95" customHeight="1" x14ac:dyDescent="0.25">
      <c r="A142" s="35">
        <v>1</v>
      </c>
      <c r="B142" s="36" t="s">
        <v>187</v>
      </c>
      <c r="C142" s="37" t="s">
        <v>188</v>
      </c>
      <c r="D142" s="38" t="b">
        <v>1</v>
      </c>
      <c r="E142" s="36" t="s">
        <v>164</v>
      </c>
      <c r="F142" s="37" t="s">
        <v>3</v>
      </c>
      <c r="G142" s="37" t="s">
        <v>4</v>
      </c>
      <c r="H142" s="37" t="s">
        <v>5</v>
      </c>
      <c r="I142" s="37" t="s">
        <v>6</v>
      </c>
      <c r="J142" s="36" t="s">
        <v>7</v>
      </c>
      <c r="K142" s="39" t="s">
        <v>189</v>
      </c>
      <c r="L142" s="40">
        <v>46107.702389016202</v>
      </c>
      <c r="M142" s="19" t="b">
        <v>0</v>
      </c>
      <c r="N142" s="11" t="s">
        <v>658</v>
      </c>
    </row>
    <row r="143" spans="1:14" ht="408.95" customHeight="1" x14ac:dyDescent="0.25">
      <c r="A143" s="29">
        <v>1</v>
      </c>
      <c r="B143" s="30" t="s">
        <v>187</v>
      </c>
      <c r="C143" s="31" t="s">
        <v>188</v>
      </c>
      <c r="D143" s="32" t="b">
        <v>1</v>
      </c>
      <c r="E143" s="30" t="s">
        <v>164</v>
      </c>
      <c r="F143" s="31" t="s">
        <v>3</v>
      </c>
      <c r="G143" s="31" t="s">
        <v>9</v>
      </c>
      <c r="H143" s="31" t="s">
        <v>10</v>
      </c>
      <c r="I143" s="31" t="s">
        <v>11</v>
      </c>
      <c r="J143" s="30" t="s">
        <v>7</v>
      </c>
      <c r="K143" s="33" t="s">
        <v>190</v>
      </c>
      <c r="L143" s="34">
        <v>46107.702606921295</v>
      </c>
      <c r="M143" s="17" t="b">
        <v>0</v>
      </c>
      <c r="N143" s="6" t="s">
        <v>658</v>
      </c>
    </row>
    <row r="144" spans="1:14" ht="408.95" customHeight="1" x14ac:dyDescent="0.25">
      <c r="A144" s="35">
        <v>1</v>
      </c>
      <c r="B144" s="36" t="s">
        <v>187</v>
      </c>
      <c r="C144" s="37" t="s">
        <v>188</v>
      </c>
      <c r="D144" s="38" t="b">
        <v>1</v>
      </c>
      <c r="E144" s="36" t="s">
        <v>164</v>
      </c>
      <c r="F144" s="37" t="s">
        <v>3</v>
      </c>
      <c r="G144" s="37" t="s">
        <v>13</v>
      </c>
      <c r="H144" s="37" t="s">
        <v>14</v>
      </c>
      <c r="I144" s="37" t="s">
        <v>15</v>
      </c>
      <c r="J144" s="36" t="s">
        <v>7</v>
      </c>
      <c r="K144" s="39" t="s">
        <v>191</v>
      </c>
      <c r="L144" s="40">
        <v>46107.70301135417</v>
      </c>
      <c r="M144" s="18" t="b">
        <v>1</v>
      </c>
      <c r="N144" s="7" t="s">
        <v>659</v>
      </c>
    </row>
    <row r="145" spans="1:14" ht="408.95" customHeight="1" x14ac:dyDescent="0.25">
      <c r="A145" s="29">
        <v>1</v>
      </c>
      <c r="B145" s="30" t="s">
        <v>187</v>
      </c>
      <c r="C145" s="31" t="s">
        <v>188</v>
      </c>
      <c r="D145" s="32" t="b">
        <v>1</v>
      </c>
      <c r="E145" s="30" t="s">
        <v>164</v>
      </c>
      <c r="F145" s="31" t="s">
        <v>3</v>
      </c>
      <c r="G145" s="31" t="s">
        <v>17</v>
      </c>
      <c r="H145" s="31" t="s">
        <v>18</v>
      </c>
      <c r="I145" s="31" t="s">
        <v>19</v>
      </c>
      <c r="J145" s="30" t="s">
        <v>7</v>
      </c>
      <c r="K145" s="33" t="s">
        <v>192</v>
      </c>
      <c r="L145" s="34">
        <v>46107.703137500001</v>
      </c>
      <c r="M145" s="16" t="b">
        <v>1</v>
      </c>
      <c r="N145" s="8" t="s">
        <v>659</v>
      </c>
    </row>
    <row r="146" spans="1:14" ht="408.95" customHeight="1" x14ac:dyDescent="0.25">
      <c r="A146" s="35">
        <v>1</v>
      </c>
      <c r="B146" s="36" t="s">
        <v>187</v>
      </c>
      <c r="C146" s="37" t="s">
        <v>188</v>
      </c>
      <c r="D146" s="38" t="b">
        <v>1</v>
      </c>
      <c r="E146" s="36" t="s">
        <v>164</v>
      </c>
      <c r="F146" s="37" t="s">
        <v>3</v>
      </c>
      <c r="G146" s="37" t="s">
        <v>21</v>
      </c>
      <c r="H146" s="37" t="s">
        <v>22</v>
      </c>
      <c r="I146" s="37" t="s">
        <v>23</v>
      </c>
      <c r="J146" s="36" t="s">
        <v>7</v>
      </c>
      <c r="K146" s="39" t="s">
        <v>193</v>
      </c>
      <c r="L146" s="40">
        <v>46107.703356585647</v>
      </c>
      <c r="M146" s="18" t="b">
        <v>1</v>
      </c>
      <c r="N146" s="7" t="s">
        <v>659</v>
      </c>
    </row>
    <row r="147" spans="1:14" ht="408.95" customHeight="1" x14ac:dyDescent="0.25">
      <c r="A147" s="29">
        <v>1</v>
      </c>
      <c r="B147" s="30" t="s">
        <v>187</v>
      </c>
      <c r="C147" s="31" t="s">
        <v>188</v>
      </c>
      <c r="D147" s="32" t="b">
        <v>1</v>
      </c>
      <c r="E147" s="30" t="s">
        <v>164</v>
      </c>
      <c r="F147" s="31" t="s">
        <v>25</v>
      </c>
      <c r="G147" s="31" t="s">
        <v>4</v>
      </c>
      <c r="H147" s="31" t="s">
        <v>5</v>
      </c>
      <c r="I147" s="31" t="s">
        <v>6</v>
      </c>
      <c r="J147" s="30" t="s">
        <v>7</v>
      </c>
      <c r="K147" s="33" t="s">
        <v>194</v>
      </c>
      <c r="L147" s="34">
        <v>46107.70349378472</v>
      </c>
      <c r="M147" s="16" t="b">
        <v>1</v>
      </c>
      <c r="N147" s="8" t="s">
        <v>659</v>
      </c>
    </row>
    <row r="148" spans="1:14" ht="408.95" customHeight="1" x14ac:dyDescent="0.25">
      <c r="A148" s="35">
        <v>1</v>
      </c>
      <c r="B148" s="36" t="s">
        <v>187</v>
      </c>
      <c r="C148" s="37" t="s">
        <v>188</v>
      </c>
      <c r="D148" s="38" t="b">
        <v>1</v>
      </c>
      <c r="E148" s="36" t="s">
        <v>164</v>
      </c>
      <c r="F148" s="37" t="s">
        <v>25</v>
      </c>
      <c r="G148" s="37" t="s">
        <v>9</v>
      </c>
      <c r="H148" s="37" t="s">
        <v>10</v>
      </c>
      <c r="I148" s="37" t="s">
        <v>11</v>
      </c>
      <c r="J148" s="36" t="s">
        <v>7</v>
      </c>
      <c r="K148" s="39" t="s">
        <v>195</v>
      </c>
      <c r="L148" s="40">
        <v>46107.703596319443</v>
      </c>
      <c r="M148" s="19" t="b">
        <v>0</v>
      </c>
      <c r="N148" s="11" t="s">
        <v>658</v>
      </c>
    </row>
    <row r="149" spans="1:14" ht="408.95" customHeight="1" x14ac:dyDescent="0.25">
      <c r="A149" s="29">
        <v>1</v>
      </c>
      <c r="B149" s="30" t="s">
        <v>187</v>
      </c>
      <c r="C149" s="31" t="s">
        <v>188</v>
      </c>
      <c r="D149" s="32" t="b">
        <v>1</v>
      </c>
      <c r="E149" s="30" t="s">
        <v>164</v>
      </c>
      <c r="F149" s="31" t="s">
        <v>25</v>
      </c>
      <c r="G149" s="31" t="s">
        <v>13</v>
      </c>
      <c r="H149" s="31" t="s">
        <v>14</v>
      </c>
      <c r="I149" s="31" t="s">
        <v>15</v>
      </c>
      <c r="J149" s="30" t="s">
        <v>7</v>
      </c>
      <c r="K149" s="33" t="s">
        <v>196</v>
      </c>
      <c r="L149" s="34">
        <v>46107.70381417824</v>
      </c>
      <c r="M149" s="16" t="b">
        <v>1</v>
      </c>
      <c r="N149" s="8" t="s">
        <v>659</v>
      </c>
    </row>
    <row r="150" spans="1:14" ht="408.95" customHeight="1" x14ac:dyDescent="0.25">
      <c r="A150" s="35">
        <v>1</v>
      </c>
      <c r="B150" s="36" t="s">
        <v>187</v>
      </c>
      <c r="C150" s="37" t="s">
        <v>188</v>
      </c>
      <c r="D150" s="38" t="b">
        <v>1</v>
      </c>
      <c r="E150" s="36" t="s">
        <v>164</v>
      </c>
      <c r="F150" s="37" t="s">
        <v>25</v>
      </c>
      <c r="G150" s="37" t="s">
        <v>17</v>
      </c>
      <c r="H150" s="37" t="s">
        <v>18</v>
      </c>
      <c r="I150" s="37" t="s">
        <v>19</v>
      </c>
      <c r="J150" s="36" t="s">
        <v>7</v>
      </c>
      <c r="K150" s="39" t="s">
        <v>197</v>
      </c>
      <c r="L150" s="40">
        <v>46107.70390083333</v>
      </c>
      <c r="M150" s="18" t="b">
        <v>1</v>
      </c>
      <c r="N150" s="7" t="s">
        <v>659</v>
      </c>
    </row>
    <row r="151" spans="1:14" ht="408.95" customHeight="1" x14ac:dyDescent="0.25">
      <c r="A151" s="29">
        <v>1</v>
      </c>
      <c r="B151" s="30" t="s">
        <v>187</v>
      </c>
      <c r="C151" s="31" t="s">
        <v>188</v>
      </c>
      <c r="D151" s="32" t="b">
        <v>1</v>
      </c>
      <c r="E151" s="30" t="s">
        <v>164</v>
      </c>
      <c r="F151" s="31" t="s">
        <v>25</v>
      </c>
      <c r="G151" s="31" t="s">
        <v>21</v>
      </c>
      <c r="H151" s="31" t="s">
        <v>22</v>
      </c>
      <c r="I151" s="31" t="s">
        <v>23</v>
      </c>
      <c r="J151" s="30" t="s">
        <v>7</v>
      </c>
      <c r="K151" s="33" t="s">
        <v>198</v>
      </c>
      <c r="L151" s="34">
        <v>46107.704144305557</v>
      </c>
      <c r="M151" s="16" t="b">
        <v>1</v>
      </c>
      <c r="N151" s="8" t="s">
        <v>659</v>
      </c>
    </row>
    <row r="152" spans="1:14" ht="408.95" customHeight="1" x14ac:dyDescent="0.25">
      <c r="A152" s="35">
        <v>1</v>
      </c>
      <c r="B152" s="36" t="s">
        <v>199</v>
      </c>
      <c r="C152" s="37" t="s">
        <v>200</v>
      </c>
      <c r="D152" s="41" t="b">
        <v>0</v>
      </c>
      <c r="E152" s="36" t="s">
        <v>33</v>
      </c>
      <c r="F152" s="37" t="s">
        <v>3</v>
      </c>
      <c r="G152" s="37" t="s">
        <v>4</v>
      </c>
      <c r="H152" s="37" t="s">
        <v>5</v>
      </c>
      <c r="I152" s="37" t="s">
        <v>6</v>
      </c>
      <c r="J152" s="36" t="s">
        <v>7</v>
      </c>
      <c r="K152" s="39" t="s">
        <v>201</v>
      </c>
      <c r="L152" s="40">
        <v>46107.704360451389</v>
      </c>
      <c r="M152" s="19" t="b">
        <v>0</v>
      </c>
      <c r="N152" s="9" t="s">
        <v>660</v>
      </c>
    </row>
    <row r="153" spans="1:14" ht="408.95" customHeight="1" x14ac:dyDescent="0.25">
      <c r="A153" s="29">
        <v>1</v>
      </c>
      <c r="B153" s="30" t="s">
        <v>199</v>
      </c>
      <c r="C153" s="31" t="s">
        <v>200</v>
      </c>
      <c r="D153" s="42" t="b">
        <v>0</v>
      </c>
      <c r="E153" s="30" t="s">
        <v>33</v>
      </c>
      <c r="F153" s="31" t="s">
        <v>3</v>
      </c>
      <c r="G153" s="31" t="s">
        <v>9</v>
      </c>
      <c r="H153" s="31" t="s">
        <v>10</v>
      </c>
      <c r="I153" s="31" t="s">
        <v>11</v>
      </c>
      <c r="J153" s="30" t="s">
        <v>7</v>
      </c>
      <c r="K153" s="33" t="s">
        <v>202</v>
      </c>
      <c r="L153" s="34">
        <v>46107.704602083337</v>
      </c>
      <c r="M153" s="17" t="b">
        <v>0</v>
      </c>
      <c r="N153" s="10" t="s">
        <v>660</v>
      </c>
    </row>
    <row r="154" spans="1:14" ht="408.95" customHeight="1" x14ac:dyDescent="0.25">
      <c r="A154" s="35">
        <v>1</v>
      </c>
      <c r="B154" s="36" t="s">
        <v>199</v>
      </c>
      <c r="C154" s="37" t="s">
        <v>200</v>
      </c>
      <c r="D154" s="41" t="b">
        <v>0</v>
      </c>
      <c r="E154" s="36" t="s">
        <v>33</v>
      </c>
      <c r="F154" s="37" t="s">
        <v>3</v>
      </c>
      <c r="G154" s="37" t="s">
        <v>13</v>
      </c>
      <c r="H154" s="37" t="s">
        <v>14</v>
      </c>
      <c r="I154" s="37" t="s">
        <v>15</v>
      </c>
      <c r="J154" s="36" t="s">
        <v>7</v>
      </c>
      <c r="K154" s="39" t="s">
        <v>203</v>
      </c>
      <c r="L154" s="40">
        <v>46107.704924155092</v>
      </c>
      <c r="M154" s="19" t="b">
        <v>0</v>
      </c>
      <c r="N154" s="49" t="s">
        <v>660</v>
      </c>
    </row>
    <row r="155" spans="1:14" ht="408.95" customHeight="1" x14ac:dyDescent="0.25">
      <c r="A155" s="29">
        <v>1</v>
      </c>
      <c r="B155" s="30" t="s">
        <v>199</v>
      </c>
      <c r="C155" s="31" t="s">
        <v>200</v>
      </c>
      <c r="D155" s="42" t="b">
        <v>0</v>
      </c>
      <c r="E155" s="30" t="s">
        <v>33</v>
      </c>
      <c r="F155" s="31" t="s">
        <v>3</v>
      </c>
      <c r="G155" s="31" t="s">
        <v>17</v>
      </c>
      <c r="H155" s="31" t="s">
        <v>18</v>
      </c>
      <c r="I155" s="31" t="s">
        <v>19</v>
      </c>
      <c r="J155" s="30" t="s">
        <v>7</v>
      </c>
      <c r="K155" s="33" t="s">
        <v>204</v>
      </c>
      <c r="L155" s="34">
        <v>46107.705041215275</v>
      </c>
      <c r="M155" s="17" t="b">
        <v>0</v>
      </c>
      <c r="N155" s="10" t="s">
        <v>660</v>
      </c>
    </row>
    <row r="156" spans="1:14" ht="408.95" customHeight="1" x14ac:dyDescent="0.25">
      <c r="A156" s="35">
        <v>1</v>
      </c>
      <c r="B156" s="36" t="s">
        <v>199</v>
      </c>
      <c r="C156" s="37" t="s">
        <v>200</v>
      </c>
      <c r="D156" s="41" t="b">
        <v>0</v>
      </c>
      <c r="E156" s="36" t="s">
        <v>33</v>
      </c>
      <c r="F156" s="37" t="s">
        <v>3</v>
      </c>
      <c r="G156" s="37" t="s">
        <v>21</v>
      </c>
      <c r="H156" s="37" t="s">
        <v>22</v>
      </c>
      <c r="I156" s="37" t="s">
        <v>23</v>
      </c>
      <c r="J156" s="36" t="s">
        <v>7</v>
      </c>
      <c r="K156" s="39" t="s">
        <v>205</v>
      </c>
      <c r="L156" s="40">
        <v>46107.705353356483</v>
      </c>
      <c r="M156" s="19" t="b">
        <v>0</v>
      </c>
      <c r="N156" s="9" t="s">
        <v>660</v>
      </c>
    </row>
    <row r="157" spans="1:14" ht="408.95" customHeight="1" x14ac:dyDescent="0.25">
      <c r="A157" s="29">
        <v>1</v>
      </c>
      <c r="B157" s="30" t="s">
        <v>199</v>
      </c>
      <c r="C157" s="31" t="s">
        <v>200</v>
      </c>
      <c r="D157" s="42" t="b">
        <v>0</v>
      </c>
      <c r="E157" s="30" t="s">
        <v>33</v>
      </c>
      <c r="F157" s="31" t="s">
        <v>25</v>
      </c>
      <c r="G157" s="31" t="s">
        <v>4</v>
      </c>
      <c r="H157" s="31" t="s">
        <v>5</v>
      </c>
      <c r="I157" s="31" t="s">
        <v>6</v>
      </c>
      <c r="J157" s="30" t="s">
        <v>7</v>
      </c>
      <c r="K157" s="33" t="s">
        <v>206</v>
      </c>
      <c r="L157" s="34">
        <v>46107.705489953703</v>
      </c>
      <c r="M157" s="17" t="b">
        <v>0</v>
      </c>
      <c r="N157" s="10" t="s">
        <v>660</v>
      </c>
    </row>
    <row r="158" spans="1:14" ht="408.95" customHeight="1" x14ac:dyDescent="0.25">
      <c r="A158" s="35">
        <v>1</v>
      </c>
      <c r="B158" s="36" t="s">
        <v>199</v>
      </c>
      <c r="C158" s="37" t="s">
        <v>200</v>
      </c>
      <c r="D158" s="41" t="b">
        <v>0</v>
      </c>
      <c r="E158" s="36" t="s">
        <v>33</v>
      </c>
      <c r="F158" s="37" t="s">
        <v>25</v>
      </c>
      <c r="G158" s="37" t="s">
        <v>9</v>
      </c>
      <c r="H158" s="37" t="s">
        <v>10</v>
      </c>
      <c r="I158" s="37" t="s">
        <v>11</v>
      </c>
      <c r="J158" s="36" t="s">
        <v>7</v>
      </c>
      <c r="K158" s="39" t="s">
        <v>207</v>
      </c>
      <c r="L158" s="40">
        <v>46107.705641747685</v>
      </c>
      <c r="M158" s="19" t="b">
        <v>0</v>
      </c>
      <c r="N158" s="9" t="s">
        <v>660</v>
      </c>
    </row>
    <row r="159" spans="1:14" ht="408.95" customHeight="1" x14ac:dyDescent="0.25">
      <c r="A159" s="29">
        <v>1</v>
      </c>
      <c r="B159" s="30" t="s">
        <v>199</v>
      </c>
      <c r="C159" s="31" t="s">
        <v>200</v>
      </c>
      <c r="D159" s="42" t="b">
        <v>0</v>
      </c>
      <c r="E159" s="30" t="s">
        <v>33</v>
      </c>
      <c r="F159" s="31" t="s">
        <v>25</v>
      </c>
      <c r="G159" s="31" t="s">
        <v>13</v>
      </c>
      <c r="H159" s="31" t="s">
        <v>14</v>
      </c>
      <c r="I159" s="31" t="s">
        <v>15</v>
      </c>
      <c r="J159" s="30" t="s">
        <v>7</v>
      </c>
      <c r="K159" s="33" t="s">
        <v>208</v>
      </c>
      <c r="L159" s="34">
        <v>46107.705926469906</v>
      </c>
      <c r="M159" s="17" t="b">
        <v>0</v>
      </c>
      <c r="N159" s="10" t="s">
        <v>660</v>
      </c>
    </row>
    <row r="160" spans="1:14" ht="408.95" customHeight="1" x14ac:dyDescent="0.25">
      <c r="A160" s="35">
        <v>1</v>
      </c>
      <c r="B160" s="36" t="s">
        <v>199</v>
      </c>
      <c r="C160" s="37" t="s">
        <v>200</v>
      </c>
      <c r="D160" s="41" t="b">
        <v>0</v>
      </c>
      <c r="E160" s="36" t="s">
        <v>33</v>
      </c>
      <c r="F160" s="37" t="s">
        <v>25</v>
      </c>
      <c r="G160" s="37" t="s">
        <v>17</v>
      </c>
      <c r="H160" s="37" t="s">
        <v>18</v>
      </c>
      <c r="I160" s="37" t="s">
        <v>19</v>
      </c>
      <c r="J160" s="36" t="s">
        <v>7</v>
      </c>
      <c r="K160" s="39" t="s">
        <v>209</v>
      </c>
      <c r="L160" s="40">
        <v>46107.706005069442</v>
      </c>
      <c r="M160" s="18" t="b">
        <v>1</v>
      </c>
      <c r="N160" s="13" t="s">
        <v>661</v>
      </c>
    </row>
    <row r="161" spans="1:14" ht="408.95" customHeight="1" x14ac:dyDescent="0.25">
      <c r="A161" s="29">
        <v>1</v>
      </c>
      <c r="B161" s="30" t="s">
        <v>199</v>
      </c>
      <c r="C161" s="31" t="s">
        <v>200</v>
      </c>
      <c r="D161" s="42" t="b">
        <v>0</v>
      </c>
      <c r="E161" s="30" t="s">
        <v>33</v>
      </c>
      <c r="F161" s="31" t="s">
        <v>25</v>
      </c>
      <c r="G161" s="31" t="s">
        <v>21</v>
      </c>
      <c r="H161" s="31" t="s">
        <v>22</v>
      </c>
      <c r="I161" s="31" t="s">
        <v>23</v>
      </c>
      <c r="J161" s="30" t="s">
        <v>7</v>
      </c>
      <c r="K161" s="33" t="s">
        <v>210</v>
      </c>
      <c r="L161" s="34">
        <v>46107.706284953703</v>
      </c>
      <c r="M161" s="17" t="b">
        <v>0</v>
      </c>
      <c r="N161" s="10" t="s">
        <v>660</v>
      </c>
    </row>
    <row r="162" spans="1:14" ht="408.95" customHeight="1" x14ac:dyDescent="0.25">
      <c r="A162" s="35">
        <v>1</v>
      </c>
      <c r="B162" s="36" t="s">
        <v>211</v>
      </c>
      <c r="C162" s="37" t="s">
        <v>212</v>
      </c>
      <c r="D162" s="38" t="b">
        <v>1</v>
      </c>
      <c r="E162" s="36" t="s">
        <v>213</v>
      </c>
      <c r="F162" s="37" t="s">
        <v>3</v>
      </c>
      <c r="G162" s="37" t="s">
        <v>4</v>
      </c>
      <c r="H162" s="37" t="s">
        <v>5</v>
      </c>
      <c r="I162" s="37" t="s">
        <v>6</v>
      </c>
      <c r="J162" s="36" t="s">
        <v>7</v>
      </c>
      <c r="K162" s="39" t="s">
        <v>214</v>
      </c>
      <c r="L162" s="40">
        <v>46107.706449027777</v>
      </c>
      <c r="M162" s="19" t="b">
        <v>0</v>
      </c>
      <c r="N162" s="11" t="s">
        <v>658</v>
      </c>
    </row>
    <row r="163" spans="1:14" ht="408.95" customHeight="1" x14ac:dyDescent="0.25">
      <c r="A163" s="29">
        <v>1</v>
      </c>
      <c r="B163" s="30" t="s">
        <v>211</v>
      </c>
      <c r="C163" s="31" t="s">
        <v>212</v>
      </c>
      <c r="D163" s="32" t="b">
        <v>1</v>
      </c>
      <c r="E163" s="30" t="s">
        <v>213</v>
      </c>
      <c r="F163" s="31" t="s">
        <v>3</v>
      </c>
      <c r="G163" s="31" t="s">
        <v>9</v>
      </c>
      <c r="H163" s="31" t="s">
        <v>10</v>
      </c>
      <c r="I163" s="31" t="s">
        <v>11</v>
      </c>
      <c r="J163" s="30" t="s">
        <v>7</v>
      </c>
      <c r="K163" s="33" t="s">
        <v>215</v>
      </c>
      <c r="L163" s="34">
        <v>46107.706697361114</v>
      </c>
      <c r="M163" s="17" t="b">
        <v>0</v>
      </c>
      <c r="N163" s="6" t="s">
        <v>658</v>
      </c>
    </row>
    <row r="164" spans="1:14" ht="408.95" customHeight="1" x14ac:dyDescent="0.25">
      <c r="A164" s="35">
        <v>1</v>
      </c>
      <c r="B164" s="36" t="s">
        <v>211</v>
      </c>
      <c r="C164" s="37" t="s">
        <v>212</v>
      </c>
      <c r="D164" s="38" t="b">
        <v>1</v>
      </c>
      <c r="E164" s="36" t="s">
        <v>213</v>
      </c>
      <c r="F164" s="37" t="s">
        <v>3</v>
      </c>
      <c r="G164" s="37" t="s">
        <v>13</v>
      </c>
      <c r="H164" s="37" t="s">
        <v>14</v>
      </c>
      <c r="I164" s="37" t="s">
        <v>15</v>
      </c>
      <c r="J164" s="36" t="s">
        <v>7</v>
      </c>
      <c r="K164" s="39" t="s">
        <v>216</v>
      </c>
      <c r="L164" s="40">
        <v>46107.707031030091</v>
      </c>
      <c r="M164" s="18" t="b">
        <v>1</v>
      </c>
      <c r="N164" s="7" t="s">
        <v>659</v>
      </c>
    </row>
    <row r="165" spans="1:14" ht="408.95" customHeight="1" x14ac:dyDescent="0.25">
      <c r="A165" s="29">
        <v>1</v>
      </c>
      <c r="B165" s="30" t="s">
        <v>211</v>
      </c>
      <c r="C165" s="31" t="s">
        <v>212</v>
      </c>
      <c r="D165" s="32" t="b">
        <v>1</v>
      </c>
      <c r="E165" s="30" t="s">
        <v>213</v>
      </c>
      <c r="F165" s="31" t="s">
        <v>3</v>
      </c>
      <c r="G165" s="31" t="s">
        <v>17</v>
      </c>
      <c r="H165" s="31" t="s">
        <v>18</v>
      </c>
      <c r="I165" s="31" t="s">
        <v>19</v>
      </c>
      <c r="J165" s="30" t="s">
        <v>7</v>
      </c>
      <c r="K165" s="33" t="s">
        <v>217</v>
      </c>
      <c r="L165" s="34">
        <v>46107.707166736109</v>
      </c>
      <c r="M165" s="17" t="b">
        <v>0</v>
      </c>
      <c r="N165" s="6" t="s">
        <v>658</v>
      </c>
    </row>
    <row r="166" spans="1:14" ht="408.95" customHeight="1" x14ac:dyDescent="0.25">
      <c r="A166" s="35">
        <v>1</v>
      </c>
      <c r="B166" s="36" t="s">
        <v>211</v>
      </c>
      <c r="C166" s="37" t="s">
        <v>212</v>
      </c>
      <c r="D166" s="38" t="b">
        <v>1</v>
      </c>
      <c r="E166" s="36" t="s">
        <v>213</v>
      </c>
      <c r="F166" s="37" t="s">
        <v>3</v>
      </c>
      <c r="G166" s="37" t="s">
        <v>21</v>
      </c>
      <c r="H166" s="37" t="s">
        <v>22</v>
      </c>
      <c r="I166" s="37" t="s">
        <v>23</v>
      </c>
      <c r="J166" s="36" t="s">
        <v>7</v>
      </c>
      <c r="K166" s="39" t="s">
        <v>218</v>
      </c>
      <c r="L166" s="40">
        <v>46107.707416365738</v>
      </c>
      <c r="M166" s="18" t="b">
        <v>1</v>
      </c>
      <c r="N166" s="7" t="s">
        <v>659</v>
      </c>
    </row>
    <row r="167" spans="1:14" ht="408.95" customHeight="1" x14ac:dyDescent="0.25">
      <c r="A167" s="29">
        <v>1</v>
      </c>
      <c r="B167" s="30" t="s">
        <v>211</v>
      </c>
      <c r="C167" s="31" t="s">
        <v>212</v>
      </c>
      <c r="D167" s="32" t="b">
        <v>1</v>
      </c>
      <c r="E167" s="30" t="s">
        <v>213</v>
      </c>
      <c r="F167" s="31" t="s">
        <v>25</v>
      </c>
      <c r="G167" s="31" t="s">
        <v>4</v>
      </c>
      <c r="H167" s="31" t="s">
        <v>5</v>
      </c>
      <c r="I167" s="31" t="s">
        <v>6</v>
      </c>
      <c r="J167" s="30" t="s">
        <v>7</v>
      </c>
      <c r="K167" s="33" t="s">
        <v>219</v>
      </c>
      <c r="L167" s="34">
        <v>46107.707569745369</v>
      </c>
      <c r="M167" s="16" t="b">
        <v>1</v>
      </c>
      <c r="N167" s="8" t="s">
        <v>659</v>
      </c>
    </row>
    <row r="168" spans="1:14" ht="408.95" customHeight="1" x14ac:dyDescent="0.25">
      <c r="A168" s="35">
        <v>1</v>
      </c>
      <c r="B168" s="36" t="s">
        <v>211</v>
      </c>
      <c r="C168" s="37" t="s">
        <v>212</v>
      </c>
      <c r="D168" s="38" t="b">
        <v>1</v>
      </c>
      <c r="E168" s="36" t="s">
        <v>213</v>
      </c>
      <c r="F168" s="37" t="s">
        <v>25</v>
      </c>
      <c r="G168" s="37" t="s">
        <v>9</v>
      </c>
      <c r="H168" s="37" t="s">
        <v>10</v>
      </c>
      <c r="I168" s="37" t="s">
        <v>11</v>
      </c>
      <c r="J168" s="36" t="s">
        <v>7</v>
      </c>
      <c r="K168" s="39" t="s">
        <v>220</v>
      </c>
      <c r="L168" s="40">
        <v>46107.707645196759</v>
      </c>
      <c r="M168" s="18" t="b">
        <v>1</v>
      </c>
      <c r="N168" s="7" t="s">
        <v>659</v>
      </c>
    </row>
    <row r="169" spans="1:14" ht="408.95" customHeight="1" x14ac:dyDescent="0.25">
      <c r="A169" s="29">
        <v>1</v>
      </c>
      <c r="B169" s="30" t="s">
        <v>211</v>
      </c>
      <c r="C169" s="31" t="s">
        <v>212</v>
      </c>
      <c r="D169" s="32" t="b">
        <v>1</v>
      </c>
      <c r="E169" s="30" t="s">
        <v>213</v>
      </c>
      <c r="F169" s="31" t="s">
        <v>25</v>
      </c>
      <c r="G169" s="31" t="s">
        <v>13</v>
      </c>
      <c r="H169" s="31" t="s">
        <v>14</v>
      </c>
      <c r="I169" s="31" t="s">
        <v>15</v>
      </c>
      <c r="J169" s="30" t="s">
        <v>7</v>
      </c>
      <c r="K169" s="33" t="s">
        <v>221</v>
      </c>
      <c r="L169" s="34">
        <v>46107.707857604168</v>
      </c>
      <c r="M169" s="16" t="b">
        <v>1</v>
      </c>
      <c r="N169" s="8" t="s">
        <v>659</v>
      </c>
    </row>
    <row r="170" spans="1:14" ht="408.95" customHeight="1" x14ac:dyDescent="0.25">
      <c r="A170" s="35">
        <v>1</v>
      </c>
      <c r="B170" s="36" t="s">
        <v>211</v>
      </c>
      <c r="C170" s="37" t="s">
        <v>212</v>
      </c>
      <c r="D170" s="38" t="b">
        <v>1</v>
      </c>
      <c r="E170" s="36" t="s">
        <v>213</v>
      </c>
      <c r="F170" s="37" t="s">
        <v>25</v>
      </c>
      <c r="G170" s="37" t="s">
        <v>17</v>
      </c>
      <c r="H170" s="37" t="s">
        <v>18</v>
      </c>
      <c r="I170" s="37" t="s">
        <v>19</v>
      </c>
      <c r="J170" s="36" t="s">
        <v>7</v>
      </c>
      <c r="K170" s="39" t="s">
        <v>222</v>
      </c>
      <c r="L170" s="40">
        <v>46107.707923182868</v>
      </c>
      <c r="M170" s="18" t="b">
        <v>1</v>
      </c>
      <c r="N170" s="7" t="s">
        <v>659</v>
      </c>
    </row>
    <row r="171" spans="1:14" ht="408.95" customHeight="1" x14ac:dyDescent="0.25">
      <c r="A171" s="29">
        <v>1</v>
      </c>
      <c r="B171" s="30" t="s">
        <v>211</v>
      </c>
      <c r="C171" s="31" t="s">
        <v>212</v>
      </c>
      <c r="D171" s="32" t="b">
        <v>1</v>
      </c>
      <c r="E171" s="30" t="s">
        <v>213</v>
      </c>
      <c r="F171" s="31" t="s">
        <v>25</v>
      </c>
      <c r="G171" s="31" t="s">
        <v>21</v>
      </c>
      <c r="H171" s="31" t="s">
        <v>22</v>
      </c>
      <c r="I171" s="31" t="s">
        <v>23</v>
      </c>
      <c r="J171" s="30" t="s">
        <v>7</v>
      </c>
      <c r="K171" s="33" t="s">
        <v>223</v>
      </c>
      <c r="L171" s="34">
        <v>46107.708052708331</v>
      </c>
      <c r="M171" s="16" t="b">
        <v>1</v>
      </c>
      <c r="N171" s="8" t="s">
        <v>659</v>
      </c>
    </row>
    <row r="172" spans="1:14" ht="408.95" customHeight="1" x14ac:dyDescent="0.25">
      <c r="A172" s="35">
        <v>1</v>
      </c>
      <c r="B172" s="36" t="s">
        <v>224</v>
      </c>
      <c r="C172" s="37" t="s">
        <v>225</v>
      </c>
      <c r="D172" s="41" t="b">
        <v>0</v>
      </c>
      <c r="E172" s="36" t="s">
        <v>33</v>
      </c>
      <c r="F172" s="37" t="s">
        <v>3</v>
      </c>
      <c r="G172" s="37" t="s">
        <v>4</v>
      </c>
      <c r="H172" s="37" t="s">
        <v>5</v>
      </c>
      <c r="I172" s="37" t="s">
        <v>6</v>
      </c>
      <c r="J172" s="36" t="s">
        <v>7</v>
      </c>
      <c r="K172" s="39" t="s">
        <v>226</v>
      </c>
      <c r="L172" s="40">
        <v>46107.708207916665</v>
      </c>
      <c r="M172" s="19" t="b">
        <v>0</v>
      </c>
      <c r="N172" s="9" t="s">
        <v>660</v>
      </c>
    </row>
    <row r="173" spans="1:14" ht="408.95" customHeight="1" x14ac:dyDescent="0.25">
      <c r="A173" s="29">
        <v>1</v>
      </c>
      <c r="B173" s="30" t="s">
        <v>224</v>
      </c>
      <c r="C173" s="31" t="s">
        <v>225</v>
      </c>
      <c r="D173" s="42" t="b">
        <v>0</v>
      </c>
      <c r="E173" s="30" t="s">
        <v>33</v>
      </c>
      <c r="F173" s="31" t="s">
        <v>3</v>
      </c>
      <c r="G173" s="31" t="s">
        <v>9</v>
      </c>
      <c r="H173" s="31" t="s">
        <v>10</v>
      </c>
      <c r="I173" s="31" t="s">
        <v>11</v>
      </c>
      <c r="J173" s="30" t="s">
        <v>7</v>
      </c>
      <c r="K173" s="33" t="s">
        <v>227</v>
      </c>
      <c r="L173" s="34">
        <v>46107.7083909375</v>
      </c>
      <c r="M173" s="17" t="b">
        <v>0</v>
      </c>
      <c r="N173" s="10" t="s">
        <v>660</v>
      </c>
    </row>
    <row r="174" spans="1:14" ht="408.95" customHeight="1" x14ac:dyDescent="0.25">
      <c r="A174" s="35">
        <v>1</v>
      </c>
      <c r="B174" s="36" t="s">
        <v>224</v>
      </c>
      <c r="C174" s="37" t="s">
        <v>225</v>
      </c>
      <c r="D174" s="41" t="b">
        <v>0</v>
      </c>
      <c r="E174" s="36" t="s">
        <v>33</v>
      </c>
      <c r="F174" s="37" t="s">
        <v>3</v>
      </c>
      <c r="G174" s="37" t="s">
        <v>13</v>
      </c>
      <c r="H174" s="37" t="s">
        <v>14</v>
      </c>
      <c r="I174" s="37" t="s">
        <v>15</v>
      </c>
      <c r="J174" s="36" t="s">
        <v>7</v>
      </c>
      <c r="K174" s="39" t="s">
        <v>228</v>
      </c>
      <c r="L174" s="40">
        <v>46107.708736307868</v>
      </c>
      <c r="M174" s="19" t="b">
        <v>0</v>
      </c>
      <c r="N174" s="9" t="s">
        <v>660</v>
      </c>
    </row>
    <row r="175" spans="1:14" ht="408.95" customHeight="1" x14ac:dyDescent="0.25">
      <c r="A175" s="29">
        <v>1</v>
      </c>
      <c r="B175" s="30" t="s">
        <v>224</v>
      </c>
      <c r="C175" s="31" t="s">
        <v>225</v>
      </c>
      <c r="D175" s="42" t="b">
        <v>0</v>
      </c>
      <c r="E175" s="30" t="s">
        <v>33</v>
      </c>
      <c r="F175" s="31" t="s">
        <v>3</v>
      </c>
      <c r="G175" s="31" t="s">
        <v>17</v>
      </c>
      <c r="H175" s="31" t="s">
        <v>18</v>
      </c>
      <c r="I175" s="31" t="s">
        <v>19</v>
      </c>
      <c r="J175" s="30" t="s">
        <v>7</v>
      </c>
      <c r="K175" s="33" t="s">
        <v>229</v>
      </c>
      <c r="L175" s="34">
        <v>46107.708848310183</v>
      </c>
      <c r="M175" s="17" t="b">
        <v>0</v>
      </c>
      <c r="N175" s="10" t="s">
        <v>660</v>
      </c>
    </row>
    <row r="176" spans="1:14" ht="408.95" customHeight="1" x14ac:dyDescent="0.25">
      <c r="A176" s="35">
        <v>1</v>
      </c>
      <c r="B176" s="36" t="s">
        <v>224</v>
      </c>
      <c r="C176" s="37" t="s">
        <v>225</v>
      </c>
      <c r="D176" s="41" t="b">
        <v>0</v>
      </c>
      <c r="E176" s="36" t="s">
        <v>33</v>
      </c>
      <c r="F176" s="37" t="s">
        <v>3</v>
      </c>
      <c r="G176" s="37" t="s">
        <v>21</v>
      </c>
      <c r="H176" s="37" t="s">
        <v>22</v>
      </c>
      <c r="I176" s="37" t="s">
        <v>23</v>
      </c>
      <c r="J176" s="36" t="s">
        <v>7</v>
      </c>
      <c r="K176" s="39" t="s">
        <v>230</v>
      </c>
      <c r="L176" s="40">
        <v>46107.709042326387</v>
      </c>
      <c r="M176" s="19" t="b">
        <v>0</v>
      </c>
      <c r="N176" s="9" t="s">
        <v>660</v>
      </c>
    </row>
    <row r="177" spans="1:14" ht="408.95" customHeight="1" x14ac:dyDescent="0.25">
      <c r="A177" s="29">
        <v>1</v>
      </c>
      <c r="B177" s="30" t="s">
        <v>224</v>
      </c>
      <c r="C177" s="31" t="s">
        <v>225</v>
      </c>
      <c r="D177" s="42" t="b">
        <v>0</v>
      </c>
      <c r="E177" s="30" t="s">
        <v>33</v>
      </c>
      <c r="F177" s="31" t="s">
        <v>25</v>
      </c>
      <c r="G177" s="31" t="s">
        <v>4</v>
      </c>
      <c r="H177" s="31" t="s">
        <v>5</v>
      </c>
      <c r="I177" s="31" t="s">
        <v>6</v>
      </c>
      <c r="J177" s="30" t="s">
        <v>7</v>
      </c>
      <c r="K177" s="33" t="s">
        <v>231</v>
      </c>
      <c r="L177" s="34">
        <v>46107.709165856482</v>
      </c>
      <c r="M177" s="17" t="b">
        <v>0</v>
      </c>
      <c r="N177" s="10" t="s">
        <v>660</v>
      </c>
    </row>
    <row r="178" spans="1:14" ht="408.95" customHeight="1" x14ac:dyDescent="0.25">
      <c r="A178" s="35">
        <v>1</v>
      </c>
      <c r="B178" s="36" t="s">
        <v>224</v>
      </c>
      <c r="C178" s="37" t="s">
        <v>225</v>
      </c>
      <c r="D178" s="41" t="b">
        <v>0</v>
      </c>
      <c r="E178" s="36" t="s">
        <v>33</v>
      </c>
      <c r="F178" s="37" t="s">
        <v>25</v>
      </c>
      <c r="G178" s="37" t="s">
        <v>9</v>
      </c>
      <c r="H178" s="37" t="s">
        <v>10</v>
      </c>
      <c r="I178" s="37" t="s">
        <v>11</v>
      </c>
      <c r="J178" s="36" t="s">
        <v>7</v>
      </c>
      <c r="K178" s="39" t="s">
        <v>232</v>
      </c>
      <c r="L178" s="40">
        <v>46107.709288449078</v>
      </c>
      <c r="M178" s="19" t="b">
        <v>0</v>
      </c>
      <c r="N178" s="9" t="s">
        <v>660</v>
      </c>
    </row>
    <row r="179" spans="1:14" ht="408.95" customHeight="1" x14ac:dyDescent="0.25">
      <c r="A179" s="29">
        <v>1</v>
      </c>
      <c r="B179" s="30" t="s">
        <v>224</v>
      </c>
      <c r="C179" s="31" t="s">
        <v>225</v>
      </c>
      <c r="D179" s="42" t="b">
        <v>0</v>
      </c>
      <c r="E179" s="30" t="s">
        <v>33</v>
      </c>
      <c r="F179" s="31" t="s">
        <v>25</v>
      </c>
      <c r="G179" s="31" t="s">
        <v>13</v>
      </c>
      <c r="H179" s="31" t="s">
        <v>14</v>
      </c>
      <c r="I179" s="31" t="s">
        <v>15</v>
      </c>
      <c r="J179" s="30" t="s">
        <v>7</v>
      </c>
      <c r="K179" s="33" t="s">
        <v>233</v>
      </c>
      <c r="L179" s="34">
        <v>46107.709473506948</v>
      </c>
      <c r="M179" s="17" t="b">
        <v>0</v>
      </c>
      <c r="N179" s="10" t="s">
        <v>660</v>
      </c>
    </row>
    <row r="180" spans="1:14" ht="408.95" customHeight="1" x14ac:dyDescent="0.25">
      <c r="A180" s="35">
        <v>1</v>
      </c>
      <c r="B180" s="36" t="s">
        <v>224</v>
      </c>
      <c r="C180" s="37" t="s">
        <v>225</v>
      </c>
      <c r="D180" s="41" t="b">
        <v>0</v>
      </c>
      <c r="E180" s="36" t="s">
        <v>33</v>
      </c>
      <c r="F180" s="37" t="s">
        <v>25</v>
      </c>
      <c r="G180" s="37" t="s">
        <v>17</v>
      </c>
      <c r="H180" s="37" t="s">
        <v>18</v>
      </c>
      <c r="I180" s="37" t="s">
        <v>19</v>
      </c>
      <c r="J180" s="36" t="s">
        <v>7</v>
      </c>
      <c r="K180" s="39" t="s">
        <v>234</v>
      </c>
      <c r="L180" s="40">
        <v>46107.709536805552</v>
      </c>
      <c r="M180" s="19" t="b">
        <v>0</v>
      </c>
      <c r="N180" s="9" t="s">
        <v>660</v>
      </c>
    </row>
    <row r="181" spans="1:14" ht="408.95" customHeight="1" x14ac:dyDescent="0.25">
      <c r="A181" s="29">
        <v>1</v>
      </c>
      <c r="B181" s="30" t="s">
        <v>224</v>
      </c>
      <c r="C181" s="31" t="s">
        <v>225</v>
      </c>
      <c r="D181" s="42" t="b">
        <v>0</v>
      </c>
      <c r="E181" s="30" t="s">
        <v>33</v>
      </c>
      <c r="F181" s="31" t="s">
        <v>25</v>
      </c>
      <c r="G181" s="31" t="s">
        <v>21</v>
      </c>
      <c r="H181" s="31" t="s">
        <v>22</v>
      </c>
      <c r="I181" s="31" t="s">
        <v>23</v>
      </c>
      <c r="J181" s="30" t="s">
        <v>7</v>
      </c>
      <c r="K181" s="33" t="s">
        <v>235</v>
      </c>
      <c r="L181" s="34">
        <v>46107.709682870372</v>
      </c>
      <c r="M181" s="17" t="b">
        <v>0</v>
      </c>
      <c r="N181" s="10" t="s">
        <v>660</v>
      </c>
    </row>
    <row r="182" spans="1:14" ht="408.95" customHeight="1" x14ac:dyDescent="0.25">
      <c r="A182" s="35">
        <v>1</v>
      </c>
      <c r="B182" s="36" t="s">
        <v>236</v>
      </c>
      <c r="C182" s="37" t="s">
        <v>212</v>
      </c>
      <c r="D182" s="38" t="b">
        <v>1</v>
      </c>
      <c r="E182" s="36" t="s">
        <v>213</v>
      </c>
      <c r="F182" s="37" t="s">
        <v>3</v>
      </c>
      <c r="G182" s="37" t="s">
        <v>4</v>
      </c>
      <c r="H182" s="37" t="s">
        <v>5</v>
      </c>
      <c r="I182" s="37" t="s">
        <v>6</v>
      </c>
      <c r="J182" s="36" t="s">
        <v>7</v>
      </c>
      <c r="K182" s="39" t="s">
        <v>237</v>
      </c>
      <c r="L182" s="40">
        <v>46107.709856608795</v>
      </c>
      <c r="M182" s="19" t="b">
        <v>0</v>
      </c>
      <c r="N182" s="11" t="s">
        <v>658</v>
      </c>
    </row>
    <row r="183" spans="1:14" ht="408.95" customHeight="1" x14ac:dyDescent="0.25">
      <c r="A183" s="29">
        <v>1</v>
      </c>
      <c r="B183" s="30" t="s">
        <v>236</v>
      </c>
      <c r="C183" s="31" t="s">
        <v>212</v>
      </c>
      <c r="D183" s="32" t="b">
        <v>1</v>
      </c>
      <c r="E183" s="30" t="s">
        <v>213</v>
      </c>
      <c r="F183" s="31" t="s">
        <v>3</v>
      </c>
      <c r="G183" s="31" t="s">
        <v>9</v>
      </c>
      <c r="H183" s="31" t="s">
        <v>10</v>
      </c>
      <c r="I183" s="31" t="s">
        <v>11</v>
      </c>
      <c r="J183" s="30" t="s">
        <v>7</v>
      </c>
      <c r="K183" s="33" t="s">
        <v>238</v>
      </c>
      <c r="L183" s="34">
        <v>46107.710099282405</v>
      </c>
      <c r="M183" s="17" t="b">
        <v>0</v>
      </c>
      <c r="N183" s="6" t="s">
        <v>658</v>
      </c>
    </row>
    <row r="184" spans="1:14" ht="408.95" customHeight="1" x14ac:dyDescent="0.25">
      <c r="A184" s="35">
        <v>1</v>
      </c>
      <c r="B184" s="36" t="s">
        <v>236</v>
      </c>
      <c r="C184" s="37" t="s">
        <v>212</v>
      </c>
      <c r="D184" s="38" t="b">
        <v>1</v>
      </c>
      <c r="E184" s="36" t="s">
        <v>213</v>
      </c>
      <c r="F184" s="37" t="s">
        <v>3</v>
      </c>
      <c r="G184" s="37" t="s">
        <v>13</v>
      </c>
      <c r="H184" s="37" t="s">
        <v>14</v>
      </c>
      <c r="I184" s="37" t="s">
        <v>15</v>
      </c>
      <c r="J184" s="36" t="s">
        <v>7</v>
      </c>
      <c r="K184" s="39" t="s">
        <v>239</v>
      </c>
      <c r="L184" s="40">
        <v>46107.71047341435</v>
      </c>
      <c r="M184" s="19" t="b">
        <v>0</v>
      </c>
      <c r="N184" s="11" t="s">
        <v>658</v>
      </c>
    </row>
    <row r="185" spans="1:14" ht="408.95" customHeight="1" x14ac:dyDescent="0.25">
      <c r="A185" s="29">
        <v>1</v>
      </c>
      <c r="B185" s="30" t="s">
        <v>236</v>
      </c>
      <c r="C185" s="31" t="s">
        <v>212</v>
      </c>
      <c r="D185" s="32" t="b">
        <v>1</v>
      </c>
      <c r="E185" s="30" t="s">
        <v>213</v>
      </c>
      <c r="F185" s="31" t="s">
        <v>3</v>
      </c>
      <c r="G185" s="31" t="s">
        <v>17</v>
      </c>
      <c r="H185" s="31" t="s">
        <v>18</v>
      </c>
      <c r="I185" s="31" t="s">
        <v>19</v>
      </c>
      <c r="J185" s="30" t="s">
        <v>7</v>
      </c>
      <c r="K185" s="33" t="s">
        <v>240</v>
      </c>
      <c r="L185" s="34">
        <v>46107.710579722225</v>
      </c>
      <c r="M185" s="17" t="b">
        <v>0</v>
      </c>
      <c r="N185" s="6" t="s">
        <v>658</v>
      </c>
    </row>
    <row r="186" spans="1:14" ht="408.95" customHeight="1" x14ac:dyDescent="0.25">
      <c r="A186" s="35">
        <v>1</v>
      </c>
      <c r="B186" s="36" t="s">
        <v>236</v>
      </c>
      <c r="C186" s="37" t="s">
        <v>212</v>
      </c>
      <c r="D186" s="38" t="b">
        <v>1</v>
      </c>
      <c r="E186" s="36" t="s">
        <v>213</v>
      </c>
      <c r="F186" s="37" t="s">
        <v>3</v>
      </c>
      <c r="G186" s="37" t="s">
        <v>21</v>
      </c>
      <c r="H186" s="37" t="s">
        <v>22</v>
      </c>
      <c r="I186" s="37" t="s">
        <v>23</v>
      </c>
      <c r="J186" s="36" t="s">
        <v>7</v>
      </c>
      <c r="K186" s="39" t="s">
        <v>241</v>
      </c>
      <c r="L186" s="40">
        <v>46107.710953217589</v>
      </c>
      <c r="M186" s="19" t="b">
        <v>0</v>
      </c>
      <c r="N186" s="11" t="s">
        <v>658</v>
      </c>
    </row>
    <row r="187" spans="1:14" ht="408.95" customHeight="1" x14ac:dyDescent="0.25">
      <c r="A187" s="29">
        <v>1</v>
      </c>
      <c r="B187" s="30" t="s">
        <v>236</v>
      </c>
      <c r="C187" s="31" t="s">
        <v>212</v>
      </c>
      <c r="D187" s="32" t="b">
        <v>1</v>
      </c>
      <c r="E187" s="30" t="s">
        <v>213</v>
      </c>
      <c r="F187" s="31" t="s">
        <v>25</v>
      </c>
      <c r="G187" s="31" t="s">
        <v>4</v>
      </c>
      <c r="H187" s="31" t="s">
        <v>5</v>
      </c>
      <c r="I187" s="31" t="s">
        <v>6</v>
      </c>
      <c r="J187" s="30" t="s">
        <v>7</v>
      </c>
      <c r="K187" s="33" t="s">
        <v>242</v>
      </c>
      <c r="L187" s="34">
        <v>46107.71116457176</v>
      </c>
      <c r="M187" s="16" t="b">
        <v>1</v>
      </c>
      <c r="N187" s="8" t="s">
        <v>659</v>
      </c>
    </row>
    <row r="188" spans="1:14" ht="408.95" customHeight="1" x14ac:dyDescent="0.25">
      <c r="A188" s="35">
        <v>1</v>
      </c>
      <c r="B188" s="36" t="s">
        <v>236</v>
      </c>
      <c r="C188" s="37" t="s">
        <v>212</v>
      </c>
      <c r="D188" s="38" t="b">
        <v>1</v>
      </c>
      <c r="E188" s="36" t="s">
        <v>213</v>
      </c>
      <c r="F188" s="37" t="s">
        <v>25</v>
      </c>
      <c r="G188" s="37" t="s">
        <v>9</v>
      </c>
      <c r="H188" s="37" t="s">
        <v>10</v>
      </c>
      <c r="I188" s="37" t="s">
        <v>11</v>
      </c>
      <c r="J188" s="36" t="s">
        <v>7</v>
      </c>
      <c r="K188" s="39" t="s">
        <v>243</v>
      </c>
      <c r="L188" s="40">
        <v>46107.711275451387</v>
      </c>
      <c r="M188" s="19" t="b">
        <v>0</v>
      </c>
      <c r="N188" s="11" t="s">
        <v>658</v>
      </c>
    </row>
    <row r="189" spans="1:14" ht="408.95" customHeight="1" x14ac:dyDescent="0.25">
      <c r="A189" s="29">
        <v>1</v>
      </c>
      <c r="B189" s="30" t="s">
        <v>236</v>
      </c>
      <c r="C189" s="31" t="s">
        <v>212</v>
      </c>
      <c r="D189" s="32" t="b">
        <v>1</v>
      </c>
      <c r="E189" s="30" t="s">
        <v>213</v>
      </c>
      <c r="F189" s="31" t="s">
        <v>25</v>
      </c>
      <c r="G189" s="31" t="s">
        <v>13</v>
      </c>
      <c r="H189" s="31" t="s">
        <v>14</v>
      </c>
      <c r="I189" s="31" t="s">
        <v>15</v>
      </c>
      <c r="J189" s="30" t="s">
        <v>7</v>
      </c>
      <c r="K189" s="33" t="s">
        <v>244</v>
      </c>
      <c r="L189" s="34">
        <v>46107.711542546298</v>
      </c>
      <c r="M189" s="16" t="b">
        <v>1</v>
      </c>
      <c r="N189" s="8" t="s">
        <v>659</v>
      </c>
    </row>
    <row r="190" spans="1:14" ht="408.95" customHeight="1" x14ac:dyDescent="0.25">
      <c r="A190" s="35">
        <v>1</v>
      </c>
      <c r="B190" s="36" t="s">
        <v>236</v>
      </c>
      <c r="C190" s="37" t="s">
        <v>212</v>
      </c>
      <c r="D190" s="38" t="b">
        <v>1</v>
      </c>
      <c r="E190" s="36" t="s">
        <v>213</v>
      </c>
      <c r="F190" s="37" t="s">
        <v>25</v>
      </c>
      <c r="G190" s="37" t="s">
        <v>17</v>
      </c>
      <c r="H190" s="37" t="s">
        <v>18</v>
      </c>
      <c r="I190" s="37" t="s">
        <v>19</v>
      </c>
      <c r="J190" s="36" t="s">
        <v>7</v>
      </c>
      <c r="K190" s="39" t="s">
        <v>245</v>
      </c>
      <c r="L190" s="40">
        <v>46107.711616666667</v>
      </c>
      <c r="M190" s="18" t="b">
        <v>1</v>
      </c>
      <c r="N190" s="7" t="s">
        <v>659</v>
      </c>
    </row>
    <row r="191" spans="1:14" ht="408.95" customHeight="1" x14ac:dyDescent="0.25">
      <c r="A191" s="29">
        <v>1</v>
      </c>
      <c r="B191" s="30" t="s">
        <v>236</v>
      </c>
      <c r="C191" s="31" t="s">
        <v>212</v>
      </c>
      <c r="D191" s="32" t="b">
        <v>1</v>
      </c>
      <c r="E191" s="30" t="s">
        <v>213</v>
      </c>
      <c r="F191" s="31" t="s">
        <v>25</v>
      </c>
      <c r="G191" s="31" t="s">
        <v>21</v>
      </c>
      <c r="H191" s="31" t="s">
        <v>22</v>
      </c>
      <c r="I191" s="31" t="s">
        <v>23</v>
      </c>
      <c r="J191" s="30" t="s">
        <v>7</v>
      </c>
      <c r="K191" s="33" t="s">
        <v>246</v>
      </c>
      <c r="L191" s="34">
        <v>46107.711790023146</v>
      </c>
      <c r="M191" s="16" t="b">
        <v>1</v>
      </c>
      <c r="N191" s="8" t="s">
        <v>659</v>
      </c>
    </row>
    <row r="192" spans="1:14" ht="408.95" customHeight="1" x14ac:dyDescent="0.25">
      <c r="A192" s="35">
        <v>1</v>
      </c>
      <c r="B192" s="36" t="s">
        <v>247</v>
      </c>
      <c r="C192" s="37" t="s">
        <v>225</v>
      </c>
      <c r="D192" s="41" t="b">
        <v>0</v>
      </c>
      <c r="E192" s="36" t="s">
        <v>33</v>
      </c>
      <c r="F192" s="37" t="s">
        <v>3</v>
      </c>
      <c r="G192" s="37" t="s">
        <v>4</v>
      </c>
      <c r="H192" s="37" t="s">
        <v>5</v>
      </c>
      <c r="I192" s="37" t="s">
        <v>6</v>
      </c>
      <c r="J192" s="36" t="s">
        <v>7</v>
      </c>
      <c r="K192" s="39" t="s">
        <v>248</v>
      </c>
      <c r="L192" s="40">
        <v>46107.711952106481</v>
      </c>
      <c r="M192" s="19" t="b">
        <v>0</v>
      </c>
      <c r="N192" s="9" t="s">
        <v>660</v>
      </c>
    </row>
    <row r="193" spans="1:14" ht="408.95" customHeight="1" x14ac:dyDescent="0.25">
      <c r="A193" s="29">
        <v>1</v>
      </c>
      <c r="B193" s="30" t="s">
        <v>247</v>
      </c>
      <c r="C193" s="31" t="s">
        <v>225</v>
      </c>
      <c r="D193" s="42" t="b">
        <v>0</v>
      </c>
      <c r="E193" s="30" t="s">
        <v>33</v>
      </c>
      <c r="F193" s="31" t="s">
        <v>3</v>
      </c>
      <c r="G193" s="31" t="s">
        <v>9</v>
      </c>
      <c r="H193" s="31" t="s">
        <v>10</v>
      </c>
      <c r="I193" s="31" t="s">
        <v>11</v>
      </c>
      <c r="J193" s="30" t="s">
        <v>7</v>
      </c>
      <c r="K193" s="33" t="s">
        <v>249</v>
      </c>
      <c r="L193" s="34">
        <v>46107.712180717594</v>
      </c>
      <c r="M193" s="17" t="b">
        <v>0</v>
      </c>
      <c r="N193" s="10" t="s">
        <v>660</v>
      </c>
    </row>
    <row r="194" spans="1:14" ht="408.95" customHeight="1" x14ac:dyDescent="0.25">
      <c r="A194" s="35">
        <v>1</v>
      </c>
      <c r="B194" s="36" t="s">
        <v>247</v>
      </c>
      <c r="C194" s="37" t="s">
        <v>225</v>
      </c>
      <c r="D194" s="41" t="b">
        <v>0</v>
      </c>
      <c r="E194" s="36" t="s">
        <v>33</v>
      </c>
      <c r="F194" s="37" t="s">
        <v>3</v>
      </c>
      <c r="G194" s="37" t="s">
        <v>13</v>
      </c>
      <c r="H194" s="37" t="s">
        <v>14</v>
      </c>
      <c r="I194" s="37" t="s">
        <v>15</v>
      </c>
      <c r="J194" s="36" t="s">
        <v>7</v>
      </c>
      <c r="K194" s="39" t="s">
        <v>250</v>
      </c>
      <c r="L194" s="40">
        <v>46107.712534456019</v>
      </c>
      <c r="M194" s="19" t="b">
        <v>0</v>
      </c>
      <c r="N194" s="9" t="s">
        <v>660</v>
      </c>
    </row>
    <row r="195" spans="1:14" ht="408.95" customHeight="1" x14ac:dyDescent="0.25">
      <c r="A195" s="29">
        <v>1</v>
      </c>
      <c r="B195" s="30" t="s">
        <v>247</v>
      </c>
      <c r="C195" s="31" t="s">
        <v>225</v>
      </c>
      <c r="D195" s="42" t="b">
        <v>0</v>
      </c>
      <c r="E195" s="30" t="s">
        <v>33</v>
      </c>
      <c r="F195" s="31" t="s">
        <v>3</v>
      </c>
      <c r="G195" s="31" t="s">
        <v>17</v>
      </c>
      <c r="H195" s="31" t="s">
        <v>18</v>
      </c>
      <c r="I195" s="31" t="s">
        <v>19</v>
      </c>
      <c r="J195" s="30" t="s">
        <v>7</v>
      </c>
      <c r="K195" s="33" t="s">
        <v>251</v>
      </c>
      <c r="L195" s="34">
        <v>46107.712650150461</v>
      </c>
      <c r="M195" s="17" t="b">
        <v>0</v>
      </c>
      <c r="N195" s="10" t="s">
        <v>660</v>
      </c>
    </row>
    <row r="196" spans="1:14" ht="408.95" customHeight="1" x14ac:dyDescent="0.25">
      <c r="A196" s="35">
        <v>1</v>
      </c>
      <c r="B196" s="36" t="s">
        <v>247</v>
      </c>
      <c r="C196" s="37" t="s">
        <v>225</v>
      </c>
      <c r="D196" s="41" t="b">
        <v>0</v>
      </c>
      <c r="E196" s="36" t="s">
        <v>33</v>
      </c>
      <c r="F196" s="37" t="s">
        <v>3</v>
      </c>
      <c r="G196" s="37" t="s">
        <v>21</v>
      </c>
      <c r="H196" s="37" t="s">
        <v>22</v>
      </c>
      <c r="I196" s="37" t="s">
        <v>23</v>
      </c>
      <c r="J196" s="36" t="s">
        <v>7</v>
      </c>
      <c r="K196" s="39" t="s">
        <v>252</v>
      </c>
      <c r="L196" s="40">
        <v>46107.712943935185</v>
      </c>
      <c r="M196" s="19" t="b">
        <v>0</v>
      </c>
      <c r="N196" s="9" t="s">
        <v>660</v>
      </c>
    </row>
    <row r="197" spans="1:14" ht="408.95" customHeight="1" x14ac:dyDescent="0.25">
      <c r="A197" s="29">
        <v>1</v>
      </c>
      <c r="B197" s="30" t="s">
        <v>247</v>
      </c>
      <c r="C197" s="31" t="s">
        <v>225</v>
      </c>
      <c r="D197" s="42" t="b">
        <v>0</v>
      </c>
      <c r="E197" s="30" t="s">
        <v>33</v>
      </c>
      <c r="F197" s="31" t="s">
        <v>25</v>
      </c>
      <c r="G197" s="31" t="s">
        <v>4</v>
      </c>
      <c r="H197" s="31" t="s">
        <v>5</v>
      </c>
      <c r="I197" s="31" t="s">
        <v>6</v>
      </c>
      <c r="J197" s="30" t="s">
        <v>7</v>
      </c>
      <c r="K197" s="33" t="s">
        <v>253</v>
      </c>
      <c r="L197" s="34">
        <v>46107.713050856481</v>
      </c>
      <c r="M197" s="17" t="b">
        <v>0</v>
      </c>
      <c r="N197" s="10" t="s">
        <v>660</v>
      </c>
    </row>
    <row r="198" spans="1:14" ht="408.95" customHeight="1" x14ac:dyDescent="0.25">
      <c r="A198" s="35">
        <v>1</v>
      </c>
      <c r="B198" s="36" t="s">
        <v>247</v>
      </c>
      <c r="C198" s="37" t="s">
        <v>225</v>
      </c>
      <c r="D198" s="41" t="b">
        <v>0</v>
      </c>
      <c r="E198" s="36" t="s">
        <v>33</v>
      </c>
      <c r="F198" s="37" t="s">
        <v>25</v>
      </c>
      <c r="G198" s="37" t="s">
        <v>9</v>
      </c>
      <c r="H198" s="37" t="s">
        <v>10</v>
      </c>
      <c r="I198" s="37" t="s">
        <v>11</v>
      </c>
      <c r="J198" s="36" t="s">
        <v>7</v>
      </c>
      <c r="K198" s="39" t="s">
        <v>254</v>
      </c>
      <c r="L198" s="40">
        <v>46107.71328546296</v>
      </c>
      <c r="M198" s="19" t="b">
        <v>0</v>
      </c>
      <c r="N198" s="9" t="s">
        <v>660</v>
      </c>
    </row>
    <row r="199" spans="1:14" ht="408.95" customHeight="1" x14ac:dyDescent="0.25">
      <c r="A199" s="29">
        <v>1</v>
      </c>
      <c r="B199" s="30" t="s">
        <v>247</v>
      </c>
      <c r="C199" s="31" t="s">
        <v>225</v>
      </c>
      <c r="D199" s="42" t="b">
        <v>0</v>
      </c>
      <c r="E199" s="30" t="s">
        <v>33</v>
      </c>
      <c r="F199" s="31" t="s">
        <v>25</v>
      </c>
      <c r="G199" s="31" t="s">
        <v>13</v>
      </c>
      <c r="H199" s="31" t="s">
        <v>14</v>
      </c>
      <c r="I199" s="31" t="s">
        <v>15</v>
      </c>
      <c r="J199" s="30" t="s">
        <v>7</v>
      </c>
      <c r="K199" s="33" t="s">
        <v>255</v>
      </c>
      <c r="L199" s="34">
        <v>46107.713483807871</v>
      </c>
      <c r="M199" s="17" t="b">
        <v>0</v>
      </c>
      <c r="N199" s="10" t="s">
        <v>660</v>
      </c>
    </row>
    <row r="200" spans="1:14" ht="408.95" customHeight="1" x14ac:dyDescent="0.25">
      <c r="A200" s="35">
        <v>1</v>
      </c>
      <c r="B200" s="36" t="s">
        <v>247</v>
      </c>
      <c r="C200" s="37" t="s">
        <v>225</v>
      </c>
      <c r="D200" s="41" t="b">
        <v>0</v>
      </c>
      <c r="E200" s="36" t="s">
        <v>33</v>
      </c>
      <c r="F200" s="37" t="s">
        <v>25</v>
      </c>
      <c r="G200" s="37" t="s">
        <v>17</v>
      </c>
      <c r="H200" s="37" t="s">
        <v>18</v>
      </c>
      <c r="I200" s="37" t="s">
        <v>19</v>
      </c>
      <c r="J200" s="36" t="s">
        <v>7</v>
      </c>
      <c r="K200" s="39" t="s">
        <v>256</v>
      </c>
      <c r="L200" s="40">
        <v>46107.713542500001</v>
      </c>
      <c r="M200" s="19" t="b">
        <v>0</v>
      </c>
      <c r="N200" s="9" t="s">
        <v>660</v>
      </c>
    </row>
    <row r="201" spans="1:14" ht="408.95" customHeight="1" x14ac:dyDescent="0.25">
      <c r="A201" s="29">
        <v>1</v>
      </c>
      <c r="B201" s="30" t="s">
        <v>247</v>
      </c>
      <c r="C201" s="31" t="s">
        <v>225</v>
      </c>
      <c r="D201" s="42" t="b">
        <v>0</v>
      </c>
      <c r="E201" s="30" t="s">
        <v>33</v>
      </c>
      <c r="F201" s="31" t="s">
        <v>25</v>
      </c>
      <c r="G201" s="31" t="s">
        <v>21</v>
      </c>
      <c r="H201" s="31" t="s">
        <v>22</v>
      </c>
      <c r="I201" s="31" t="s">
        <v>23</v>
      </c>
      <c r="J201" s="30" t="s">
        <v>7</v>
      </c>
      <c r="K201" s="33" t="s">
        <v>257</v>
      </c>
      <c r="L201" s="34">
        <v>46107.713682372683</v>
      </c>
      <c r="M201" s="17" t="b">
        <v>0</v>
      </c>
      <c r="N201" s="10" t="s">
        <v>660</v>
      </c>
    </row>
    <row r="202" spans="1:14" ht="408.95" customHeight="1" x14ac:dyDescent="0.25">
      <c r="A202" s="35">
        <v>2</v>
      </c>
      <c r="B202" s="36" t="s">
        <v>0</v>
      </c>
      <c r="C202" s="37" t="s">
        <v>1</v>
      </c>
      <c r="D202" s="38" t="b">
        <v>1</v>
      </c>
      <c r="E202" s="36" t="s">
        <v>2</v>
      </c>
      <c r="F202" s="37" t="s">
        <v>3</v>
      </c>
      <c r="G202" s="37" t="s">
        <v>4</v>
      </c>
      <c r="H202" s="37" t="s">
        <v>5</v>
      </c>
      <c r="I202" s="37" t="s">
        <v>6</v>
      </c>
      <c r="J202" s="36" t="s">
        <v>7</v>
      </c>
      <c r="K202" s="39" t="s">
        <v>258</v>
      </c>
      <c r="L202" s="40">
        <v>46107.713880706018</v>
      </c>
      <c r="M202" s="19" t="b">
        <v>0</v>
      </c>
      <c r="N202" s="11" t="s">
        <v>658</v>
      </c>
    </row>
    <row r="203" spans="1:14" ht="408.95" customHeight="1" x14ac:dyDescent="0.25">
      <c r="A203" s="29">
        <v>2</v>
      </c>
      <c r="B203" s="30" t="s">
        <v>0</v>
      </c>
      <c r="C203" s="31" t="s">
        <v>1</v>
      </c>
      <c r="D203" s="32" t="b">
        <v>1</v>
      </c>
      <c r="E203" s="30" t="s">
        <v>2</v>
      </c>
      <c r="F203" s="31" t="s">
        <v>3</v>
      </c>
      <c r="G203" s="31" t="s">
        <v>9</v>
      </c>
      <c r="H203" s="31" t="s">
        <v>10</v>
      </c>
      <c r="I203" s="31" t="s">
        <v>11</v>
      </c>
      <c r="J203" s="30" t="s">
        <v>7</v>
      </c>
      <c r="K203" s="33" t="s">
        <v>259</v>
      </c>
      <c r="L203" s="34">
        <v>46107.714143182871</v>
      </c>
      <c r="M203" s="17" t="b">
        <v>0</v>
      </c>
      <c r="N203" s="6" t="s">
        <v>658</v>
      </c>
    </row>
    <row r="204" spans="1:14" ht="408.95" customHeight="1" x14ac:dyDescent="0.25">
      <c r="A204" s="35">
        <v>2</v>
      </c>
      <c r="B204" s="36" t="s">
        <v>0</v>
      </c>
      <c r="C204" s="37" t="s">
        <v>1</v>
      </c>
      <c r="D204" s="38" t="b">
        <v>1</v>
      </c>
      <c r="E204" s="36" t="s">
        <v>2</v>
      </c>
      <c r="F204" s="37" t="s">
        <v>3</v>
      </c>
      <c r="G204" s="37" t="s">
        <v>13</v>
      </c>
      <c r="H204" s="37" t="s">
        <v>14</v>
      </c>
      <c r="I204" s="37" t="s">
        <v>15</v>
      </c>
      <c r="J204" s="36" t="s">
        <v>7</v>
      </c>
      <c r="K204" s="39" t="s">
        <v>260</v>
      </c>
      <c r="L204" s="40">
        <v>46107.714405405095</v>
      </c>
      <c r="M204" s="18" t="b">
        <v>1</v>
      </c>
      <c r="N204" s="7" t="s">
        <v>659</v>
      </c>
    </row>
    <row r="205" spans="1:14" ht="408.95" customHeight="1" x14ac:dyDescent="0.25">
      <c r="A205" s="29">
        <v>2</v>
      </c>
      <c r="B205" s="30" t="s">
        <v>0</v>
      </c>
      <c r="C205" s="31" t="s">
        <v>1</v>
      </c>
      <c r="D205" s="32" t="b">
        <v>1</v>
      </c>
      <c r="E205" s="30" t="s">
        <v>2</v>
      </c>
      <c r="F205" s="31" t="s">
        <v>3</v>
      </c>
      <c r="G205" s="31" t="s">
        <v>17</v>
      </c>
      <c r="H205" s="31" t="s">
        <v>18</v>
      </c>
      <c r="I205" s="31" t="s">
        <v>19</v>
      </c>
      <c r="J205" s="30" t="s">
        <v>7</v>
      </c>
      <c r="K205" s="33" t="s">
        <v>261</v>
      </c>
      <c r="L205" s="34">
        <v>46107.714535497682</v>
      </c>
      <c r="M205" s="16" t="b">
        <v>1</v>
      </c>
      <c r="N205" s="8" t="s">
        <v>659</v>
      </c>
    </row>
    <row r="206" spans="1:14" ht="408.95" customHeight="1" x14ac:dyDescent="0.25">
      <c r="A206" s="35">
        <v>2</v>
      </c>
      <c r="B206" s="36" t="s">
        <v>0</v>
      </c>
      <c r="C206" s="37" t="s">
        <v>1</v>
      </c>
      <c r="D206" s="38" t="b">
        <v>1</v>
      </c>
      <c r="E206" s="36" t="s">
        <v>2</v>
      </c>
      <c r="F206" s="37" t="s">
        <v>3</v>
      </c>
      <c r="G206" s="37" t="s">
        <v>21</v>
      </c>
      <c r="H206" s="37" t="s">
        <v>22</v>
      </c>
      <c r="I206" s="37" t="s">
        <v>23</v>
      </c>
      <c r="J206" s="36" t="s">
        <v>7</v>
      </c>
      <c r="K206" s="39" t="s">
        <v>262</v>
      </c>
      <c r="L206" s="40">
        <v>46107.714812430553</v>
      </c>
      <c r="M206" s="18" t="b">
        <v>1</v>
      </c>
      <c r="N206" s="7" t="s">
        <v>659</v>
      </c>
    </row>
    <row r="207" spans="1:14" ht="408.95" customHeight="1" x14ac:dyDescent="0.25">
      <c r="A207" s="29">
        <v>2</v>
      </c>
      <c r="B207" s="30" t="s">
        <v>0</v>
      </c>
      <c r="C207" s="31" t="s">
        <v>1</v>
      </c>
      <c r="D207" s="32" t="b">
        <v>1</v>
      </c>
      <c r="E207" s="30" t="s">
        <v>2</v>
      </c>
      <c r="F207" s="31" t="s">
        <v>25</v>
      </c>
      <c r="G207" s="31" t="s">
        <v>4</v>
      </c>
      <c r="H207" s="31" t="s">
        <v>5</v>
      </c>
      <c r="I207" s="31" t="s">
        <v>6</v>
      </c>
      <c r="J207" s="30" t="s">
        <v>7</v>
      </c>
      <c r="K207" s="33" t="s">
        <v>263</v>
      </c>
      <c r="L207" s="34">
        <v>46107.714940601851</v>
      </c>
      <c r="M207" s="16" t="b">
        <v>1</v>
      </c>
      <c r="N207" s="8" t="s">
        <v>659</v>
      </c>
    </row>
    <row r="208" spans="1:14" ht="408.95" customHeight="1" x14ac:dyDescent="0.25">
      <c r="A208" s="35">
        <v>2</v>
      </c>
      <c r="B208" s="36" t="s">
        <v>0</v>
      </c>
      <c r="C208" s="37" t="s">
        <v>1</v>
      </c>
      <c r="D208" s="38" t="b">
        <v>1</v>
      </c>
      <c r="E208" s="36" t="s">
        <v>2</v>
      </c>
      <c r="F208" s="37" t="s">
        <v>25</v>
      </c>
      <c r="G208" s="37" t="s">
        <v>9</v>
      </c>
      <c r="H208" s="37" t="s">
        <v>10</v>
      </c>
      <c r="I208" s="37" t="s">
        <v>11</v>
      </c>
      <c r="J208" s="36" t="s">
        <v>7</v>
      </c>
      <c r="K208" s="39" t="s">
        <v>264</v>
      </c>
      <c r="L208" s="40">
        <v>46107.715072314815</v>
      </c>
      <c r="M208" s="18" t="b">
        <v>1</v>
      </c>
      <c r="N208" s="7" t="s">
        <v>659</v>
      </c>
    </row>
    <row r="209" spans="1:14" ht="408.95" customHeight="1" x14ac:dyDescent="0.25">
      <c r="A209" s="29">
        <v>2</v>
      </c>
      <c r="B209" s="30" t="s">
        <v>0</v>
      </c>
      <c r="C209" s="31" t="s">
        <v>1</v>
      </c>
      <c r="D209" s="32" t="b">
        <v>1</v>
      </c>
      <c r="E209" s="30" t="s">
        <v>2</v>
      </c>
      <c r="F209" s="31" t="s">
        <v>25</v>
      </c>
      <c r="G209" s="31" t="s">
        <v>13</v>
      </c>
      <c r="H209" s="31" t="s">
        <v>14</v>
      </c>
      <c r="I209" s="31" t="s">
        <v>15</v>
      </c>
      <c r="J209" s="30" t="s">
        <v>7</v>
      </c>
      <c r="K209" s="33" t="s">
        <v>265</v>
      </c>
      <c r="L209" s="34">
        <v>46107.715265023151</v>
      </c>
      <c r="M209" s="16" t="b">
        <v>1</v>
      </c>
      <c r="N209" s="8" t="s">
        <v>659</v>
      </c>
    </row>
    <row r="210" spans="1:14" ht="408.95" customHeight="1" x14ac:dyDescent="0.25">
      <c r="A210" s="35">
        <v>2</v>
      </c>
      <c r="B210" s="36" t="s">
        <v>0</v>
      </c>
      <c r="C210" s="37" t="s">
        <v>1</v>
      </c>
      <c r="D210" s="38" t="b">
        <v>1</v>
      </c>
      <c r="E210" s="36" t="s">
        <v>2</v>
      </c>
      <c r="F210" s="37" t="s">
        <v>25</v>
      </c>
      <c r="G210" s="37" t="s">
        <v>17</v>
      </c>
      <c r="H210" s="37" t="s">
        <v>18</v>
      </c>
      <c r="I210" s="37" t="s">
        <v>19</v>
      </c>
      <c r="J210" s="36" t="s">
        <v>7</v>
      </c>
      <c r="K210" s="39" t="s">
        <v>266</v>
      </c>
      <c r="L210" s="40">
        <v>46107.715340381947</v>
      </c>
      <c r="M210" s="18" t="b">
        <v>1</v>
      </c>
      <c r="N210" s="7" t="s">
        <v>659</v>
      </c>
    </row>
    <row r="211" spans="1:14" ht="408.95" customHeight="1" x14ac:dyDescent="0.25">
      <c r="A211" s="29">
        <v>2</v>
      </c>
      <c r="B211" s="30" t="s">
        <v>0</v>
      </c>
      <c r="C211" s="31" t="s">
        <v>1</v>
      </c>
      <c r="D211" s="32" t="b">
        <v>1</v>
      </c>
      <c r="E211" s="30" t="s">
        <v>2</v>
      </c>
      <c r="F211" s="31" t="s">
        <v>25</v>
      </c>
      <c r="G211" s="31" t="s">
        <v>21</v>
      </c>
      <c r="H211" s="31" t="s">
        <v>22</v>
      </c>
      <c r="I211" s="31" t="s">
        <v>23</v>
      </c>
      <c r="J211" s="30" t="s">
        <v>7</v>
      </c>
      <c r="K211" s="33" t="s">
        <v>267</v>
      </c>
      <c r="L211" s="34">
        <v>46107.715486354165</v>
      </c>
      <c r="M211" s="16" t="b">
        <v>1</v>
      </c>
      <c r="N211" s="8" t="s">
        <v>659</v>
      </c>
    </row>
    <row r="212" spans="1:14" ht="408.95" customHeight="1" x14ac:dyDescent="0.25">
      <c r="A212" s="35">
        <v>2</v>
      </c>
      <c r="B212" s="36" t="s">
        <v>31</v>
      </c>
      <c r="C212" s="37" t="s">
        <v>32</v>
      </c>
      <c r="D212" s="41" t="b">
        <v>0</v>
      </c>
      <c r="E212" s="36" t="s">
        <v>33</v>
      </c>
      <c r="F212" s="37" t="s">
        <v>3</v>
      </c>
      <c r="G212" s="37" t="s">
        <v>4</v>
      </c>
      <c r="H212" s="37" t="s">
        <v>5</v>
      </c>
      <c r="I212" s="37" t="s">
        <v>6</v>
      </c>
      <c r="J212" s="36" t="s">
        <v>7</v>
      </c>
      <c r="K212" s="39" t="s">
        <v>268</v>
      </c>
      <c r="L212" s="40">
        <v>46107.715629710648</v>
      </c>
      <c r="M212" s="19" t="b">
        <v>0</v>
      </c>
      <c r="N212" s="9" t="s">
        <v>660</v>
      </c>
    </row>
    <row r="213" spans="1:14" ht="408.95" customHeight="1" x14ac:dyDescent="0.25">
      <c r="A213" s="29">
        <v>2</v>
      </c>
      <c r="B213" s="30" t="s">
        <v>31</v>
      </c>
      <c r="C213" s="31" t="s">
        <v>32</v>
      </c>
      <c r="D213" s="42" t="b">
        <v>0</v>
      </c>
      <c r="E213" s="30" t="s">
        <v>33</v>
      </c>
      <c r="F213" s="31" t="s">
        <v>3</v>
      </c>
      <c r="G213" s="31" t="s">
        <v>9</v>
      </c>
      <c r="H213" s="31" t="s">
        <v>10</v>
      </c>
      <c r="I213" s="31" t="s">
        <v>11</v>
      </c>
      <c r="J213" s="30" t="s">
        <v>7</v>
      </c>
      <c r="K213" s="33" t="s">
        <v>269</v>
      </c>
      <c r="L213" s="34">
        <v>46107.715910474537</v>
      </c>
      <c r="M213" s="17" t="b">
        <v>0</v>
      </c>
      <c r="N213" s="10" t="s">
        <v>660</v>
      </c>
    </row>
    <row r="214" spans="1:14" ht="408.95" customHeight="1" x14ac:dyDescent="0.25">
      <c r="A214" s="35">
        <v>2</v>
      </c>
      <c r="B214" s="36" t="s">
        <v>31</v>
      </c>
      <c r="C214" s="37" t="s">
        <v>32</v>
      </c>
      <c r="D214" s="41" t="b">
        <v>0</v>
      </c>
      <c r="E214" s="36" t="s">
        <v>33</v>
      </c>
      <c r="F214" s="37" t="s">
        <v>3</v>
      </c>
      <c r="G214" s="37" t="s">
        <v>13</v>
      </c>
      <c r="H214" s="37" t="s">
        <v>14</v>
      </c>
      <c r="I214" s="37" t="s">
        <v>15</v>
      </c>
      <c r="J214" s="36" t="s">
        <v>7</v>
      </c>
      <c r="K214" s="39" t="s">
        <v>270</v>
      </c>
      <c r="L214" s="40">
        <v>46107.716229143516</v>
      </c>
      <c r="M214" s="19" t="b">
        <v>0</v>
      </c>
      <c r="N214" s="9" t="s">
        <v>660</v>
      </c>
    </row>
    <row r="215" spans="1:14" ht="408.95" customHeight="1" x14ac:dyDescent="0.25">
      <c r="A215" s="29">
        <v>2</v>
      </c>
      <c r="B215" s="30" t="s">
        <v>31</v>
      </c>
      <c r="C215" s="31" t="s">
        <v>32</v>
      </c>
      <c r="D215" s="42" t="b">
        <v>0</v>
      </c>
      <c r="E215" s="30" t="s">
        <v>33</v>
      </c>
      <c r="F215" s="31" t="s">
        <v>3</v>
      </c>
      <c r="G215" s="31" t="s">
        <v>17</v>
      </c>
      <c r="H215" s="31" t="s">
        <v>18</v>
      </c>
      <c r="I215" s="31" t="s">
        <v>19</v>
      </c>
      <c r="J215" s="30" t="s">
        <v>7</v>
      </c>
      <c r="K215" s="33" t="s">
        <v>271</v>
      </c>
      <c r="L215" s="34">
        <v>46107.716356874997</v>
      </c>
      <c r="M215" s="17" t="b">
        <v>0</v>
      </c>
      <c r="N215" s="10" t="s">
        <v>660</v>
      </c>
    </row>
    <row r="216" spans="1:14" ht="408.95" customHeight="1" x14ac:dyDescent="0.25">
      <c r="A216" s="35">
        <v>2</v>
      </c>
      <c r="B216" s="36" t="s">
        <v>31</v>
      </c>
      <c r="C216" s="37" t="s">
        <v>32</v>
      </c>
      <c r="D216" s="41" t="b">
        <v>0</v>
      </c>
      <c r="E216" s="36" t="s">
        <v>33</v>
      </c>
      <c r="F216" s="37" t="s">
        <v>3</v>
      </c>
      <c r="G216" s="37" t="s">
        <v>21</v>
      </c>
      <c r="H216" s="37" t="s">
        <v>22</v>
      </c>
      <c r="I216" s="37" t="s">
        <v>23</v>
      </c>
      <c r="J216" s="36" t="s">
        <v>7</v>
      </c>
      <c r="K216" s="39" t="s">
        <v>272</v>
      </c>
      <c r="L216" s="40">
        <v>46107.716599224535</v>
      </c>
      <c r="M216" s="19" t="b">
        <v>0</v>
      </c>
      <c r="N216" s="9" t="s">
        <v>660</v>
      </c>
    </row>
    <row r="217" spans="1:14" ht="408.95" customHeight="1" x14ac:dyDescent="0.25">
      <c r="A217" s="29">
        <v>2</v>
      </c>
      <c r="B217" s="30" t="s">
        <v>31</v>
      </c>
      <c r="C217" s="31" t="s">
        <v>32</v>
      </c>
      <c r="D217" s="42" t="b">
        <v>0</v>
      </c>
      <c r="E217" s="30" t="s">
        <v>33</v>
      </c>
      <c r="F217" s="31" t="s">
        <v>25</v>
      </c>
      <c r="G217" s="31" t="s">
        <v>4</v>
      </c>
      <c r="H217" s="31" t="s">
        <v>5</v>
      </c>
      <c r="I217" s="31" t="s">
        <v>6</v>
      </c>
      <c r="J217" s="30" t="s">
        <v>7</v>
      </c>
      <c r="K217" s="33" t="s">
        <v>273</v>
      </c>
      <c r="L217" s="34">
        <v>46107.716707430554</v>
      </c>
      <c r="M217" s="17" t="b">
        <v>0</v>
      </c>
      <c r="N217" s="10" t="s">
        <v>660</v>
      </c>
    </row>
    <row r="218" spans="1:14" ht="408.95" customHeight="1" x14ac:dyDescent="0.25">
      <c r="A218" s="35">
        <v>2</v>
      </c>
      <c r="B218" s="36" t="s">
        <v>31</v>
      </c>
      <c r="C218" s="37" t="s">
        <v>32</v>
      </c>
      <c r="D218" s="41" t="b">
        <v>0</v>
      </c>
      <c r="E218" s="36" t="s">
        <v>33</v>
      </c>
      <c r="F218" s="37" t="s">
        <v>25</v>
      </c>
      <c r="G218" s="37" t="s">
        <v>9</v>
      </c>
      <c r="H218" s="37" t="s">
        <v>10</v>
      </c>
      <c r="I218" s="37" t="s">
        <v>11</v>
      </c>
      <c r="J218" s="36" t="s">
        <v>7</v>
      </c>
      <c r="K218" s="39" t="s">
        <v>274</v>
      </c>
      <c r="L218" s="40">
        <v>46107.716806446762</v>
      </c>
      <c r="M218" s="19" t="b">
        <v>0</v>
      </c>
      <c r="N218" s="9" t="s">
        <v>660</v>
      </c>
    </row>
    <row r="219" spans="1:14" ht="408.95" customHeight="1" x14ac:dyDescent="0.25">
      <c r="A219" s="29">
        <v>2</v>
      </c>
      <c r="B219" s="30" t="s">
        <v>31</v>
      </c>
      <c r="C219" s="31" t="s">
        <v>32</v>
      </c>
      <c r="D219" s="42" t="b">
        <v>0</v>
      </c>
      <c r="E219" s="30" t="s">
        <v>33</v>
      </c>
      <c r="F219" s="31" t="s">
        <v>25</v>
      </c>
      <c r="G219" s="31" t="s">
        <v>13</v>
      </c>
      <c r="H219" s="31" t="s">
        <v>14</v>
      </c>
      <c r="I219" s="31" t="s">
        <v>15</v>
      </c>
      <c r="J219" s="30" t="s">
        <v>7</v>
      </c>
      <c r="K219" s="33" t="s">
        <v>275</v>
      </c>
      <c r="L219" s="34">
        <v>46107.716990601853</v>
      </c>
      <c r="M219" s="17" t="b">
        <v>0</v>
      </c>
      <c r="N219" s="10" t="s">
        <v>660</v>
      </c>
    </row>
    <row r="220" spans="1:14" ht="408.95" customHeight="1" x14ac:dyDescent="0.25">
      <c r="A220" s="35">
        <v>2</v>
      </c>
      <c r="B220" s="36" t="s">
        <v>31</v>
      </c>
      <c r="C220" s="37" t="s">
        <v>32</v>
      </c>
      <c r="D220" s="41" t="b">
        <v>0</v>
      </c>
      <c r="E220" s="36" t="s">
        <v>33</v>
      </c>
      <c r="F220" s="37" t="s">
        <v>25</v>
      </c>
      <c r="G220" s="37" t="s">
        <v>17</v>
      </c>
      <c r="H220" s="37" t="s">
        <v>18</v>
      </c>
      <c r="I220" s="37" t="s">
        <v>19</v>
      </c>
      <c r="J220" s="36" t="s">
        <v>7</v>
      </c>
      <c r="K220" s="39" t="s">
        <v>276</v>
      </c>
      <c r="L220" s="40">
        <v>46107.717044618053</v>
      </c>
      <c r="M220" s="19" t="b">
        <v>0</v>
      </c>
      <c r="N220" s="9" t="s">
        <v>660</v>
      </c>
    </row>
    <row r="221" spans="1:14" ht="408.95" customHeight="1" x14ac:dyDescent="0.25">
      <c r="A221" s="29">
        <v>2</v>
      </c>
      <c r="B221" s="30" t="s">
        <v>31</v>
      </c>
      <c r="C221" s="31" t="s">
        <v>32</v>
      </c>
      <c r="D221" s="42" t="b">
        <v>0</v>
      </c>
      <c r="E221" s="30" t="s">
        <v>33</v>
      </c>
      <c r="F221" s="31" t="s">
        <v>25</v>
      </c>
      <c r="G221" s="31" t="s">
        <v>21</v>
      </c>
      <c r="H221" s="31" t="s">
        <v>22</v>
      </c>
      <c r="I221" s="31" t="s">
        <v>23</v>
      </c>
      <c r="J221" s="30" t="s">
        <v>7</v>
      </c>
      <c r="K221" s="33" t="s">
        <v>277</v>
      </c>
      <c r="L221" s="34">
        <v>46107.717153194448</v>
      </c>
      <c r="M221" s="17" t="b">
        <v>0</v>
      </c>
      <c r="N221" s="10" t="s">
        <v>660</v>
      </c>
    </row>
    <row r="222" spans="1:14" ht="408.95" customHeight="1" x14ac:dyDescent="0.25">
      <c r="A222" s="35">
        <v>2</v>
      </c>
      <c r="B222" s="36" t="s">
        <v>44</v>
      </c>
      <c r="C222" s="37" t="s">
        <v>1</v>
      </c>
      <c r="D222" s="38" t="b">
        <v>1</v>
      </c>
      <c r="E222" s="36" t="s">
        <v>2</v>
      </c>
      <c r="F222" s="37" t="s">
        <v>3</v>
      </c>
      <c r="G222" s="37" t="s">
        <v>4</v>
      </c>
      <c r="H222" s="37" t="s">
        <v>5</v>
      </c>
      <c r="I222" s="37" t="s">
        <v>6</v>
      </c>
      <c r="J222" s="36" t="s">
        <v>7</v>
      </c>
      <c r="K222" s="39" t="s">
        <v>278</v>
      </c>
      <c r="L222" s="40">
        <v>46107.717331053238</v>
      </c>
      <c r="M222" s="18" t="b">
        <v>1</v>
      </c>
      <c r="N222" s="7" t="s">
        <v>659</v>
      </c>
    </row>
    <row r="223" spans="1:14" ht="408.95" customHeight="1" x14ac:dyDescent="0.25">
      <c r="A223" s="29">
        <v>2</v>
      </c>
      <c r="B223" s="30" t="s">
        <v>44</v>
      </c>
      <c r="C223" s="31" t="s">
        <v>1</v>
      </c>
      <c r="D223" s="32" t="b">
        <v>1</v>
      </c>
      <c r="E223" s="30" t="s">
        <v>2</v>
      </c>
      <c r="F223" s="31" t="s">
        <v>3</v>
      </c>
      <c r="G223" s="31" t="s">
        <v>9</v>
      </c>
      <c r="H223" s="31" t="s">
        <v>10</v>
      </c>
      <c r="I223" s="31" t="s">
        <v>11</v>
      </c>
      <c r="J223" s="30" t="s">
        <v>7</v>
      </c>
      <c r="K223" s="33" t="s">
        <v>279</v>
      </c>
      <c r="L223" s="34">
        <v>46107.717542500002</v>
      </c>
      <c r="M223" s="16" t="b">
        <v>1</v>
      </c>
      <c r="N223" s="8" t="s">
        <v>659</v>
      </c>
    </row>
    <row r="224" spans="1:14" ht="408.95" customHeight="1" x14ac:dyDescent="0.25">
      <c r="A224" s="35">
        <v>2</v>
      </c>
      <c r="B224" s="36" t="s">
        <v>44</v>
      </c>
      <c r="C224" s="37" t="s">
        <v>1</v>
      </c>
      <c r="D224" s="38" t="b">
        <v>1</v>
      </c>
      <c r="E224" s="36" t="s">
        <v>2</v>
      </c>
      <c r="F224" s="37" t="s">
        <v>3</v>
      </c>
      <c r="G224" s="37" t="s">
        <v>13</v>
      </c>
      <c r="H224" s="37" t="s">
        <v>14</v>
      </c>
      <c r="I224" s="37" t="s">
        <v>15</v>
      </c>
      <c r="J224" s="36" t="s">
        <v>7</v>
      </c>
      <c r="K224" s="39" t="s">
        <v>280</v>
      </c>
      <c r="L224" s="40">
        <v>46107.717844652776</v>
      </c>
      <c r="M224" s="18" t="b">
        <v>1</v>
      </c>
      <c r="N224" s="7" t="s">
        <v>659</v>
      </c>
    </row>
    <row r="225" spans="1:14" ht="408.95" customHeight="1" x14ac:dyDescent="0.25">
      <c r="A225" s="29">
        <v>2</v>
      </c>
      <c r="B225" s="30" t="s">
        <v>44</v>
      </c>
      <c r="C225" s="31" t="s">
        <v>1</v>
      </c>
      <c r="D225" s="32" t="b">
        <v>1</v>
      </c>
      <c r="E225" s="30" t="s">
        <v>2</v>
      </c>
      <c r="F225" s="31" t="s">
        <v>3</v>
      </c>
      <c r="G225" s="31" t="s">
        <v>17</v>
      </c>
      <c r="H225" s="31" t="s">
        <v>18</v>
      </c>
      <c r="I225" s="31" t="s">
        <v>19</v>
      </c>
      <c r="J225" s="30" t="s">
        <v>7</v>
      </c>
      <c r="K225" s="33" t="s">
        <v>281</v>
      </c>
      <c r="L225" s="34">
        <v>46107.717962187497</v>
      </c>
      <c r="M225" s="16" t="b">
        <v>1</v>
      </c>
      <c r="N225" s="8" t="s">
        <v>659</v>
      </c>
    </row>
    <row r="226" spans="1:14" ht="408.95" customHeight="1" x14ac:dyDescent="0.25">
      <c r="A226" s="35">
        <v>2</v>
      </c>
      <c r="B226" s="36" t="s">
        <v>44</v>
      </c>
      <c r="C226" s="37" t="s">
        <v>1</v>
      </c>
      <c r="D226" s="38" t="b">
        <v>1</v>
      </c>
      <c r="E226" s="36" t="s">
        <v>2</v>
      </c>
      <c r="F226" s="37" t="s">
        <v>3</v>
      </c>
      <c r="G226" s="37" t="s">
        <v>21</v>
      </c>
      <c r="H226" s="37" t="s">
        <v>22</v>
      </c>
      <c r="I226" s="37" t="s">
        <v>23</v>
      </c>
      <c r="J226" s="36" t="s">
        <v>7</v>
      </c>
      <c r="K226" s="39" t="s">
        <v>282</v>
      </c>
      <c r="L226" s="40">
        <v>46107.718267581018</v>
      </c>
      <c r="M226" s="18" t="b">
        <v>1</v>
      </c>
      <c r="N226" s="7" t="s">
        <v>659</v>
      </c>
    </row>
    <row r="227" spans="1:14" ht="408.95" customHeight="1" x14ac:dyDescent="0.25">
      <c r="A227" s="29">
        <v>2</v>
      </c>
      <c r="B227" s="30" t="s">
        <v>44</v>
      </c>
      <c r="C227" s="31" t="s">
        <v>1</v>
      </c>
      <c r="D227" s="32" t="b">
        <v>1</v>
      </c>
      <c r="E227" s="30" t="s">
        <v>2</v>
      </c>
      <c r="F227" s="31" t="s">
        <v>25</v>
      </c>
      <c r="G227" s="31" t="s">
        <v>4</v>
      </c>
      <c r="H227" s="31" t="s">
        <v>5</v>
      </c>
      <c r="I227" s="31" t="s">
        <v>6</v>
      </c>
      <c r="J227" s="30" t="s">
        <v>7</v>
      </c>
      <c r="K227" s="33" t="s">
        <v>283</v>
      </c>
      <c r="L227" s="34">
        <v>46107.718394780095</v>
      </c>
      <c r="M227" s="16" t="b">
        <v>1</v>
      </c>
      <c r="N227" s="8" t="s">
        <v>659</v>
      </c>
    </row>
    <row r="228" spans="1:14" ht="408.95" customHeight="1" x14ac:dyDescent="0.25">
      <c r="A228" s="35">
        <v>2</v>
      </c>
      <c r="B228" s="36" t="s">
        <v>44</v>
      </c>
      <c r="C228" s="37" t="s">
        <v>1</v>
      </c>
      <c r="D228" s="38" t="b">
        <v>1</v>
      </c>
      <c r="E228" s="36" t="s">
        <v>2</v>
      </c>
      <c r="F228" s="37" t="s">
        <v>25</v>
      </c>
      <c r="G228" s="37" t="s">
        <v>9</v>
      </c>
      <c r="H228" s="37" t="s">
        <v>10</v>
      </c>
      <c r="I228" s="37" t="s">
        <v>11</v>
      </c>
      <c r="J228" s="36" t="s">
        <v>7</v>
      </c>
      <c r="K228" s="39" t="s">
        <v>284</v>
      </c>
      <c r="L228" s="40">
        <v>46107.718548032404</v>
      </c>
      <c r="M228" s="18" t="b">
        <v>1</v>
      </c>
      <c r="N228" s="7" t="s">
        <v>659</v>
      </c>
    </row>
    <row r="229" spans="1:14" ht="408.95" customHeight="1" x14ac:dyDescent="0.25">
      <c r="A229" s="29">
        <v>2</v>
      </c>
      <c r="B229" s="30" t="s">
        <v>44</v>
      </c>
      <c r="C229" s="31" t="s">
        <v>1</v>
      </c>
      <c r="D229" s="32" t="b">
        <v>1</v>
      </c>
      <c r="E229" s="30" t="s">
        <v>2</v>
      </c>
      <c r="F229" s="31" t="s">
        <v>25</v>
      </c>
      <c r="G229" s="31" t="s">
        <v>13</v>
      </c>
      <c r="H229" s="31" t="s">
        <v>14</v>
      </c>
      <c r="I229" s="31" t="s">
        <v>15</v>
      </c>
      <c r="J229" s="30" t="s">
        <v>7</v>
      </c>
      <c r="K229" s="33" t="s">
        <v>285</v>
      </c>
      <c r="L229" s="34">
        <v>46107.718717511576</v>
      </c>
      <c r="M229" s="16" t="b">
        <v>1</v>
      </c>
      <c r="N229" s="8" t="s">
        <v>659</v>
      </c>
    </row>
    <row r="230" spans="1:14" ht="408.95" customHeight="1" x14ac:dyDescent="0.25">
      <c r="A230" s="35">
        <v>2</v>
      </c>
      <c r="B230" s="36" t="s">
        <v>44</v>
      </c>
      <c r="C230" s="37" t="s">
        <v>1</v>
      </c>
      <c r="D230" s="38" t="b">
        <v>1</v>
      </c>
      <c r="E230" s="36" t="s">
        <v>2</v>
      </c>
      <c r="F230" s="37" t="s">
        <v>25</v>
      </c>
      <c r="G230" s="37" t="s">
        <v>17</v>
      </c>
      <c r="H230" s="37" t="s">
        <v>18</v>
      </c>
      <c r="I230" s="37" t="s">
        <v>19</v>
      </c>
      <c r="J230" s="36" t="s">
        <v>7</v>
      </c>
      <c r="K230" s="39" t="s">
        <v>286</v>
      </c>
      <c r="L230" s="40">
        <v>46107.718784756944</v>
      </c>
      <c r="M230" s="18" t="b">
        <v>1</v>
      </c>
      <c r="N230" s="7" t="s">
        <v>659</v>
      </c>
    </row>
    <row r="231" spans="1:14" ht="408.95" customHeight="1" x14ac:dyDescent="0.25">
      <c r="A231" s="29">
        <v>2</v>
      </c>
      <c r="B231" s="30" t="s">
        <v>44</v>
      </c>
      <c r="C231" s="31" t="s">
        <v>1</v>
      </c>
      <c r="D231" s="32" t="b">
        <v>1</v>
      </c>
      <c r="E231" s="30" t="s">
        <v>2</v>
      </c>
      <c r="F231" s="31" t="s">
        <v>25</v>
      </c>
      <c r="G231" s="31" t="s">
        <v>21</v>
      </c>
      <c r="H231" s="31" t="s">
        <v>22</v>
      </c>
      <c r="I231" s="31" t="s">
        <v>23</v>
      </c>
      <c r="J231" s="30" t="s">
        <v>7</v>
      </c>
      <c r="K231" s="33" t="s">
        <v>287</v>
      </c>
      <c r="L231" s="34">
        <v>46107.71891596065</v>
      </c>
      <c r="M231" s="16" t="b">
        <v>1</v>
      </c>
      <c r="N231" s="8" t="s">
        <v>659</v>
      </c>
    </row>
    <row r="232" spans="1:14" ht="408.95" customHeight="1" x14ac:dyDescent="0.25">
      <c r="A232" s="35">
        <v>2</v>
      </c>
      <c r="B232" s="36" t="s">
        <v>55</v>
      </c>
      <c r="C232" s="37" t="s">
        <v>32</v>
      </c>
      <c r="D232" s="41" t="b">
        <v>0</v>
      </c>
      <c r="E232" s="36" t="s">
        <v>33</v>
      </c>
      <c r="F232" s="37" t="s">
        <v>3</v>
      </c>
      <c r="G232" s="37" t="s">
        <v>4</v>
      </c>
      <c r="H232" s="37" t="s">
        <v>5</v>
      </c>
      <c r="I232" s="37" t="s">
        <v>6</v>
      </c>
      <c r="J232" s="36" t="s">
        <v>7</v>
      </c>
      <c r="K232" s="39" t="s">
        <v>288</v>
      </c>
      <c r="L232" s="40">
        <v>46107.719135092593</v>
      </c>
      <c r="M232" s="19" t="b">
        <v>0</v>
      </c>
      <c r="N232" s="9" t="s">
        <v>660</v>
      </c>
    </row>
    <row r="233" spans="1:14" ht="408.95" customHeight="1" x14ac:dyDescent="0.25">
      <c r="A233" s="29">
        <v>2</v>
      </c>
      <c r="B233" s="30" t="s">
        <v>55</v>
      </c>
      <c r="C233" s="31" t="s">
        <v>32</v>
      </c>
      <c r="D233" s="42" t="b">
        <v>0</v>
      </c>
      <c r="E233" s="30" t="s">
        <v>33</v>
      </c>
      <c r="F233" s="31" t="s">
        <v>3</v>
      </c>
      <c r="G233" s="31" t="s">
        <v>9</v>
      </c>
      <c r="H233" s="31" t="s">
        <v>10</v>
      </c>
      <c r="I233" s="31" t="s">
        <v>11</v>
      </c>
      <c r="J233" s="30" t="s">
        <v>7</v>
      </c>
      <c r="K233" s="33" t="s">
        <v>289</v>
      </c>
      <c r="L233" s="34">
        <v>46107.719318564814</v>
      </c>
      <c r="M233" s="17" t="b">
        <v>0</v>
      </c>
      <c r="N233" s="10" t="s">
        <v>660</v>
      </c>
    </row>
    <row r="234" spans="1:14" ht="408.95" customHeight="1" x14ac:dyDescent="0.25">
      <c r="A234" s="35">
        <v>2</v>
      </c>
      <c r="B234" s="36" t="s">
        <v>55</v>
      </c>
      <c r="C234" s="37" t="s">
        <v>32</v>
      </c>
      <c r="D234" s="41" t="b">
        <v>0</v>
      </c>
      <c r="E234" s="36" t="s">
        <v>33</v>
      </c>
      <c r="F234" s="37" t="s">
        <v>3</v>
      </c>
      <c r="G234" s="37" t="s">
        <v>13</v>
      </c>
      <c r="H234" s="37" t="s">
        <v>14</v>
      </c>
      <c r="I234" s="37" t="s">
        <v>15</v>
      </c>
      <c r="J234" s="36" t="s">
        <v>7</v>
      </c>
      <c r="K234" s="39" t="s">
        <v>290</v>
      </c>
      <c r="L234" s="40">
        <v>46107.719602835648</v>
      </c>
      <c r="M234" s="19" t="b">
        <v>0</v>
      </c>
      <c r="N234" s="9" t="s">
        <v>660</v>
      </c>
    </row>
    <row r="235" spans="1:14" ht="408.95" customHeight="1" x14ac:dyDescent="0.25">
      <c r="A235" s="29">
        <v>2</v>
      </c>
      <c r="B235" s="30" t="s">
        <v>55</v>
      </c>
      <c r="C235" s="31" t="s">
        <v>32</v>
      </c>
      <c r="D235" s="42" t="b">
        <v>0</v>
      </c>
      <c r="E235" s="30" t="s">
        <v>33</v>
      </c>
      <c r="F235" s="31" t="s">
        <v>3</v>
      </c>
      <c r="G235" s="31" t="s">
        <v>17</v>
      </c>
      <c r="H235" s="31" t="s">
        <v>18</v>
      </c>
      <c r="I235" s="31" t="s">
        <v>19</v>
      </c>
      <c r="J235" s="30" t="s">
        <v>7</v>
      </c>
      <c r="K235" s="33" t="s">
        <v>291</v>
      </c>
      <c r="L235" s="34">
        <v>46107.719732997684</v>
      </c>
      <c r="M235" s="17" t="b">
        <v>0</v>
      </c>
      <c r="N235" s="10" t="s">
        <v>660</v>
      </c>
    </row>
    <row r="236" spans="1:14" ht="408.95" customHeight="1" x14ac:dyDescent="0.25">
      <c r="A236" s="35">
        <v>2</v>
      </c>
      <c r="B236" s="36" t="s">
        <v>55</v>
      </c>
      <c r="C236" s="37" t="s">
        <v>32</v>
      </c>
      <c r="D236" s="41" t="b">
        <v>0</v>
      </c>
      <c r="E236" s="36" t="s">
        <v>33</v>
      </c>
      <c r="F236" s="37" t="s">
        <v>3</v>
      </c>
      <c r="G236" s="37" t="s">
        <v>21</v>
      </c>
      <c r="H236" s="37" t="s">
        <v>22</v>
      </c>
      <c r="I236" s="37" t="s">
        <v>23</v>
      </c>
      <c r="J236" s="36" t="s">
        <v>7</v>
      </c>
      <c r="K236" s="39" t="s">
        <v>292</v>
      </c>
      <c r="L236" s="40">
        <v>46107.719997604167</v>
      </c>
      <c r="M236" s="19" t="b">
        <v>0</v>
      </c>
      <c r="N236" s="9" t="s">
        <v>660</v>
      </c>
    </row>
    <row r="237" spans="1:14" ht="408.95" customHeight="1" x14ac:dyDescent="0.25">
      <c r="A237" s="29">
        <v>2</v>
      </c>
      <c r="B237" s="30" t="s">
        <v>55</v>
      </c>
      <c r="C237" s="31" t="s">
        <v>32</v>
      </c>
      <c r="D237" s="42" t="b">
        <v>0</v>
      </c>
      <c r="E237" s="30" t="s">
        <v>33</v>
      </c>
      <c r="F237" s="31" t="s">
        <v>25</v>
      </c>
      <c r="G237" s="31" t="s">
        <v>4</v>
      </c>
      <c r="H237" s="31" t="s">
        <v>5</v>
      </c>
      <c r="I237" s="31" t="s">
        <v>6</v>
      </c>
      <c r="J237" s="30" t="s">
        <v>7</v>
      </c>
      <c r="K237" s="33" t="s">
        <v>293</v>
      </c>
      <c r="L237" s="34">
        <v>46107.720123900464</v>
      </c>
      <c r="M237" s="17" t="b">
        <v>0</v>
      </c>
      <c r="N237" s="10" t="s">
        <v>660</v>
      </c>
    </row>
    <row r="238" spans="1:14" ht="408.95" customHeight="1" x14ac:dyDescent="0.25">
      <c r="A238" s="35">
        <v>2</v>
      </c>
      <c r="B238" s="36" t="s">
        <v>55</v>
      </c>
      <c r="C238" s="37" t="s">
        <v>32</v>
      </c>
      <c r="D238" s="41" t="b">
        <v>0</v>
      </c>
      <c r="E238" s="36" t="s">
        <v>33</v>
      </c>
      <c r="F238" s="37" t="s">
        <v>25</v>
      </c>
      <c r="G238" s="37" t="s">
        <v>9</v>
      </c>
      <c r="H238" s="37" t="s">
        <v>10</v>
      </c>
      <c r="I238" s="37" t="s">
        <v>11</v>
      </c>
      <c r="J238" s="36" t="s">
        <v>7</v>
      </c>
      <c r="K238" s="39" t="s">
        <v>294</v>
      </c>
      <c r="L238" s="40">
        <v>46107.720278090281</v>
      </c>
      <c r="M238" s="19" t="b">
        <v>0</v>
      </c>
      <c r="N238" s="9" t="s">
        <v>660</v>
      </c>
    </row>
    <row r="239" spans="1:14" ht="408.95" customHeight="1" x14ac:dyDescent="0.25">
      <c r="A239" s="29">
        <v>2</v>
      </c>
      <c r="B239" s="30" t="s">
        <v>55</v>
      </c>
      <c r="C239" s="31" t="s">
        <v>32</v>
      </c>
      <c r="D239" s="42" t="b">
        <v>0</v>
      </c>
      <c r="E239" s="30" t="s">
        <v>33</v>
      </c>
      <c r="F239" s="31" t="s">
        <v>25</v>
      </c>
      <c r="G239" s="31" t="s">
        <v>13</v>
      </c>
      <c r="H239" s="31" t="s">
        <v>14</v>
      </c>
      <c r="I239" s="31" t="s">
        <v>15</v>
      </c>
      <c r="J239" s="30" t="s">
        <v>7</v>
      </c>
      <c r="K239" s="33" t="s">
        <v>295</v>
      </c>
      <c r="L239" s="34">
        <v>46107.720465289349</v>
      </c>
      <c r="M239" s="17" t="b">
        <v>0</v>
      </c>
      <c r="N239" s="10" t="s">
        <v>660</v>
      </c>
    </row>
    <row r="240" spans="1:14" ht="408.95" customHeight="1" x14ac:dyDescent="0.25">
      <c r="A240" s="35">
        <v>2</v>
      </c>
      <c r="B240" s="36" t="s">
        <v>55</v>
      </c>
      <c r="C240" s="37" t="s">
        <v>32</v>
      </c>
      <c r="D240" s="41" t="b">
        <v>0</v>
      </c>
      <c r="E240" s="36" t="s">
        <v>33</v>
      </c>
      <c r="F240" s="37" t="s">
        <v>25</v>
      </c>
      <c r="G240" s="37" t="s">
        <v>17</v>
      </c>
      <c r="H240" s="37" t="s">
        <v>18</v>
      </c>
      <c r="I240" s="37" t="s">
        <v>19</v>
      </c>
      <c r="J240" s="36" t="s">
        <v>7</v>
      </c>
      <c r="K240" s="39" t="s">
        <v>296</v>
      </c>
      <c r="L240" s="40">
        <v>46107.720528460646</v>
      </c>
      <c r="M240" s="19" t="b">
        <v>0</v>
      </c>
      <c r="N240" s="9" t="s">
        <v>660</v>
      </c>
    </row>
    <row r="241" spans="1:14" ht="408.95" customHeight="1" x14ac:dyDescent="0.25">
      <c r="A241" s="29">
        <v>2</v>
      </c>
      <c r="B241" s="30" t="s">
        <v>55</v>
      </c>
      <c r="C241" s="31" t="s">
        <v>32</v>
      </c>
      <c r="D241" s="42" t="b">
        <v>0</v>
      </c>
      <c r="E241" s="30" t="s">
        <v>33</v>
      </c>
      <c r="F241" s="31" t="s">
        <v>25</v>
      </c>
      <c r="G241" s="31" t="s">
        <v>21</v>
      </c>
      <c r="H241" s="31" t="s">
        <v>22</v>
      </c>
      <c r="I241" s="31" t="s">
        <v>23</v>
      </c>
      <c r="J241" s="30" t="s">
        <v>7</v>
      </c>
      <c r="K241" s="33" t="s">
        <v>297</v>
      </c>
      <c r="L241" s="34">
        <v>46107.720640879626</v>
      </c>
      <c r="M241" s="17" t="b">
        <v>0</v>
      </c>
      <c r="N241" s="10" t="s">
        <v>660</v>
      </c>
    </row>
    <row r="242" spans="1:14" ht="408.95" customHeight="1" x14ac:dyDescent="0.25">
      <c r="A242" s="35">
        <v>2</v>
      </c>
      <c r="B242" s="36" t="s">
        <v>66</v>
      </c>
      <c r="C242" s="37" t="s">
        <v>67</v>
      </c>
      <c r="D242" s="38" t="b">
        <v>1</v>
      </c>
      <c r="E242" s="36" t="s">
        <v>68</v>
      </c>
      <c r="F242" s="37" t="s">
        <v>3</v>
      </c>
      <c r="G242" s="37" t="s">
        <v>4</v>
      </c>
      <c r="H242" s="37" t="s">
        <v>5</v>
      </c>
      <c r="I242" s="37" t="s">
        <v>6</v>
      </c>
      <c r="J242" s="36" t="s">
        <v>7</v>
      </c>
      <c r="K242" s="39" t="s">
        <v>298</v>
      </c>
      <c r="L242" s="40">
        <v>46107.720813356478</v>
      </c>
      <c r="M242" s="19" t="b">
        <v>0</v>
      </c>
      <c r="N242" s="11" t="s">
        <v>658</v>
      </c>
    </row>
    <row r="243" spans="1:14" ht="408.95" customHeight="1" x14ac:dyDescent="0.25">
      <c r="A243" s="29">
        <v>2</v>
      </c>
      <c r="B243" s="30" t="s">
        <v>66</v>
      </c>
      <c r="C243" s="31" t="s">
        <v>67</v>
      </c>
      <c r="D243" s="32" t="b">
        <v>1</v>
      </c>
      <c r="E243" s="30" t="s">
        <v>68</v>
      </c>
      <c r="F243" s="31" t="s">
        <v>3</v>
      </c>
      <c r="G243" s="31" t="s">
        <v>9</v>
      </c>
      <c r="H243" s="31" t="s">
        <v>10</v>
      </c>
      <c r="I243" s="31" t="s">
        <v>11</v>
      </c>
      <c r="J243" s="30" t="s">
        <v>7</v>
      </c>
      <c r="K243" s="33" t="s">
        <v>299</v>
      </c>
      <c r="L243" s="34">
        <v>46107.721053541667</v>
      </c>
      <c r="M243" s="16" t="b">
        <v>1</v>
      </c>
      <c r="N243" s="8" t="s">
        <v>659</v>
      </c>
    </row>
    <row r="244" spans="1:14" ht="408.95" customHeight="1" x14ac:dyDescent="0.25">
      <c r="A244" s="35">
        <v>2</v>
      </c>
      <c r="B244" s="36" t="s">
        <v>66</v>
      </c>
      <c r="C244" s="37" t="s">
        <v>67</v>
      </c>
      <c r="D244" s="38" t="b">
        <v>1</v>
      </c>
      <c r="E244" s="36" t="s">
        <v>68</v>
      </c>
      <c r="F244" s="37" t="s">
        <v>3</v>
      </c>
      <c r="G244" s="37" t="s">
        <v>13</v>
      </c>
      <c r="H244" s="37" t="s">
        <v>14</v>
      </c>
      <c r="I244" s="37" t="s">
        <v>15</v>
      </c>
      <c r="J244" s="36" t="s">
        <v>7</v>
      </c>
      <c r="K244" s="39" t="s">
        <v>300</v>
      </c>
      <c r="L244" s="40">
        <v>46107.721381770833</v>
      </c>
      <c r="M244" s="18" t="b">
        <v>1</v>
      </c>
      <c r="N244" s="7" t="s">
        <v>659</v>
      </c>
    </row>
    <row r="245" spans="1:14" ht="408.95" customHeight="1" x14ac:dyDescent="0.25">
      <c r="A245" s="29">
        <v>2</v>
      </c>
      <c r="B245" s="30" t="s">
        <v>66</v>
      </c>
      <c r="C245" s="31" t="s">
        <v>67</v>
      </c>
      <c r="D245" s="32" t="b">
        <v>1</v>
      </c>
      <c r="E245" s="30" t="s">
        <v>68</v>
      </c>
      <c r="F245" s="31" t="s">
        <v>3</v>
      </c>
      <c r="G245" s="31" t="s">
        <v>17</v>
      </c>
      <c r="H245" s="31" t="s">
        <v>18</v>
      </c>
      <c r="I245" s="31" t="s">
        <v>19</v>
      </c>
      <c r="J245" s="30" t="s">
        <v>7</v>
      </c>
      <c r="K245" s="33" t="s">
        <v>301</v>
      </c>
      <c r="L245" s="34">
        <v>46107.721490821757</v>
      </c>
      <c r="M245" s="16" t="b">
        <v>1</v>
      </c>
      <c r="N245" s="8" t="s">
        <v>659</v>
      </c>
    </row>
    <row r="246" spans="1:14" ht="408.95" customHeight="1" x14ac:dyDescent="0.25">
      <c r="A246" s="35">
        <v>2</v>
      </c>
      <c r="B246" s="36" t="s">
        <v>66</v>
      </c>
      <c r="C246" s="37" t="s">
        <v>67</v>
      </c>
      <c r="D246" s="38" t="b">
        <v>1</v>
      </c>
      <c r="E246" s="36" t="s">
        <v>68</v>
      </c>
      <c r="F246" s="37" t="s">
        <v>3</v>
      </c>
      <c r="G246" s="37" t="s">
        <v>21</v>
      </c>
      <c r="H246" s="37" t="s">
        <v>22</v>
      </c>
      <c r="I246" s="37" t="s">
        <v>23</v>
      </c>
      <c r="J246" s="36" t="s">
        <v>7</v>
      </c>
      <c r="K246" s="39" t="s">
        <v>302</v>
      </c>
      <c r="L246" s="40">
        <v>46107.721678877315</v>
      </c>
      <c r="M246" s="18" t="b">
        <v>1</v>
      </c>
      <c r="N246" s="7" t="s">
        <v>659</v>
      </c>
    </row>
    <row r="247" spans="1:14" ht="408.95" customHeight="1" x14ac:dyDescent="0.25">
      <c r="A247" s="29">
        <v>2</v>
      </c>
      <c r="B247" s="30" t="s">
        <v>66</v>
      </c>
      <c r="C247" s="31" t="s">
        <v>67</v>
      </c>
      <c r="D247" s="32" t="b">
        <v>1</v>
      </c>
      <c r="E247" s="30" t="s">
        <v>68</v>
      </c>
      <c r="F247" s="31" t="s">
        <v>25</v>
      </c>
      <c r="G247" s="31" t="s">
        <v>4</v>
      </c>
      <c r="H247" s="31" t="s">
        <v>5</v>
      </c>
      <c r="I247" s="31" t="s">
        <v>6</v>
      </c>
      <c r="J247" s="30" t="s">
        <v>7</v>
      </c>
      <c r="K247" s="33" t="s">
        <v>303</v>
      </c>
      <c r="L247" s="34">
        <v>46107.721811238429</v>
      </c>
      <c r="M247" s="16" t="b">
        <v>1</v>
      </c>
      <c r="N247" s="8" t="s">
        <v>659</v>
      </c>
    </row>
    <row r="248" spans="1:14" ht="408.95" customHeight="1" x14ac:dyDescent="0.25">
      <c r="A248" s="35">
        <v>2</v>
      </c>
      <c r="B248" s="36" t="s">
        <v>66</v>
      </c>
      <c r="C248" s="37" t="s">
        <v>67</v>
      </c>
      <c r="D248" s="38" t="b">
        <v>1</v>
      </c>
      <c r="E248" s="36" t="s">
        <v>68</v>
      </c>
      <c r="F248" s="37" t="s">
        <v>25</v>
      </c>
      <c r="G248" s="37" t="s">
        <v>9</v>
      </c>
      <c r="H248" s="37" t="s">
        <v>10</v>
      </c>
      <c r="I248" s="37" t="s">
        <v>11</v>
      </c>
      <c r="J248" s="36" t="s">
        <v>7</v>
      </c>
      <c r="K248" s="39" t="s">
        <v>304</v>
      </c>
      <c r="L248" s="40">
        <v>46107.721918043979</v>
      </c>
      <c r="M248" s="18" t="b">
        <v>1</v>
      </c>
      <c r="N248" s="7" t="s">
        <v>659</v>
      </c>
    </row>
    <row r="249" spans="1:14" ht="408.95" customHeight="1" x14ac:dyDescent="0.25">
      <c r="A249" s="29">
        <v>2</v>
      </c>
      <c r="B249" s="30" t="s">
        <v>66</v>
      </c>
      <c r="C249" s="31" t="s">
        <v>67</v>
      </c>
      <c r="D249" s="32" t="b">
        <v>1</v>
      </c>
      <c r="E249" s="30" t="s">
        <v>68</v>
      </c>
      <c r="F249" s="31" t="s">
        <v>25</v>
      </c>
      <c r="G249" s="31" t="s">
        <v>13</v>
      </c>
      <c r="H249" s="31" t="s">
        <v>14</v>
      </c>
      <c r="I249" s="31" t="s">
        <v>15</v>
      </c>
      <c r="J249" s="30" t="s">
        <v>7</v>
      </c>
      <c r="K249" s="33" t="s">
        <v>305</v>
      </c>
      <c r="L249" s="34">
        <v>46107.722149664354</v>
      </c>
      <c r="M249" s="16" t="b">
        <v>1</v>
      </c>
      <c r="N249" s="8" t="s">
        <v>659</v>
      </c>
    </row>
    <row r="250" spans="1:14" ht="408.95" customHeight="1" x14ac:dyDescent="0.25">
      <c r="A250" s="35">
        <v>2</v>
      </c>
      <c r="B250" s="36" t="s">
        <v>66</v>
      </c>
      <c r="C250" s="37" t="s">
        <v>67</v>
      </c>
      <c r="D250" s="38" t="b">
        <v>1</v>
      </c>
      <c r="E250" s="36" t="s">
        <v>68</v>
      </c>
      <c r="F250" s="37" t="s">
        <v>25</v>
      </c>
      <c r="G250" s="37" t="s">
        <v>17</v>
      </c>
      <c r="H250" s="37" t="s">
        <v>18</v>
      </c>
      <c r="I250" s="37" t="s">
        <v>19</v>
      </c>
      <c r="J250" s="36" t="s">
        <v>7</v>
      </c>
      <c r="K250" s="39" t="s">
        <v>306</v>
      </c>
      <c r="L250" s="40">
        <v>46107.7222277662</v>
      </c>
      <c r="M250" s="18" t="b">
        <v>1</v>
      </c>
      <c r="N250" s="7" t="s">
        <v>659</v>
      </c>
    </row>
    <row r="251" spans="1:14" ht="408.95" customHeight="1" x14ac:dyDescent="0.25">
      <c r="A251" s="29">
        <v>2</v>
      </c>
      <c r="B251" s="30" t="s">
        <v>66</v>
      </c>
      <c r="C251" s="31" t="s">
        <v>67</v>
      </c>
      <c r="D251" s="32" t="b">
        <v>1</v>
      </c>
      <c r="E251" s="30" t="s">
        <v>68</v>
      </c>
      <c r="F251" s="31" t="s">
        <v>25</v>
      </c>
      <c r="G251" s="31" t="s">
        <v>21</v>
      </c>
      <c r="H251" s="31" t="s">
        <v>22</v>
      </c>
      <c r="I251" s="31" t="s">
        <v>23</v>
      </c>
      <c r="J251" s="30" t="s">
        <v>7</v>
      </c>
      <c r="K251" s="33" t="s">
        <v>307</v>
      </c>
      <c r="L251" s="34">
        <v>46107.722371736112</v>
      </c>
      <c r="M251" s="16" t="b">
        <v>1</v>
      </c>
      <c r="N251" s="8" t="s">
        <v>659</v>
      </c>
    </row>
    <row r="252" spans="1:14" ht="408.95" customHeight="1" x14ac:dyDescent="0.25">
      <c r="A252" s="35">
        <v>2</v>
      </c>
      <c r="B252" s="36" t="s">
        <v>79</v>
      </c>
      <c r="C252" s="37" t="s">
        <v>80</v>
      </c>
      <c r="D252" s="41" t="b">
        <v>0</v>
      </c>
      <c r="E252" s="36" t="s">
        <v>33</v>
      </c>
      <c r="F252" s="37" t="s">
        <v>3</v>
      </c>
      <c r="G252" s="37" t="s">
        <v>4</v>
      </c>
      <c r="H252" s="37" t="s">
        <v>5</v>
      </c>
      <c r="I252" s="37" t="s">
        <v>6</v>
      </c>
      <c r="J252" s="36" t="s">
        <v>7</v>
      </c>
      <c r="K252" s="39" t="s">
        <v>308</v>
      </c>
      <c r="L252" s="40">
        <v>46107.72253579861</v>
      </c>
      <c r="M252" s="19" t="b">
        <v>0</v>
      </c>
      <c r="N252" s="9" t="s">
        <v>660</v>
      </c>
    </row>
    <row r="253" spans="1:14" ht="408.95" customHeight="1" x14ac:dyDescent="0.25">
      <c r="A253" s="29">
        <v>2</v>
      </c>
      <c r="B253" s="30" t="s">
        <v>79</v>
      </c>
      <c r="C253" s="31" t="s">
        <v>80</v>
      </c>
      <c r="D253" s="42" t="b">
        <v>0</v>
      </c>
      <c r="E253" s="30" t="s">
        <v>33</v>
      </c>
      <c r="F253" s="31" t="s">
        <v>3</v>
      </c>
      <c r="G253" s="31" t="s">
        <v>9</v>
      </c>
      <c r="H253" s="31" t="s">
        <v>10</v>
      </c>
      <c r="I253" s="31" t="s">
        <v>11</v>
      </c>
      <c r="J253" s="30" t="s">
        <v>7</v>
      </c>
      <c r="K253" s="33" t="s">
        <v>309</v>
      </c>
      <c r="L253" s="34">
        <v>46107.72276034722</v>
      </c>
      <c r="M253" s="17" t="b">
        <v>0</v>
      </c>
      <c r="N253" s="10" t="s">
        <v>660</v>
      </c>
    </row>
    <row r="254" spans="1:14" ht="408.95" customHeight="1" x14ac:dyDescent="0.25">
      <c r="A254" s="35">
        <v>2</v>
      </c>
      <c r="B254" s="36" t="s">
        <v>79</v>
      </c>
      <c r="C254" s="37" t="s">
        <v>80</v>
      </c>
      <c r="D254" s="41" t="b">
        <v>0</v>
      </c>
      <c r="E254" s="36" t="s">
        <v>33</v>
      </c>
      <c r="F254" s="37" t="s">
        <v>3</v>
      </c>
      <c r="G254" s="37" t="s">
        <v>13</v>
      </c>
      <c r="H254" s="37" t="s">
        <v>14</v>
      </c>
      <c r="I254" s="37" t="s">
        <v>15</v>
      </c>
      <c r="J254" s="36" t="s">
        <v>7</v>
      </c>
      <c r="K254" s="39" t="s">
        <v>310</v>
      </c>
      <c r="L254" s="40">
        <v>46107.723124780096</v>
      </c>
      <c r="M254" s="19" t="b">
        <v>0</v>
      </c>
      <c r="N254" s="9" t="s">
        <v>660</v>
      </c>
    </row>
    <row r="255" spans="1:14" ht="408.95" customHeight="1" x14ac:dyDescent="0.25">
      <c r="A255" s="29">
        <v>2</v>
      </c>
      <c r="B255" s="30" t="s">
        <v>79</v>
      </c>
      <c r="C255" s="31" t="s">
        <v>80</v>
      </c>
      <c r="D255" s="42" t="b">
        <v>0</v>
      </c>
      <c r="E255" s="30" t="s">
        <v>33</v>
      </c>
      <c r="F255" s="31" t="s">
        <v>3</v>
      </c>
      <c r="G255" s="31" t="s">
        <v>17</v>
      </c>
      <c r="H255" s="31" t="s">
        <v>18</v>
      </c>
      <c r="I255" s="31" t="s">
        <v>19</v>
      </c>
      <c r="J255" s="30" t="s">
        <v>7</v>
      </c>
      <c r="K255" s="33" t="s">
        <v>311</v>
      </c>
      <c r="L255" s="34">
        <v>46107.723217523147</v>
      </c>
      <c r="M255" s="16" t="b">
        <v>1</v>
      </c>
      <c r="N255" s="12" t="s">
        <v>661</v>
      </c>
    </row>
    <row r="256" spans="1:14" ht="408.95" customHeight="1" x14ac:dyDescent="0.25">
      <c r="A256" s="35">
        <v>2</v>
      </c>
      <c r="B256" s="36" t="s">
        <v>79</v>
      </c>
      <c r="C256" s="37" t="s">
        <v>80</v>
      </c>
      <c r="D256" s="41" t="b">
        <v>0</v>
      </c>
      <c r="E256" s="36" t="s">
        <v>33</v>
      </c>
      <c r="F256" s="37" t="s">
        <v>3</v>
      </c>
      <c r="G256" s="37" t="s">
        <v>21</v>
      </c>
      <c r="H256" s="37" t="s">
        <v>22</v>
      </c>
      <c r="I256" s="37" t="s">
        <v>23</v>
      </c>
      <c r="J256" s="36" t="s">
        <v>7</v>
      </c>
      <c r="K256" s="39" t="s">
        <v>312</v>
      </c>
      <c r="L256" s="40">
        <v>46107.723403981479</v>
      </c>
      <c r="M256" s="19" t="b">
        <v>0</v>
      </c>
      <c r="N256" s="9" t="s">
        <v>660</v>
      </c>
    </row>
    <row r="257" spans="1:14" ht="408.95" customHeight="1" x14ac:dyDescent="0.25">
      <c r="A257" s="29">
        <v>2</v>
      </c>
      <c r="B257" s="30" t="s">
        <v>79</v>
      </c>
      <c r="C257" s="31" t="s">
        <v>80</v>
      </c>
      <c r="D257" s="42" t="b">
        <v>0</v>
      </c>
      <c r="E257" s="30" t="s">
        <v>33</v>
      </c>
      <c r="F257" s="31" t="s">
        <v>25</v>
      </c>
      <c r="G257" s="31" t="s">
        <v>4</v>
      </c>
      <c r="H257" s="31" t="s">
        <v>5</v>
      </c>
      <c r="I257" s="31" t="s">
        <v>6</v>
      </c>
      <c r="J257" s="30" t="s">
        <v>7</v>
      </c>
      <c r="K257" s="33" t="s">
        <v>313</v>
      </c>
      <c r="L257" s="34">
        <v>46107.723557013887</v>
      </c>
      <c r="M257" s="16" t="b">
        <v>1</v>
      </c>
      <c r="N257" s="12" t="s">
        <v>661</v>
      </c>
    </row>
    <row r="258" spans="1:14" ht="408.95" customHeight="1" x14ac:dyDescent="0.25">
      <c r="A258" s="35">
        <v>2</v>
      </c>
      <c r="B258" s="36" t="s">
        <v>79</v>
      </c>
      <c r="C258" s="37" t="s">
        <v>80</v>
      </c>
      <c r="D258" s="41" t="b">
        <v>0</v>
      </c>
      <c r="E258" s="36" t="s">
        <v>33</v>
      </c>
      <c r="F258" s="37" t="s">
        <v>25</v>
      </c>
      <c r="G258" s="37" t="s">
        <v>9</v>
      </c>
      <c r="H258" s="37" t="s">
        <v>10</v>
      </c>
      <c r="I258" s="37" t="s">
        <v>11</v>
      </c>
      <c r="J258" s="36" t="s">
        <v>7</v>
      </c>
      <c r="K258" s="39" t="s">
        <v>314</v>
      </c>
      <c r="L258" s="40">
        <v>46107.723683634256</v>
      </c>
      <c r="M258" s="19" t="b">
        <v>0</v>
      </c>
      <c r="N258" s="9" t="s">
        <v>660</v>
      </c>
    </row>
    <row r="259" spans="1:14" ht="408.95" customHeight="1" x14ac:dyDescent="0.25">
      <c r="A259" s="29">
        <v>2</v>
      </c>
      <c r="B259" s="30" t="s">
        <v>79</v>
      </c>
      <c r="C259" s="31" t="s">
        <v>80</v>
      </c>
      <c r="D259" s="42" t="b">
        <v>0</v>
      </c>
      <c r="E259" s="30" t="s">
        <v>33</v>
      </c>
      <c r="F259" s="31" t="s">
        <v>25</v>
      </c>
      <c r="G259" s="31" t="s">
        <v>13</v>
      </c>
      <c r="H259" s="31" t="s">
        <v>14</v>
      </c>
      <c r="I259" s="31" t="s">
        <v>15</v>
      </c>
      <c r="J259" s="30" t="s">
        <v>7</v>
      </c>
      <c r="K259" s="33" t="s">
        <v>315</v>
      </c>
      <c r="L259" s="34">
        <v>46107.723877013887</v>
      </c>
      <c r="M259" s="17" t="b">
        <v>0</v>
      </c>
      <c r="N259" s="10" t="s">
        <v>660</v>
      </c>
    </row>
    <row r="260" spans="1:14" ht="408.95" customHeight="1" x14ac:dyDescent="0.25">
      <c r="A260" s="35">
        <v>2</v>
      </c>
      <c r="B260" s="36" t="s">
        <v>79</v>
      </c>
      <c r="C260" s="37" t="s">
        <v>80</v>
      </c>
      <c r="D260" s="41" t="b">
        <v>0</v>
      </c>
      <c r="E260" s="36" t="s">
        <v>33</v>
      </c>
      <c r="F260" s="37" t="s">
        <v>25</v>
      </c>
      <c r="G260" s="37" t="s">
        <v>17</v>
      </c>
      <c r="H260" s="37" t="s">
        <v>18</v>
      </c>
      <c r="I260" s="37" t="s">
        <v>19</v>
      </c>
      <c r="J260" s="36" t="s">
        <v>7</v>
      </c>
      <c r="K260" s="39" t="s">
        <v>316</v>
      </c>
      <c r="L260" s="40">
        <v>46107.723938344905</v>
      </c>
      <c r="M260" s="19" t="b">
        <v>0</v>
      </c>
      <c r="N260" s="9" t="s">
        <v>660</v>
      </c>
    </row>
    <row r="261" spans="1:14" ht="408.95" customHeight="1" x14ac:dyDescent="0.25">
      <c r="A261" s="29">
        <v>2</v>
      </c>
      <c r="B261" s="30" t="s">
        <v>79</v>
      </c>
      <c r="C261" s="31" t="s">
        <v>80</v>
      </c>
      <c r="D261" s="42" t="b">
        <v>0</v>
      </c>
      <c r="E261" s="30" t="s">
        <v>33</v>
      </c>
      <c r="F261" s="31" t="s">
        <v>25</v>
      </c>
      <c r="G261" s="31" t="s">
        <v>21</v>
      </c>
      <c r="H261" s="31" t="s">
        <v>22</v>
      </c>
      <c r="I261" s="31" t="s">
        <v>23</v>
      </c>
      <c r="J261" s="30" t="s">
        <v>7</v>
      </c>
      <c r="K261" s="33" t="s">
        <v>317</v>
      </c>
      <c r="L261" s="34">
        <v>46107.724051805555</v>
      </c>
      <c r="M261" s="17" t="b">
        <v>0</v>
      </c>
      <c r="N261" s="10" t="s">
        <v>660</v>
      </c>
    </row>
    <row r="262" spans="1:14" ht="408.95" customHeight="1" x14ac:dyDescent="0.25">
      <c r="A262" s="35">
        <v>2</v>
      </c>
      <c r="B262" s="36" t="s">
        <v>91</v>
      </c>
      <c r="C262" s="37" t="s">
        <v>92</v>
      </c>
      <c r="D262" s="38" t="b">
        <v>1</v>
      </c>
      <c r="E262" s="36" t="s">
        <v>68</v>
      </c>
      <c r="F262" s="37" t="s">
        <v>3</v>
      </c>
      <c r="G262" s="37" t="s">
        <v>4</v>
      </c>
      <c r="H262" s="37" t="s">
        <v>5</v>
      </c>
      <c r="I262" s="37" t="s">
        <v>6</v>
      </c>
      <c r="J262" s="36" t="s">
        <v>7</v>
      </c>
      <c r="K262" s="39" t="s">
        <v>318</v>
      </c>
      <c r="L262" s="40">
        <v>46107.724233530091</v>
      </c>
      <c r="M262" s="19" t="b">
        <v>0</v>
      </c>
      <c r="N262" s="11" t="s">
        <v>658</v>
      </c>
    </row>
    <row r="263" spans="1:14" ht="408.95" customHeight="1" x14ac:dyDescent="0.25">
      <c r="A263" s="29">
        <v>2</v>
      </c>
      <c r="B263" s="30" t="s">
        <v>91</v>
      </c>
      <c r="C263" s="31" t="s">
        <v>92</v>
      </c>
      <c r="D263" s="32" t="b">
        <v>1</v>
      </c>
      <c r="E263" s="30" t="s">
        <v>68</v>
      </c>
      <c r="F263" s="31" t="s">
        <v>3</v>
      </c>
      <c r="G263" s="31" t="s">
        <v>9</v>
      </c>
      <c r="H263" s="31" t="s">
        <v>10</v>
      </c>
      <c r="I263" s="31" t="s">
        <v>11</v>
      </c>
      <c r="J263" s="30" t="s">
        <v>7</v>
      </c>
      <c r="K263" s="33" t="s">
        <v>319</v>
      </c>
      <c r="L263" s="34">
        <v>46107.724521562501</v>
      </c>
      <c r="M263" s="16" t="b">
        <v>1</v>
      </c>
      <c r="N263" s="8" t="s">
        <v>659</v>
      </c>
    </row>
    <row r="264" spans="1:14" ht="408.95" customHeight="1" x14ac:dyDescent="0.25">
      <c r="A264" s="35">
        <v>2</v>
      </c>
      <c r="B264" s="36" t="s">
        <v>91</v>
      </c>
      <c r="C264" s="37" t="s">
        <v>92</v>
      </c>
      <c r="D264" s="38" t="b">
        <v>1</v>
      </c>
      <c r="E264" s="36" t="s">
        <v>68</v>
      </c>
      <c r="F264" s="37" t="s">
        <v>3</v>
      </c>
      <c r="G264" s="37" t="s">
        <v>13</v>
      </c>
      <c r="H264" s="37" t="s">
        <v>14</v>
      </c>
      <c r="I264" s="37" t="s">
        <v>15</v>
      </c>
      <c r="J264" s="36" t="s">
        <v>7</v>
      </c>
      <c r="K264" s="39" t="s">
        <v>320</v>
      </c>
      <c r="L264" s="40">
        <v>46107.724860740738</v>
      </c>
      <c r="M264" s="18" t="b">
        <v>1</v>
      </c>
      <c r="N264" s="7" t="s">
        <v>659</v>
      </c>
    </row>
    <row r="265" spans="1:14" ht="408.95" customHeight="1" x14ac:dyDescent="0.25">
      <c r="A265" s="29">
        <v>2</v>
      </c>
      <c r="B265" s="30" t="s">
        <v>91</v>
      </c>
      <c r="C265" s="31" t="s">
        <v>92</v>
      </c>
      <c r="D265" s="32" t="b">
        <v>1</v>
      </c>
      <c r="E265" s="30" t="s">
        <v>68</v>
      </c>
      <c r="F265" s="31" t="s">
        <v>3</v>
      </c>
      <c r="G265" s="31" t="s">
        <v>17</v>
      </c>
      <c r="H265" s="31" t="s">
        <v>18</v>
      </c>
      <c r="I265" s="31" t="s">
        <v>19</v>
      </c>
      <c r="J265" s="30" t="s">
        <v>7</v>
      </c>
      <c r="K265" s="33" t="s">
        <v>321</v>
      </c>
      <c r="L265" s="34">
        <v>46107.724978530096</v>
      </c>
      <c r="M265" s="16" t="b">
        <v>1</v>
      </c>
      <c r="N265" s="8" t="s">
        <v>659</v>
      </c>
    </row>
    <row r="266" spans="1:14" ht="408.95" customHeight="1" x14ac:dyDescent="0.25">
      <c r="A266" s="35">
        <v>2</v>
      </c>
      <c r="B266" s="36" t="s">
        <v>91</v>
      </c>
      <c r="C266" s="37" t="s">
        <v>92</v>
      </c>
      <c r="D266" s="38" t="b">
        <v>1</v>
      </c>
      <c r="E266" s="36" t="s">
        <v>68</v>
      </c>
      <c r="F266" s="37" t="s">
        <v>3</v>
      </c>
      <c r="G266" s="37" t="s">
        <v>21</v>
      </c>
      <c r="H266" s="37" t="s">
        <v>22</v>
      </c>
      <c r="I266" s="37" t="s">
        <v>23</v>
      </c>
      <c r="J266" s="36" t="s">
        <v>7</v>
      </c>
      <c r="K266" s="39" t="s">
        <v>322</v>
      </c>
      <c r="L266" s="40">
        <v>46107.725268888891</v>
      </c>
      <c r="M266" s="18" t="b">
        <v>1</v>
      </c>
      <c r="N266" s="7" t="s">
        <v>659</v>
      </c>
    </row>
    <row r="267" spans="1:14" ht="408.95" customHeight="1" x14ac:dyDescent="0.25">
      <c r="A267" s="29">
        <v>2</v>
      </c>
      <c r="B267" s="30" t="s">
        <v>91</v>
      </c>
      <c r="C267" s="31" t="s">
        <v>92</v>
      </c>
      <c r="D267" s="32" t="b">
        <v>1</v>
      </c>
      <c r="E267" s="30" t="s">
        <v>68</v>
      </c>
      <c r="F267" s="31" t="s">
        <v>25</v>
      </c>
      <c r="G267" s="31" t="s">
        <v>4</v>
      </c>
      <c r="H267" s="31" t="s">
        <v>5</v>
      </c>
      <c r="I267" s="31" t="s">
        <v>6</v>
      </c>
      <c r="J267" s="30" t="s">
        <v>7</v>
      </c>
      <c r="K267" s="33" t="s">
        <v>323</v>
      </c>
      <c r="L267" s="34">
        <v>46107.725419710645</v>
      </c>
      <c r="M267" s="16" t="b">
        <v>1</v>
      </c>
      <c r="N267" s="8" t="s">
        <v>659</v>
      </c>
    </row>
    <row r="268" spans="1:14" ht="408.95" customHeight="1" x14ac:dyDescent="0.25">
      <c r="A268" s="35">
        <v>2</v>
      </c>
      <c r="B268" s="36" t="s">
        <v>91</v>
      </c>
      <c r="C268" s="37" t="s">
        <v>92</v>
      </c>
      <c r="D268" s="38" t="b">
        <v>1</v>
      </c>
      <c r="E268" s="36" t="s">
        <v>68</v>
      </c>
      <c r="F268" s="37" t="s">
        <v>25</v>
      </c>
      <c r="G268" s="37" t="s">
        <v>9</v>
      </c>
      <c r="H268" s="37" t="s">
        <v>10</v>
      </c>
      <c r="I268" s="37" t="s">
        <v>11</v>
      </c>
      <c r="J268" s="36" t="s">
        <v>7</v>
      </c>
      <c r="K268" s="39" t="s">
        <v>324</v>
      </c>
      <c r="L268" s="40">
        <v>46107.725515729166</v>
      </c>
      <c r="M268" s="18" t="b">
        <v>1</v>
      </c>
      <c r="N268" s="7" t="s">
        <v>659</v>
      </c>
    </row>
    <row r="269" spans="1:14" ht="408.95" customHeight="1" x14ac:dyDescent="0.25">
      <c r="A269" s="29">
        <v>2</v>
      </c>
      <c r="B269" s="30" t="s">
        <v>91</v>
      </c>
      <c r="C269" s="31" t="s">
        <v>92</v>
      </c>
      <c r="D269" s="32" t="b">
        <v>1</v>
      </c>
      <c r="E269" s="30" t="s">
        <v>68</v>
      </c>
      <c r="F269" s="31" t="s">
        <v>25</v>
      </c>
      <c r="G269" s="31" t="s">
        <v>13</v>
      </c>
      <c r="H269" s="31" t="s">
        <v>14</v>
      </c>
      <c r="I269" s="31" t="s">
        <v>15</v>
      </c>
      <c r="J269" s="30" t="s">
        <v>7</v>
      </c>
      <c r="K269" s="33" t="s">
        <v>325</v>
      </c>
      <c r="L269" s="34">
        <v>46107.725700451389</v>
      </c>
      <c r="M269" s="16" t="b">
        <v>1</v>
      </c>
      <c r="N269" s="8" t="s">
        <v>659</v>
      </c>
    </row>
    <row r="270" spans="1:14" ht="408.95" customHeight="1" x14ac:dyDescent="0.25">
      <c r="A270" s="35">
        <v>2</v>
      </c>
      <c r="B270" s="36" t="s">
        <v>91</v>
      </c>
      <c r="C270" s="37" t="s">
        <v>92</v>
      </c>
      <c r="D270" s="38" t="b">
        <v>1</v>
      </c>
      <c r="E270" s="36" t="s">
        <v>68</v>
      </c>
      <c r="F270" s="37" t="s">
        <v>25</v>
      </c>
      <c r="G270" s="37" t="s">
        <v>17</v>
      </c>
      <c r="H270" s="37" t="s">
        <v>18</v>
      </c>
      <c r="I270" s="37" t="s">
        <v>19</v>
      </c>
      <c r="J270" s="36" t="s">
        <v>7</v>
      </c>
      <c r="K270" s="39" t="s">
        <v>326</v>
      </c>
      <c r="L270" s="40">
        <v>46107.72576883102</v>
      </c>
      <c r="M270" s="18" t="b">
        <v>1</v>
      </c>
      <c r="N270" s="7" t="s">
        <v>659</v>
      </c>
    </row>
    <row r="271" spans="1:14" ht="408.95" customHeight="1" x14ac:dyDescent="0.25">
      <c r="A271" s="29">
        <v>2</v>
      </c>
      <c r="B271" s="30" t="s">
        <v>91</v>
      </c>
      <c r="C271" s="31" t="s">
        <v>92</v>
      </c>
      <c r="D271" s="32" t="b">
        <v>1</v>
      </c>
      <c r="E271" s="30" t="s">
        <v>68</v>
      </c>
      <c r="F271" s="31" t="s">
        <v>25</v>
      </c>
      <c r="G271" s="31" t="s">
        <v>21</v>
      </c>
      <c r="H271" s="31" t="s">
        <v>22</v>
      </c>
      <c r="I271" s="31" t="s">
        <v>23</v>
      </c>
      <c r="J271" s="30" t="s">
        <v>7</v>
      </c>
      <c r="K271" s="33" t="s">
        <v>327</v>
      </c>
      <c r="L271" s="34">
        <v>46107.725931400462</v>
      </c>
      <c r="M271" s="16" t="b">
        <v>1</v>
      </c>
      <c r="N271" s="8" t="s">
        <v>659</v>
      </c>
    </row>
    <row r="272" spans="1:14" ht="408.95" customHeight="1" x14ac:dyDescent="0.25">
      <c r="A272" s="35">
        <v>2</v>
      </c>
      <c r="B272" s="36" t="s">
        <v>103</v>
      </c>
      <c r="C272" s="37" t="s">
        <v>104</v>
      </c>
      <c r="D272" s="41" t="b">
        <v>0</v>
      </c>
      <c r="E272" s="36" t="s">
        <v>33</v>
      </c>
      <c r="F272" s="37" t="s">
        <v>3</v>
      </c>
      <c r="G272" s="37" t="s">
        <v>4</v>
      </c>
      <c r="H272" s="37" t="s">
        <v>5</v>
      </c>
      <c r="I272" s="37" t="s">
        <v>6</v>
      </c>
      <c r="J272" s="36" t="s">
        <v>7</v>
      </c>
      <c r="K272" s="39" t="s">
        <v>328</v>
      </c>
      <c r="L272" s="40">
        <v>46107.726147951391</v>
      </c>
      <c r="M272" s="19" t="b">
        <v>0</v>
      </c>
      <c r="N272" s="9" t="s">
        <v>660</v>
      </c>
    </row>
    <row r="273" spans="1:14" ht="408.95" customHeight="1" x14ac:dyDescent="0.25">
      <c r="A273" s="29">
        <v>2</v>
      </c>
      <c r="B273" s="30" t="s">
        <v>103</v>
      </c>
      <c r="C273" s="31" t="s">
        <v>104</v>
      </c>
      <c r="D273" s="42" t="b">
        <v>0</v>
      </c>
      <c r="E273" s="30" t="s">
        <v>33</v>
      </c>
      <c r="F273" s="31" t="s">
        <v>3</v>
      </c>
      <c r="G273" s="31" t="s">
        <v>9</v>
      </c>
      <c r="H273" s="31" t="s">
        <v>10</v>
      </c>
      <c r="I273" s="31" t="s">
        <v>11</v>
      </c>
      <c r="J273" s="30" t="s">
        <v>7</v>
      </c>
      <c r="K273" s="33" t="s">
        <v>329</v>
      </c>
      <c r="L273" s="34">
        <v>46107.72629486111</v>
      </c>
      <c r="M273" s="17" t="b">
        <v>0</v>
      </c>
      <c r="N273" s="10" t="s">
        <v>660</v>
      </c>
    </row>
    <row r="274" spans="1:14" ht="408.95" customHeight="1" x14ac:dyDescent="0.25">
      <c r="A274" s="35">
        <v>2</v>
      </c>
      <c r="B274" s="36" t="s">
        <v>103</v>
      </c>
      <c r="C274" s="37" t="s">
        <v>104</v>
      </c>
      <c r="D274" s="41" t="b">
        <v>0</v>
      </c>
      <c r="E274" s="36" t="s">
        <v>33</v>
      </c>
      <c r="F274" s="37" t="s">
        <v>3</v>
      </c>
      <c r="G274" s="37" t="s">
        <v>13</v>
      </c>
      <c r="H274" s="37" t="s">
        <v>14</v>
      </c>
      <c r="I274" s="37" t="s">
        <v>15</v>
      </c>
      <c r="J274" s="36" t="s">
        <v>7</v>
      </c>
      <c r="K274" s="39" t="s">
        <v>330</v>
      </c>
      <c r="L274" s="40">
        <v>46107.726617893517</v>
      </c>
      <c r="M274" s="19" t="b">
        <v>0</v>
      </c>
      <c r="N274" s="9" t="s">
        <v>660</v>
      </c>
    </row>
    <row r="275" spans="1:14" ht="408.95" customHeight="1" x14ac:dyDescent="0.25">
      <c r="A275" s="29">
        <v>2</v>
      </c>
      <c r="B275" s="30" t="s">
        <v>103</v>
      </c>
      <c r="C275" s="31" t="s">
        <v>104</v>
      </c>
      <c r="D275" s="42" t="b">
        <v>0</v>
      </c>
      <c r="E275" s="30" t="s">
        <v>33</v>
      </c>
      <c r="F275" s="31" t="s">
        <v>3</v>
      </c>
      <c r="G275" s="31" t="s">
        <v>17</v>
      </c>
      <c r="H275" s="31" t="s">
        <v>18</v>
      </c>
      <c r="I275" s="31" t="s">
        <v>19</v>
      </c>
      <c r="J275" s="30" t="s">
        <v>7</v>
      </c>
      <c r="K275" s="33" t="s">
        <v>331</v>
      </c>
      <c r="L275" s="34">
        <v>46107.726752152776</v>
      </c>
      <c r="M275" s="16" t="b">
        <v>1</v>
      </c>
      <c r="N275" s="12" t="s">
        <v>661</v>
      </c>
    </row>
    <row r="276" spans="1:14" ht="408.95" customHeight="1" x14ac:dyDescent="0.25">
      <c r="A276" s="35">
        <v>2</v>
      </c>
      <c r="B276" s="36" t="s">
        <v>103</v>
      </c>
      <c r="C276" s="37" t="s">
        <v>104</v>
      </c>
      <c r="D276" s="41" t="b">
        <v>0</v>
      </c>
      <c r="E276" s="36" t="s">
        <v>33</v>
      </c>
      <c r="F276" s="37" t="s">
        <v>3</v>
      </c>
      <c r="G276" s="37" t="s">
        <v>21</v>
      </c>
      <c r="H276" s="37" t="s">
        <v>22</v>
      </c>
      <c r="I276" s="37" t="s">
        <v>23</v>
      </c>
      <c r="J276" s="36" t="s">
        <v>7</v>
      </c>
      <c r="K276" s="39" t="s">
        <v>332</v>
      </c>
      <c r="L276" s="40">
        <v>46107.727042488426</v>
      </c>
      <c r="M276" s="19" t="b">
        <v>0</v>
      </c>
      <c r="N276" s="9" t="s">
        <v>660</v>
      </c>
    </row>
    <row r="277" spans="1:14" ht="408.95" customHeight="1" x14ac:dyDescent="0.25">
      <c r="A277" s="29">
        <v>2</v>
      </c>
      <c r="B277" s="30" t="s">
        <v>103</v>
      </c>
      <c r="C277" s="31" t="s">
        <v>104</v>
      </c>
      <c r="D277" s="42" t="b">
        <v>0</v>
      </c>
      <c r="E277" s="30" t="s">
        <v>33</v>
      </c>
      <c r="F277" s="31" t="s">
        <v>25</v>
      </c>
      <c r="G277" s="31" t="s">
        <v>4</v>
      </c>
      <c r="H277" s="31" t="s">
        <v>5</v>
      </c>
      <c r="I277" s="31" t="s">
        <v>6</v>
      </c>
      <c r="J277" s="30" t="s">
        <v>7</v>
      </c>
      <c r="K277" s="33" t="s">
        <v>333</v>
      </c>
      <c r="L277" s="34">
        <v>46107.727202002316</v>
      </c>
      <c r="M277" s="17" t="b">
        <v>0</v>
      </c>
      <c r="N277" s="10" t="s">
        <v>660</v>
      </c>
    </row>
    <row r="278" spans="1:14" ht="408.95" customHeight="1" x14ac:dyDescent="0.25">
      <c r="A278" s="35">
        <v>2</v>
      </c>
      <c r="B278" s="36" t="s">
        <v>103</v>
      </c>
      <c r="C278" s="37" t="s">
        <v>104</v>
      </c>
      <c r="D278" s="41" t="b">
        <v>0</v>
      </c>
      <c r="E278" s="36" t="s">
        <v>33</v>
      </c>
      <c r="F278" s="37" t="s">
        <v>25</v>
      </c>
      <c r="G278" s="37" t="s">
        <v>9</v>
      </c>
      <c r="H278" s="37" t="s">
        <v>10</v>
      </c>
      <c r="I278" s="37" t="s">
        <v>11</v>
      </c>
      <c r="J278" s="36" t="s">
        <v>7</v>
      </c>
      <c r="K278" s="39" t="s">
        <v>334</v>
      </c>
      <c r="L278" s="40">
        <v>46107.727349456021</v>
      </c>
      <c r="M278" s="18" t="b">
        <v>1</v>
      </c>
      <c r="N278" s="13" t="s">
        <v>661</v>
      </c>
    </row>
    <row r="279" spans="1:14" ht="408.95" customHeight="1" x14ac:dyDescent="0.25">
      <c r="A279" s="29">
        <v>2</v>
      </c>
      <c r="B279" s="30" t="s">
        <v>103</v>
      </c>
      <c r="C279" s="31" t="s">
        <v>104</v>
      </c>
      <c r="D279" s="42" t="b">
        <v>0</v>
      </c>
      <c r="E279" s="30" t="s">
        <v>33</v>
      </c>
      <c r="F279" s="31" t="s">
        <v>25</v>
      </c>
      <c r="G279" s="31" t="s">
        <v>13</v>
      </c>
      <c r="H279" s="31" t="s">
        <v>14</v>
      </c>
      <c r="I279" s="31" t="s">
        <v>15</v>
      </c>
      <c r="J279" s="30" t="s">
        <v>7</v>
      </c>
      <c r="K279" s="33" t="s">
        <v>335</v>
      </c>
      <c r="L279" s="34">
        <v>46107.727538402774</v>
      </c>
      <c r="M279" s="17" t="b">
        <v>0</v>
      </c>
      <c r="N279" s="10" t="s">
        <v>660</v>
      </c>
    </row>
    <row r="280" spans="1:14" ht="408.95" customHeight="1" x14ac:dyDescent="0.25">
      <c r="A280" s="35">
        <v>2</v>
      </c>
      <c r="B280" s="36" t="s">
        <v>103</v>
      </c>
      <c r="C280" s="37" t="s">
        <v>104</v>
      </c>
      <c r="D280" s="41" t="b">
        <v>0</v>
      </c>
      <c r="E280" s="36" t="s">
        <v>33</v>
      </c>
      <c r="F280" s="37" t="s">
        <v>25</v>
      </c>
      <c r="G280" s="37" t="s">
        <v>17</v>
      </c>
      <c r="H280" s="37" t="s">
        <v>18</v>
      </c>
      <c r="I280" s="37" t="s">
        <v>19</v>
      </c>
      <c r="J280" s="36" t="s">
        <v>7</v>
      </c>
      <c r="K280" s="39" t="s">
        <v>336</v>
      </c>
      <c r="L280" s="40">
        <v>46107.727618171295</v>
      </c>
      <c r="M280" s="19" t="b">
        <v>0</v>
      </c>
      <c r="N280" s="9" t="s">
        <v>660</v>
      </c>
    </row>
    <row r="281" spans="1:14" ht="408.95" customHeight="1" x14ac:dyDescent="0.25">
      <c r="A281" s="29">
        <v>2</v>
      </c>
      <c r="B281" s="30" t="s">
        <v>103</v>
      </c>
      <c r="C281" s="31" t="s">
        <v>104</v>
      </c>
      <c r="D281" s="42" t="b">
        <v>0</v>
      </c>
      <c r="E281" s="30" t="s">
        <v>33</v>
      </c>
      <c r="F281" s="31" t="s">
        <v>25</v>
      </c>
      <c r="G281" s="31" t="s">
        <v>21</v>
      </c>
      <c r="H281" s="31" t="s">
        <v>22</v>
      </c>
      <c r="I281" s="31" t="s">
        <v>23</v>
      </c>
      <c r="J281" s="30" t="s">
        <v>7</v>
      </c>
      <c r="K281" s="33" t="s">
        <v>337</v>
      </c>
      <c r="L281" s="34">
        <v>46107.727729837963</v>
      </c>
      <c r="M281" s="17" t="b">
        <v>0</v>
      </c>
      <c r="N281" s="10" t="s">
        <v>660</v>
      </c>
    </row>
    <row r="282" spans="1:14" ht="408.95" customHeight="1" x14ac:dyDescent="0.25">
      <c r="A282" s="35">
        <v>2</v>
      </c>
      <c r="B282" s="36" t="s">
        <v>115</v>
      </c>
      <c r="C282" s="37" t="s">
        <v>92</v>
      </c>
      <c r="D282" s="38" t="b">
        <v>1</v>
      </c>
      <c r="E282" s="36" t="s">
        <v>68</v>
      </c>
      <c r="F282" s="37" t="s">
        <v>3</v>
      </c>
      <c r="G282" s="37" t="s">
        <v>4</v>
      </c>
      <c r="H282" s="37" t="s">
        <v>5</v>
      </c>
      <c r="I282" s="37" t="s">
        <v>6</v>
      </c>
      <c r="J282" s="36" t="s">
        <v>7</v>
      </c>
      <c r="K282" s="39" t="s">
        <v>338</v>
      </c>
      <c r="L282" s="40">
        <v>46107.727880532409</v>
      </c>
      <c r="M282" s="19" t="b">
        <v>0</v>
      </c>
      <c r="N282" s="11" t="s">
        <v>658</v>
      </c>
    </row>
    <row r="283" spans="1:14" ht="408.95" customHeight="1" x14ac:dyDescent="0.25">
      <c r="A283" s="29">
        <v>2</v>
      </c>
      <c r="B283" s="30" t="s">
        <v>115</v>
      </c>
      <c r="C283" s="31" t="s">
        <v>92</v>
      </c>
      <c r="D283" s="32" t="b">
        <v>1</v>
      </c>
      <c r="E283" s="30" t="s">
        <v>68</v>
      </c>
      <c r="F283" s="31" t="s">
        <v>3</v>
      </c>
      <c r="G283" s="31" t="s">
        <v>9</v>
      </c>
      <c r="H283" s="31" t="s">
        <v>10</v>
      </c>
      <c r="I283" s="31" t="s">
        <v>11</v>
      </c>
      <c r="J283" s="30" t="s">
        <v>7</v>
      </c>
      <c r="K283" s="33" t="s">
        <v>339</v>
      </c>
      <c r="L283" s="34">
        <v>46107.728158587961</v>
      </c>
      <c r="M283" s="16" t="b">
        <v>1</v>
      </c>
      <c r="N283" s="8" t="s">
        <v>659</v>
      </c>
    </row>
    <row r="284" spans="1:14" ht="408.95" customHeight="1" x14ac:dyDescent="0.25">
      <c r="A284" s="35">
        <v>2</v>
      </c>
      <c r="B284" s="36" t="s">
        <v>115</v>
      </c>
      <c r="C284" s="37" t="s">
        <v>92</v>
      </c>
      <c r="D284" s="38" t="b">
        <v>1</v>
      </c>
      <c r="E284" s="36" t="s">
        <v>68</v>
      </c>
      <c r="F284" s="37" t="s">
        <v>3</v>
      </c>
      <c r="G284" s="37" t="s">
        <v>13</v>
      </c>
      <c r="H284" s="37" t="s">
        <v>14</v>
      </c>
      <c r="I284" s="37" t="s">
        <v>15</v>
      </c>
      <c r="J284" s="36" t="s">
        <v>7</v>
      </c>
      <c r="K284" s="39" t="s">
        <v>340</v>
      </c>
      <c r="L284" s="40">
        <v>46107.72846416667</v>
      </c>
      <c r="M284" s="18" t="b">
        <v>1</v>
      </c>
      <c r="N284" s="7" t="s">
        <v>659</v>
      </c>
    </row>
    <row r="285" spans="1:14" ht="408.95" customHeight="1" x14ac:dyDescent="0.25">
      <c r="A285" s="29">
        <v>2</v>
      </c>
      <c r="B285" s="30" t="s">
        <v>115</v>
      </c>
      <c r="C285" s="31" t="s">
        <v>92</v>
      </c>
      <c r="D285" s="32" t="b">
        <v>1</v>
      </c>
      <c r="E285" s="30" t="s">
        <v>68</v>
      </c>
      <c r="F285" s="31" t="s">
        <v>3</v>
      </c>
      <c r="G285" s="31" t="s">
        <v>17</v>
      </c>
      <c r="H285" s="31" t="s">
        <v>18</v>
      </c>
      <c r="I285" s="31" t="s">
        <v>19</v>
      </c>
      <c r="J285" s="30" t="s">
        <v>7</v>
      </c>
      <c r="K285" s="33" t="s">
        <v>341</v>
      </c>
      <c r="L285" s="34">
        <v>46107.728576250003</v>
      </c>
      <c r="M285" s="16" t="b">
        <v>1</v>
      </c>
      <c r="N285" s="8" t="s">
        <v>659</v>
      </c>
    </row>
    <row r="286" spans="1:14" ht="408.95" customHeight="1" x14ac:dyDescent="0.25">
      <c r="A286" s="35">
        <v>2</v>
      </c>
      <c r="B286" s="36" t="s">
        <v>115</v>
      </c>
      <c r="C286" s="37" t="s">
        <v>92</v>
      </c>
      <c r="D286" s="38" t="b">
        <v>1</v>
      </c>
      <c r="E286" s="36" t="s">
        <v>68</v>
      </c>
      <c r="F286" s="37" t="s">
        <v>3</v>
      </c>
      <c r="G286" s="37" t="s">
        <v>21</v>
      </c>
      <c r="H286" s="37" t="s">
        <v>22</v>
      </c>
      <c r="I286" s="37" t="s">
        <v>23</v>
      </c>
      <c r="J286" s="36" t="s">
        <v>7</v>
      </c>
      <c r="K286" s="39" t="s">
        <v>342</v>
      </c>
      <c r="L286" s="40">
        <v>46107.728851458334</v>
      </c>
      <c r="M286" s="18" t="b">
        <v>1</v>
      </c>
      <c r="N286" s="7" t="s">
        <v>659</v>
      </c>
    </row>
    <row r="287" spans="1:14" ht="408.95" customHeight="1" x14ac:dyDescent="0.25">
      <c r="A287" s="29">
        <v>2</v>
      </c>
      <c r="B287" s="30" t="s">
        <v>115</v>
      </c>
      <c r="C287" s="31" t="s">
        <v>92</v>
      </c>
      <c r="D287" s="32" t="b">
        <v>1</v>
      </c>
      <c r="E287" s="30" t="s">
        <v>68</v>
      </c>
      <c r="F287" s="31" t="s">
        <v>25</v>
      </c>
      <c r="G287" s="31" t="s">
        <v>4</v>
      </c>
      <c r="H287" s="31" t="s">
        <v>5</v>
      </c>
      <c r="I287" s="31" t="s">
        <v>6</v>
      </c>
      <c r="J287" s="30" t="s">
        <v>7</v>
      </c>
      <c r="K287" s="33" t="s">
        <v>343</v>
      </c>
      <c r="L287" s="34">
        <v>46107.728984166664</v>
      </c>
      <c r="M287" s="16" t="b">
        <v>1</v>
      </c>
      <c r="N287" s="8" t="s">
        <v>659</v>
      </c>
    </row>
    <row r="288" spans="1:14" ht="408.95" customHeight="1" x14ac:dyDescent="0.25">
      <c r="A288" s="35">
        <v>2</v>
      </c>
      <c r="B288" s="36" t="s">
        <v>115</v>
      </c>
      <c r="C288" s="37" t="s">
        <v>92</v>
      </c>
      <c r="D288" s="38" t="b">
        <v>1</v>
      </c>
      <c r="E288" s="36" t="s">
        <v>68</v>
      </c>
      <c r="F288" s="37" t="s">
        <v>25</v>
      </c>
      <c r="G288" s="37" t="s">
        <v>9</v>
      </c>
      <c r="H288" s="37" t="s">
        <v>10</v>
      </c>
      <c r="I288" s="37" t="s">
        <v>11</v>
      </c>
      <c r="J288" s="36" t="s">
        <v>7</v>
      </c>
      <c r="K288" s="39" t="s">
        <v>344</v>
      </c>
      <c r="L288" s="40">
        <v>46107.72910099537</v>
      </c>
      <c r="M288" s="18" t="b">
        <v>1</v>
      </c>
      <c r="N288" s="7" t="s">
        <v>659</v>
      </c>
    </row>
    <row r="289" spans="1:14" ht="408.95" customHeight="1" x14ac:dyDescent="0.25">
      <c r="A289" s="29">
        <v>2</v>
      </c>
      <c r="B289" s="30" t="s">
        <v>115</v>
      </c>
      <c r="C289" s="31" t="s">
        <v>92</v>
      </c>
      <c r="D289" s="32" t="b">
        <v>1</v>
      </c>
      <c r="E289" s="30" t="s">
        <v>68</v>
      </c>
      <c r="F289" s="31" t="s">
        <v>25</v>
      </c>
      <c r="G289" s="31" t="s">
        <v>13</v>
      </c>
      <c r="H289" s="31" t="s">
        <v>14</v>
      </c>
      <c r="I289" s="31" t="s">
        <v>15</v>
      </c>
      <c r="J289" s="30" t="s">
        <v>7</v>
      </c>
      <c r="K289" s="33" t="s">
        <v>345</v>
      </c>
      <c r="L289" s="34">
        <v>46107.729336770833</v>
      </c>
      <c r="M289" s="16" t="b">
        <v>1</v>
      </c>
      <c r="N289" s="8" t="s">
        <v>659</v>
      </c>
    </row>
    <row r="290" spans="1:14" ht="408.95" customHeight="1" x14ac:dyDescent="0.25">
      <c r="A290" s="35">
        <v>2</v>
      </c>
      <c r="B290" s="36" t="s">
        <v>115</v>
      </c>
      <c r="C290" s="37" t="s">
        <v>92</v>
      </c>
      <c r="D290" s="38" t="b">
        <v>1</v>
      </c>
      <c r="E290" s="36" t="s">
        <v>68</v>
      </c>
      <c r="F290" s="37" t="s">
        <v>25</v>
      </c>
      <c r="G290" s="37" t="s">
        <v>17</v>
      </c>
      <c r="H290" s="37" t="s">
        <v>18</v>
      </c>
      <c r="I290" s="37" t="s">
        <v>19</v>
      </c>
      <c r="J290" s="36" t="s">
        <v>7</v>
      </c>
      <c r="K290" s="39" t="s">
        <v>346</v>
      </c>
      <c r="L290" s="40">
        <v>46107.729411458335</v>
      </c>
      <c r="M290" s="18" t="b">
        <v>1</v>
      </c>
      <c r="N290" s="7" t="s">
        <v>659</v>
      </c>
    </row>
    <row r="291" spans="1:14" ht="408.95" customHeight="1" x14ac:dyDescent="0.25">
      <c r="A291" s="29">
        <v>2</v>
      </c>
      <c r="B291" s="30" t="s">
        <v>115</v>
      </c>
      <c r="C291" s="31" t="s">
        <v>92</v>
      </c>
      <c r="D291" s="32" t="b">
        <v>1</v>
      </c>
      <c r="E291" s="30" t="s">
        <v>68</v>
      </c>
      <c r="F291" s="31" t="s">
        <v>25</v>
      </c>
      <c r="G291" s="31" t="s">
        <v>21</v>
      </c>
      <c r="H291" s="31" t="s">
        <v>22</v>
      </c>
      <c r="I291" s="31" t="s">
        <v>23</v>
      </c>
      <c r="J291" s="30" t="s">
        <v>7</v>
      </c>
      <c r="K291" s="33" t="s">
        <v>347</v>
      </c>
      <c r="L291" s="34">
        <v>46107.729544155096</v>
      </c>
      <c r="M291" s="16" t="b">
        <v>1</v>
      </c>
      <c r="N291" s="8" t="s">
        <v>659</v>
      </c>
    </row>
    <row r="292" spans="1:14" ht="408.95" customHeight="1" x14ac:dyDescent="0.25">
      <c r="A292" s="35">
        <v>2</v>
      </c>
      <c r="B292" s="36" t="s">
        <v>126</v>
      </c>
      <c r="C292" s="37" t="s">
        <v>104</v>
      </c>
      <c r="D292" s="41" t="b">
        <v>0</v>
      </c>
      <c r="E292" s="36" t="s">
        <v>33</v>
      </c>
      <c r="F292" s="37" t="s">
        <v>3</v>
      </c>
      <c r="G292" s="37" t="s">
        <v>4</v>
      </c>
      <c r="H292" s="37" t="s">
        <v>5</v>
      </c>
      <c r="I292" s="37" t="s">
        <v>6</v>
      </c>
      <c r="J292" s="36" t="s">
        <v>7</v>
      </c>
      <c r="K292" s="39" t="s">
        <v>348</v>
      </c>
      <c r="L292" s="40">
        <v>46107.7297391088</v>
      </c>
      <c r="M292" s="19" t="b">
        <v>0</v>
      </c>
      <c r="N292" s="9" t="s">
        <v>660</v>
      </c>
    </row>
    <row r="293" spans="1:14" ht="408.95" customHeight="1" x14ac:dyDescent="0.25">
      <c r="A293" s="29">
        <v>2</v>
      </c>
      <c r="B293" s="30" t="s">
        <v>126</v>
      </c>
      <c r="C293" s="31" t="s">
        <v>104</v>
      </c>
      <c r="D293" s="42" t="b">
        <v>0</v>
      </c>
      <c r="E293" s="30" t="s">
        <v>33</v>
      </c>
      <c r="F293" s="31" t="s">
        <v>3</v>
      </c>
      <c r="G293" s="31" t="s">
        <v>9</v>
      </c>
      <c r="H293" s="31" t="s">
        <v>10</v>
      </c>
      <c r="I293" s="31" t="s">
        <v>11</v>
      </c>
      <c r="J293" s="30" t="s">
        <v>7</v>
      </c>
      <c r="K293" s="33" t="s">
        <v>349</v>
      </c>
      <c r="L293" s="34">
        <v>46107.729977812502</v>
      </c>
      <c r="M293" s="17" t="b">
        <v>0</v>
      </c>
      <c r="N293" s="10" t="s">
        <v>660</v>
      </c>
    </row>
    <row r="294" spans="1:14" ht="408.95" customHeight="1" x14ac:dyDescent="0.25">
      <c r="A294" s="35">
        <v>2</v>
      </c>
      <c r="B294" s="36" t="s">
        <v>126</v>
      </c>
      <c r="C294" s="37" t="s">
        <v>104</v>
      </c>
      <c r="D294" s="41" t="b">
        <v>0</v>
      </c>
      <c r="E294" s="36" t="s">
        <v>33</v>
      </c>
      <c r="F294" s="37" t="s">
        <v>3</v>
      </c>
      <c r="G294" s="37" t="s">
        <v>13</v>
      </c>
      <c r="H294" s="37" t="s">
        <v>14</v>
      </c>
      <c r="I294" s="37" t="s">
        <v>15</v>
      </c>
      <c r="J294" s="36" t="s">
        <v>7</v>
      </c>
      <c r="K294" s="39" t="s">
        <v>350</v>
      </c>
      <c r="L294" s="40">
        <v>46107.730256689814</v>
      </c>
      <c r="M294" s="19" t="b">
        <v>0</v>
      </c>
      <c r="N294" s="9" t="s">
        <v>660</v>
      </c>
    </row>
    <row r="295" spans="1:14" ht="408.95" customHeight="1" x14ac:dyDescent="0.25">
      <c r="A295" s="29">
        <v>2</v>
      </c>
      <c r="B295" s="30" t="s">
        <v>126</v>
      </c>
      <c r="C295" s="31" t="s">
        <v>104</v>
      </c>
      <c r="D295" s="42" t="b">
        <v>0</v>
      </c>
      <c r="E295" s="30" t="s">
        <v>33</v>
      </c>
      <c r="F295" s="31" t="s">
        <v>3</v>
      </c>
      <c r="G295" s="31" t="s">
        <v>17</v>
      </c>
      <c r="H295" s="31" t="s">
        <v>18</v>
      </c>
      <c r="I295" s="31" t="s">
        <v>19</v>
      </c>
      <c r="J295" s="30" t="s">
        <v>7</v>
      </c>
      <c r="K295" s="33" t="s">
        <v>351</v>
      </c>
      <c r="L295" s="34">
        <v>46107.730385405092</v>
      </c>
      <c r="M295" s="16" t="b">
        <v>1</v>
      </c>
      <c r="N295" s="12" t="s">
        <v>661</v>
      </c>
    </row>
    <row r="296" spans="1:14" ht="408.95" customHeight="1" x14ac:dyDescent="0.25">
      <c r="A296" s="35">
        <v>2</v>
      </c>
      <c r="B296" s="36" t="s">
        <v>126</v>
      </c>
      <c r="C296" s="37" t="s">
        <v>104</v>
      </c>
      <c r="D296" s="41" t="b">
        <v>0</v>
      </c>
      <c r="E296" s="36" t="s">
        <v>33</v>
      </c>
      <c r="F296" s="37" t="s">
        <v>3</v>
      </c>
      <c r="G296" s="37" t="s">
        <v>21</v>
      </c>
      <c r="H296" s="37" t="s">
        <v>22</v>
      </c>
      <c r="I296" s="37" t="s">
        <v>23</v>
      </c>
      <c r="J296" s="36" t="s">
        <v>7</v>
      </c>
      <c r="K296" s="39" t="s">
        <v>352</v>
      </c>
      <c r="L296" s="40">
        <v>46107.730657106484</v>
      </c>
      <c r="M296" s="19" t="b">
        <v>0</v>
      </c>
      <c r="N296" s="9" t="s">
        <v>660</v>
      </c>
    </row>
    <row r="297" spans="1:14" ht="408.95" customHeight="1" x14ac:dyDescent="0.25">
      <c r="A297" s="29">
        <v>2</v>
      </c>
      <c r="B297" s="30" t="s">
        <v>126</v>
      </c>
      <c r="C297" s="31" t="s">
        <v>104</v>
      </c>
      <c r="D297" s="42" t="b">
        <v>0</v>
      </c>
      <c r="E297" s="30" t="s">
        <v>33</v>
      </c>
      <c r="F297" s="31" t="s">
        <v>25</v>
      </c>
      <c r="G297" s="31" t="s">
        <v>4</v>
      </c>
      <c r="H297" s="31" t="s">
        <v>5</v>
      </c>
      <c r="I297" s="31" t="s">
        <v>6</v>
      </c>
      <c r="J297" s="30" t="s">
        <v>7</v>
      </c>
      <c r="K297" s="33" t="s">
        <v>353</v>
      </c>
      <c r="L297" s="34">
        <v>46107.730761319443</v>
      </c>
      <c r="M297" s="17" t="b">
        <v>0</v>
      </c>
      <c r="N297" s="10" t="s">
        <v>660</v>
      </c>
    </row>
    <row r="298" spans="1:14" ht="408.95" customHeight="1" x14ac:dyDescent="0.25">
      <c r="A298" s="35">
        <v>2</v>
      </c>
      <c r="B298" s="36" t="s">
        <v>126</v>
      </c>
      <c r="C298" s="37" t="s">
        <v>104</v>
      </c>
      <c r="D298" s="41" t="b">
        <v>0</v>
      </c>
      <c r="E298" s="36" t="s">
        <v>33</v>
      </c>
      <c r="F298" s="37" t="s">
        <v>25</v>
      </c>
      <c r="G298" s="37" t="s">
        <v>9</v>
      </c>
      <c r="H298" s="37" t="s">
        <v>10</v>
      </c>
      <c r="I298" s="37" t="s">
        <v>11</v>
      </c>
      <c r="J298" s="36" t="s">
        <v>7</v>
      </c>
      <c r="K298" s="39" t="s">
        <v>354</v>
      </c>
      <c r="L298" s="40">
        <v>46107.730880162038</v>
      </c>
      <c r="M298" s="19" t="b">
        <v>0</v>
      </c>
      <c r="N298" s="9" t="s">
        <v>660</v>
      </c>
    </row>
    <row r="299" spans="1:14" ht="408.95" customHeight="1" x14ac:dyDescent="0.25">
      <c r="A299" s="29">
        <v>2</v>
      </c>
      <c r="B299" s="30" t="s">
        <v>126</v>
      </c>
      <c r="C299" s="31" t="s">
        <v>104</v>
      </c>
      <c r="D299" s="42" t="b">
        <v>0</v>
      </c>
      <c r="E299" s="30" t="s">
        <v>33</v>
      </c>
      <c r="F299" s="31" t="s">
        <v>25</v>
      </c>
      <c r="G299" s="31" t="s">
        <v>13</v>
      </c>
      <c r="H299" s="31" t="s">
        <v>14</v>
      </c>
      <c r="I299" s="31" t="s">
        <v>15</v>
      </c>
      <c r="J299" s="30" t="s">
        <v>7</v>
      </c>
      <c r="K299" s="33" t="s">
        <v>355</v>
      </c>
      <c r="L299" s="34">
        <v>46107.731078912038</v>
      </c>
      <c r="M299" s="17" t="b">
        <v>0</v>
      </c>
      <c r="N299" s="10" t="s">
        <v>660</v>
      </c>
    </row>
    <row r="300" spans="1:14" ht="408.95" customHeight="1" x14ac:dyDescent="0.25">
      <c r="A300" s="35">
        <v>2</v>
      </c>
      <c r="B300" s="36" t="s">
        <v>126</v>
      </c>
      <c r="C300" s="37" t="s">
        <v>104</v>
      </c>
      <c r="D300" s="41" t="b">
        <v>0</v>
      </c>
      <c r="E300" s="36" t="s">
        <v>33</v>
      </c>
      <c r="F300" s="37" t="s">
        <v>25</v>
      </c>
      <c r="G300" s="37" t="s">
        <v>17</v>
      </c>
      <c r="H300" s="37" t="s">
        <v>18</v>
      </c>
      <c r="I300" s="37" t="s">
        <v>19</v>
      </c>
      <c r="J300" s="36" t="s">
        <v>7</v>
      </c>
      <c r="K300" s="39" t="s">
        <v>356</v>
      </c>
      <c r="L300" s="40">
        <v>46107.731151435182</v>
      </c>
      <c r="M300" s="19" t="b">
        <v>0</v>
      </c>
      <c r="N300" s="9" t="s">
        <v>660</v>
      </c>
    </row>
    <row r="301" spans="1:14" ht="408.95" customHeight="1" x14ac:dyDescent="0.25">
      <c r="A301" s="29">
        <v>2</v>
      </c>
      <c r="B301" s="30" t="s">
        <v>126</v>
      </c>
      <c r="C301" s="31" t="s">
        <v>104</v>
      </c>
      <c r="D301" s="42" t="b">
        <v>0</v>
      </c>
      <c r="E301" s="30" t="s">
        <v>33</v>
      </c>
      <c r="F301" s="31" t="s">
        <v>25</v>
      </c>
      <c r="G301" s="31" t="s">
        <v>21</v>
      </c>
      <c r="H301" s="31" t="s">
        <v>22</v>
      </c>
      <c r="I301" s="31" t="s">
        <v>23</v>
      </c>
      <c r="J301" s="30" t="s">
        <v>7</v>
      </c>
      <c r="K301" s="33" t="s">
        <v>357</v>
      </c>
      <c r="L301" s="34">
        <v>46107.731256458334</v>
      </c>
      <c r="M301" s="17" t="b">
        <v>0</v>
      </c>
      <c r="N301" s="10" t="s">
        <v>660</v>
      </c>
    </row>
    <row r="302" spans="1:14" ht="408.95" customHeight="1" x14ac:dyDescent="0.25">
      <c r="A302" s="35">
        <v>2</v>
      </c>
      <c r="B302" s="36" t="s">
        <v>137</v>
      </c>
      <c r="C302" s="37" t="s">
        <v>138</v>
      </c>
      <c r="D302" s="38" t="b">
        <v>1</v>
      </c>
      <c r="E302" s="36" t="s">
        <v>139</v>
      </c>
      <c r="F302" s="37" t="s">
        <v>3</v>
      </c>
      <c r="G302" s="37" t="s">
        <v>4</v>
      </c>
      <c r="H302" s="37" t="s">
        <v>5</v>
      </c>
      <c r="I302" s="37" t="s">
        <v>6</v>
      </c>
      <c r="J302" s="36" t="s">
        <v>7</v>
      </c>
      <c r="K302" s="39" t="s">
        <v>358</v>
      </c>
      <c r="L302" s="40">
        <v>46107.731534085651</v>
      </c>
      <c r="M302" s="18" t="b">
        <v>1</v>
      </c>
      <c r="N302" s="7" t="s">
        <v>659</v>
      </c>
    </row>
    <row r="303" spans="1:14" ht="408.95" customHeight="1" x14ac:dyDescent="0.25">
      <c r="A303" s="29">
        <v>2</v>
      </c>
      <c r="B303" s="30" t="s">
        <v>137</v>
      </c>
      <c r="C303" s="31" t="s">
        <v>138</v>
      </c>
      <c r="D303" s="32" t="b">
        <v>1</v>
      </c>
      <c r="E303" s="30" t="s">
        <v>139</v>
      </c>
      <c r="F303" s="31" t="s">
        <v>3</v>
      </c>
      <c r="G303" s="31" t="s">
        <v>9</v>
      </c>
      <c r="H303" s="31" t="s">
        <v>10</v>
      </c>
      <c r="I303" s="31" t="s">
        <v>11</v>
      </c>
      <c r="J303" s="30" t="s">
        <v>7</v>
      </c>
      <c r="K303" s="33" t="s">
        <v>359</v>
      </c>
      <c r="L303" s="34">
        <v>46107.731722893521</v>
      </c>
      <c r="M303" s="17" t="b">
        <v>0</v>
      </c>
      <c r="N303" s="6" t="s">
        <v>658</v>
      </c>
    </row>
    <row r="304" spans="1:14" ht="408.95" customHeight="1" x14ac:dyDescent="0.25">
      <c r="A304" s="35">
        <v>2</v>
      </c>
      <c r="B304" s="36" t="s">
        <v>137</v>
      </c>
      <c r="C304" s="37" t="s">
        <v>138</v>
      </c>
      <c r="D304" s="38" t="b">
        <v>1</v>
      </c>
      <c r="E304" s="36" t="s">
        <v>139</v>
      </c>
      <c r="F304" s="37" t="s">
        <v>3</v>
      </c>
      <c r="G304" s="37" t="s">
        <v>13</v>
      </c>
      <c r="H304" s="37" t="s">
        <v>14</v>
      </c>
      <c r="I304" s="37" t="s">
        <v>15</v>
      </c>
      <c r="J304" s="36" t="s">
        <v>7</v>
      </c>
      <c r="K304" s="39" t="s">
        <v>360</v>
      </c>
      <c r="L304" s="40">
        <v>46107.73202599537</v>
      </c>
      <c r="M304" s="18" t="b">
        <v>1</v>
      </c>
      <c r="N304" s="7" t="s">
        <v>659</v>
      </c>
    </row>
    <row r="305" spans="1:14" ht="408.95" customHeight="1" x14ac:dyDescent="0.25">
      <c r="A305" s="29">
        <v>2</v>
      </c>
      <c r="B305" s="30" t="s">
        <v>137</v>
      </c>
      <c r="C305" s="31" t="s">
        <v>138</v>
      </c>
      <c r="D305" s="32" t="b">
        <v>1</v>
      </c>
      <c r="E305" s="30" t="s">
        <v>139</v>
      </c>
      <c r="F305" s="31" t="s">
        <v>3</v>
      </c>
      <c r="G305" s="31" t="s">
        <v>17</v>
      </c>
      <c r="H305" s="31" t="s">
        <v>18</v>
      </c>
      <c r="I305" s="31" t="s">
        <v>19</v>
      </c>
      <c r="J305" s="30" t="s">
        <v>7</v>
      </c>
      <c r="K305" s="33" t="s">
        <v>361</v>
      </c>
      <c r="L305" s="34">
        <v>46107.732136747683</v>
      </c>
      <c r="M305" s="16" t="b">
        <v>1</v>
      </c>
      <c r="N305" s="8" t="s">
        <v>659</v>
      </c>
    </row>
    <row r="306" spans="1:14" ht="408.95" customHeight="1" x14ac:dyDescent="0.25">
      <c r="A306" s="35">
        <v>2</v>
      </c>
      <c r="B306" s="36" t="s">
        <v>137</v>
      </c>
      <c r="C306" s="37" t="s">
        <v>138</v>
      </c>
      <c r="D306" s="38" t="b">
        <v>1</v>
      </c>
      <c r="E306" s="36" t="s">
        <v>139</v>
      </c>
      <c r="F306" s="37" t="s">
        <v>3</v>
      </c>
      <c r="G306" s="37" t="s">
        <v>21</v>
      </c>
      <c r="H306" s="37" t="s">
        <v>22</v>
      </c>
      <c r="I306" s="37" t="s">
        <v>23</v>
      </c>
      <c r="J306" s="36" t="s">
        <v>7</v>
      </c>
      <c r="K306" s="39" t="s">
        <v>362</v>
      </c>
      <c r="L306" s="40">
        <v>46107.732445162037</v>
      </c>
      <c r="M306" s="18" t="b">
        <v>1</v>
      </c>
      <c r="N306" s="7" t="s">
        <v>659</v>
      </c>
    </row>
    <row r="307" spans="1:14" ht="408.95" customHeight="1" x14ac:dyDescent="0.25">
      <c r="A307" s="29">
        <v>2</v>
      </c>
      <c r="B307" s="30" t="s">
        <v>137</v>
      </c>
      <c r="C307" s="31" t="s">
        <v>138</v>
      </c>
      <c r="D307" s="32" t="b">
        <v>1</v>
      </c>
      <c r="E307" s="30" t="s">
        <v>139</v>
      </c>
      <c r="F307" s="31" t="s">
        <v>25</v>
      </c>
      <c r="G307" s="31" t="s">
        <v>4</v>
      </c>
      <c r="H307" s="31" t="s">
        <v>5</v>
      </c>
      <c r="I307" s="31" t="s">
        <v>6</v>
      </c>
      <c r="J307" s="30" t="s">
        <v>7</v>
      </c>
      <c r="K307" s="33" t="s">
        <v>363</v>
      </c>
      <c r="L307" s="34">
        <v>46107.732620648145</v>
      </c>
      <c r="M307" s="16" t="b">
        <v>1</v>
      </c>
      <c r="N307" s="8" t="s">
        <v>659</v>
      </c>
    </row>
    <row r="308" spans="1:14" ht="408.95" customHeight="1" x14ac:dyDescent="0.25">
      <c r="A308" s="35">
        <v>2</v>
      </c>
      <c r="B308" s="36" t="s">
        <v>137</v>
      </c>
      <c r="C308" s="37" t="s">
        <v>138</v>
      </c>
      <c r="D308" s="38" t="b">
        <v>1</v>
      </c>
      <c r="E308" s="36" t="s">
        <v>139</v>
      </c>
      <c r="F308" s="37" t="s">
        <v>25</v>
      </c>
      <c r="G308" s="37" t="s">
        <v>9</v>
      </c>
      <c r="H308" s="37" t="s">
        <v>10</v>
      </c>
      <c r="I308" s="37" t="s">
        <v>11</v>
      </c>
      <c r="J308" s="36" t="s">
        <v>7</v>
      </c>
      <c r="K308" s="39" t="s">
        <v>364</v>
      </c>
      <c r="L308" s="40">
        <v>46107.732737743056</v>
      </c>
      <c r="M308" s="18" t="b">
        <v>1</v>
      </c>
      <c r="N308" s="7" t="s">
        <v>659</v>
      </c>
    </row>
    <row r="309" spans="1:14" ht="408.95" customHeight="1" x14ac:dyDescent="0.25">
      <c r="A309" s="29">
        <v>2</v>
      </c>
      <c r="B309" s="30" t="s">
        <v>137</v>
      </c>
      <c r="C309" s="31" t="s">
        <v>138</v>
      </c>
      <c r="D309" s="32" t="b">
        <v>1</v>
      </c>
      <c r="E309" s="30" t="s">
        <v>139</v>
      </c>
      <c r="F309" s="31" t="s">
        <v>25</v>
      </c>
      <c r="G309" s="31" t="s">
        <v>13</v>
      </c>
      <c r="H309" s="31" t="s">
        <v>14</v>
      </c>
      <c r="I309" s="31" t="s">
        <v>15</v>
      </c>
      <c r="J309" s="30" t="s">
        <v>7</v>
      </c>
      <c r="K309" s="33" t="s">
        <v>365</v>
      </c>
      <c r="L309" s="34">
        <v>46107.732938032408</v>
      </c>
      <c r="M309" s="16" t="b">
        <v>1</v>
      </c>
      <c r="N309" s="8" t="s">
        <v>659</v>
      </c>
    </row>
    <row r="310" spans="1:14" ht="408.95" customHeight="1" x14ac:dyDescent="0.25">
      <c r="A310" s="35">
        <v>2</v>
      </c>
      <c r="B310" s="36" t="s">
        <v>137</v>
      </c>
      <c r="C310" s="37" t="s">
        <v>138</v>
      </c>
      <c r="D310" s="38" t="b">
        <v>1</v>
      </c>
      <c r="E310" s="36" t="s">
        <v>139</v>
      </c>
      <c r="F310" s="37" t="s">
        <v>25</v>
      </c>
      <c r="G310" s="37" t="s">
        <v>17</v>
      </c>
      <c r="H310" s="37" t="s">
        <v>18</v>
      </c>
      <c r="I310" s="37" t="s">
        <v>19</v>
      </c>
      <c r="J310" s="36" t="s">
        <v>7</v>
      </c>
      <c r="K310" s="39" t="s">
        <v>366</v>
      </c>
      <c r="L310" s="40">
        <v>46107.73300364583</v>
      </c>
      <c r="M310" s="18" t="b">
        <v>1</v>
      </c>
      <c r="N310" s="7" t="s">
        <v>659</v>
      </c>
    </row>
    <row r="311" spans="1:14" ht="408.95" customHeight="1" x14ac:dyDescent="0.25">
      <c r="A311" s="29">
        <v>2</v>
      </c>
      <c r="B311" s="30" t="s">
        <v>137</v>
      </c>
      <c r="C311" s="31" t="s">
        <v>138</v>
      </c>
      <c r="D311" s="32" t="b">
        <v>1</v>
      </c>
      <c r="E311" s="30" t="s">
        <v>139</v>
      </c>
      <c r="F311" s="31" t="s">
        <v>25</v>
      </c>
      <c r="G311" s="31" t="s">
        <v>21</v>
      </c>
      <c r="H311" s="31" t="s">
        <v>22</v>
      </c>
      <c r="I311" s="31" t="s">
        <v>23</v>
      </c>
      <c r="J311" s="30" t="s">
        <v>7</v>
      </c>
      <c r="K311" s="33" t="s">
        <v>367</v>
      </c>
      <c r="L311" s="34">
        <v>46107.733147569445</v>
      </c>
      <c r="M311" s="16" t="b">
        <v>1</v>
      </c>
      <c r="N311" s="8" t="s">
        <v>659</v>
      </c>
    </row>
    <row r="312" spans="1:14" ht="408.95" customHeight="1" x14ac:dyDescent="0.25">
      <c r="A312" s="35">
        <v>2</v>
      </c>
      <c r="B312" s="36" t="s">
        <v>150</v>
      </c>
      <c r="C312" s="37" t="s">
        <v>151</v>
      </c>
      <c r="D312" s="41" t="b">
        <v>0</v>
      </c>
      <c r="E312" s="36" t="s">
        <v>33</v>
      </c>
      <c r="F312" s="37" t="s">
        <v>3</v>
      </c>
      <c r="G312" s="37" t="s">
        <v>4</v>
      </c>
      <c r="H312" s="37" t="s">
        <v>5</v>
      </c>
      <c r="I312" s="37" t="s">
        <v>6</v>
      </c>
      <c r="J312" s="36" t="s">
        <v>7</v>
      </c>
      <c r="K312" s="39" t="s">
        <v>368</v>
      </c>
      <c r="L312" s="40">
        <v>46107.733349641203</v>
      </c>
      <c r="M312" s="19" t="b">
        <v>0</v>
      </c>
      <c r="N312" s="9" t="s">
        <v>660</v>
      </c>
    </row>
    <row r="313" spans="1:14" ht="408.95" customHeight="1" x14ac:dyDescent="0.25">
      <c r="A313" s="29">
        <v>2</v>
      </c>
      <c r="B313" s="30" t="s">
        <v>150</v>
      </c>
      <c r="C313" s="31" t="s">
        <v>151</v>
      </c>
      <c r="D313" s="42" t="b">
        <v>0</v>
      </c>
      <c r="E313" s="30" t="s">
        <v>33</v>
      </c>
      <c r="F313" s="31" t="s">
        <v>3</v>
      </c>
      <c r="G313" s="31" t="s">
        <v>9</v>
      </c>
      <c r="H313" s="31" t="s">
        <v>10</v>
      </c>
      <c r="I313" s="31" t="s">
        <v>11</v>
      </c>
      <c r="J313" s="30" t="s">
        <v>7</v>
      </c>
      <c r="K313" s="33" t="s">
        <v>369</v>
      </c>
      <c r="L313" s="34">
        <v>46107.733555393519</v>
      </c>
      <c r="M313" s="17" t="b">
        <v>0</v>
      </c>
      <c r="N313" s="10" t="s">
        <v>660</v>
      </c>
    </row>
    <row r="314" spans="1:14" ht="408.95" customHeight="1" x14ac:dyDescent="0.25">
      <c r="A314" s="35">
        <v>2</v>
      </c>
      <c r="B314" s="36" t="s">
        <v>150</v>
      </c>
      <c r="C314" s="37" t="s">
        <v>151</v>
      </c>
      <c r="D314" s="41" t="b">
        <v>0</v>
      </c>
      <c r="E314" s="36" t="s">
        <v>33</v>
      </c>
      <c r="F314" s="37" t="s">
        <v>3</v>
      </c>
      <c r="G314" s="37" t="s">
        <v>13</v>
      </c>
      <c r="H314" s="37" t="s">
        <v>14</v>
      </c>
      <c r="I314" s="37" t="s">
        <v>15</v>
      </c>
      <c r="J314" s="36" t="s">
        <v>7</v>
      </c>
      <c r="K314" s="39" t="s">
        <v>370</v>
      </c>
      <c r="L314" s="40">
        <v>46107.733895011574</v>
      </c>
      <c r="M314" s="19" t="b">
        <v>0</v>
      </c>
      <c r="N314" s="9" t="s">
        <v>660</v>
      </c>
    </row>
    <row r="315" spans="1:14" ht="408.95" customHeight="1" x14ac:dyDescent="0.25">
      <c r="A315" s="29">
        <v>2</v>
      </c>
      <c r="B315" s="30" t="s">
        <v>150</v>
      </c>
      <c r="C315" s="31" t="s">
        <v>151</v>
      </c>
      <c r="D315" s="42" t="b">
        <v>0</v>
      </c>
      <c r="E315" s="30" t="s">
        <v>33</v>
      </c>
      <c r="F315" s="31" t="s">
        <v>3</v>
      </c>
      <c r="G315" s="31" t="s">
        <v>17</v>
      </c>
      <c r="H315" s="31" t="s">
        <v>18</v>
      </c>
      <c r="I315" s="31" t="s">
        <v>19</v>
      </c>
      <c r="J315" s="30" t="s">
        <v>7</v>
      </c>
      <c r="K315" s="33" t="s">
        <v>371</v>
      </c>
      <c r="L315" s="34">
        <v>46107.734012743058</v>
      </c>
      <c r="M315" s="17" t="b">
        <v>0</v>
      </c>
      <c r="N315" s="10" t="s">
        <v>660</v>
      </c>
    </row>
    <row r="316" spans="1:14" ht="408.95" customHeight="1" x14ac:dyDescent="0.25">
      <c r="A316" s="35">
        <v>2</v>
      </c>
      <c r="B316" s="36" t="s">
        <v>150</v>
      </c>
      <c r="C316" s="37" t="s">
        <v>151</v>
      </c>
      <c r="D316" s="41" t="b">
        <v>0</v>
      </c>
      <c r="E316" s="36" t="s">
        <v>33</v>
      </c>
      <c r="F316" s="37" t="s">
        <v>3</v>
      </c>
      <c r="G316" s="37" t="s">
        <v>21</v>
      </c>
      <c r="H316" s="37" t="s">
        <v>22</v>
      </c>
      <c r="I316" s="37" t="s">
        <v>23</v>
      </c>
      <c r="J316" s="36" t="s">
        <v>7</v>
      </c>
      <c r="K316" s="39" t="s">
        <v>372</v>
      </c>
      <c r="L316" s="40">
        <v>46107.734308171297</v>
      </c>
      <c r="M316" s="19" t="b">
        <v>0</v>
      </c>
      <c r="N316" s="9" t="s">
        <v>660</v>
      </c>
    </row>
    <row r="317" spans="1:14" ht="408.95" customHeight="1" x14ac:dyDescent="0.25">
      <c r="A317" s="29">
        <v>2</v>
      </c>
      <c r="B317" s="30" t="s">
        <v>150</v>
      </c>
      <c r="C317" s="31" t="s">
        <v>151</v>
      </c>
      <c r="D317" s="42" t="b">
        <v>0</v>
      </c>
      <c r="E317" s="30" t="s">
        <v>33</v>
      </c>
      <c r="F317" s="31" t="s">
        <v>25</v>
      </c>
      <c r="G317" s="31" t="s">
        <v>4</v>
      </c>
      <c r="H317" s="31" t="s">
        <v>5</v>
      </c>
      <c r="I317" s="31" t="s">
        <v>6</v>
      </c>
      <c r="J317" s="30" t="s">
        <v>7</v>
      </c>
      <c r="K317" s="33" t="s">
        <v>373</v>
      </c>
      <c r="L317" s="34">
        <v>46107.734443043984</v>
      </c>
      <c r="M317" s="17" t="b">
        <v>0</v>
      </c>
      <c r="N317" s="10" t="s">
        <v>660</v>
      </c>
    </row>
    <row r="318" spans="1:14" ht="408.95" customHeight="1" x14ac:dyDescent="0.25">
      <c r="A318" s="35">
        <v>2</v>
      </c>
      <c r="B318" s="36" t="s">
        <v>150</v>
      </c>
      <c r="C318" s="37" t="s">
        <v>151</v>
      </c>
      <c r="D318" s="41" t="b">
        <v>0</v>
      </c>
      <c r="E318" s="36" t="s">
        <v>33</v>
      </c>
      <c r="F318" s="37" t="s">
        <v>25</v>
      </c>
      <c r="G318" s="37" t="s">
        <v>9</v>
      </c>
      <c r="H318" s="37" t="s">
        <v>10</v>
      </c>
      <c r="I318" s="37" t="s">
        <v>11</v>
      </c>
      <c r="J318" s="36" t="s">
        <v>7</v>
      </c>
      <c r="K318" s="39" t="s">
        <v>374</v>
      </c>
      <c r="L318" s="40">
        <v>46107.734534976851</v>
      </c>
      <c r="M318" s="19" t="b">
        <v>0</v>
      </c>
      <c r="N318" s="9" t="s">
        <v>660</v>
      </c>
    </row>
    <row r="319" spans="1:14" ht="408.95" customHeight="1" x14ac:dyDescent="0.25">
      <c r="A319" s="29">
        <v>2</v>
      </c>
      <c r="B319" s="30" t="s">
        <v>150</v>
      </c>
      <c r="C319" s="31" t="s">
        <v>151</v>
      </c>
      <c r="D319" s="42" t="b">
        <v>0</v>
      </c>
      <c r="E319" s="30" t="s">
        <v>33</v>
      </c>
      <c r="F319" s="31" t="s">
        <v>25</v>
      </c>
      <c r="G319" s="31" t="s">
        <v>13</v>
      </c>
      <c r="H319" s="31" t="s">
        <v>14</v>
      </c>
      <c r="I319" s="31" t="s">
        <v>15</v>
      </c>
      <c r="J319" s="30" t="s">
        <v>7</v>
      </c>
      <c r="K319" s="33" t="s">
        <v>375</v>
      </c>
      <c r="L319" s="34">
        <v>46107.734753414348</v>
      </c>
      <c r="M319" s="17" t="b">
        <v>0</v>
      </c>
      <c r="N319" s="10" t="s">
        <v>660</v>
      </c>
    </row>
    <row r="320" spans="1:14" ht="408.95" customHeight="1" x14ac:dyDescent="0.25">
      <c r="A320" s="35">
        <v>2</v>
      </c>
      <c r="B320" s="36" t="s">
        <v>150</v>
      </c>
      <c r="C320" s="37" t="s">
        <v>151</v>
      </c>
      <c r="D320" s="41" t="b">
        <v>0</v>
      </c>
      <c r="E320" s="36" t="s">
        <v>33</v>
      </c>
      <c r="F320" s="37" t="s">
        <v>25</v>
      </c>
      <c r="G320" s="37" t="s">
        <v>17</v>
      </c>
      <c r="H320" s="37" t="s">
        <v>18</v>
      </c>
      <c r="I320" s="37" t="s">
        <v>19</v>
      </c>
      <c r="J320" s="36" t="s">
        <v>7</v>
      </c>
      <c r="K320" s="39" t="s">
        <v>376</v>
      </c>
      <c r="L320" s="40">
        <v>46107.734813912037</v>
      </c>
      <c r="M320" s="19" t="b">
        <v>0</v>
      </c>
      <c r="N320" s="9" t="s">
        <v>660</v>
      </c>
    </row>
    <row r="321" spans="1:14" ht="408.95" customHeight="1" x14ac:dyDescent="0.25">
      <c r="A321" s="29">
        <v>2</v>
      </c>
      <c r="B321" s="30" t="s">
        <v>150</v>
      </c>
      <c r="C321" s="31" t="s">
        <v>151</v>
      </c>
      <c r="D321" s="42" t="b">
        <v>0</v>
      </c>
      <c r="E321" s="30" t="s">
        <v>33</v>
      </c>
      <c r="F321" s="31" t="s">
        <v>25</v>
      </c>
      <c r="G321" s="31" t="s">
        <v>21</v>
      </c>
      <c r="H321" s="31" t="s">
        <v>22</v>
      </c>
      <c r="I321" s="31" t="s">
        <v>23</v>
      </c>
      <c r="J321" s="30" t="s">
        <v>7</v>
      </c>
      <c r="K321" s="33" t="s">
        <v>377</v>
      </c>
      <c r="L321" s="34">
        <v>46107.734930254628</v>
      </c>
      <c r="M321" s="17" t="b">
        <v>0</v>
      </c>
      <c r="N321" s="10" t="s">
        <v>660</v>
      </c>
    </row>
    <row r="322" spans="1:14" ht="408.95" customHeight="1" x14ac:dyDescent="0.25">
      <c r="A322" s="35">
        <v>2</v>
      </c>
      <c r="B322" s="36" t="s">
        <v>162</v>
      </c>
      <c r="C322" s="37" t="s">
        <v>163</v>
      </c>
      <c r="D322" s="38" t="b">
        <v>1</v>
      </c>
      <c r="E322" s="36" t="s">
        <v>164</v>
      </c>
      <c r="F322" s="37" t="s">
        <v>3</v>
      </c>
      <c r="G322" s="37" t="s">
        <v>4</v>
      </c>
      <c r="H322" s="37" t="s">
        <v>5</v>
      </c>
      <c r="I322" s="37" t="s">
        <v>6</v>
      </c>
      <c r="J322" s="36" t="s">
        <v>7</v>
      </c>
      <c r="K322" s="39" t="s">
        <v>378</v>
      </c>
      <c r="L322" s="40">
        <v>46107.735125555555</v>
      </c>
      <c r="M322" s="18" t="b">
        <v>1</v>
      </c>
      <c r="N322" s="7" t="s">
        <v>659</v>
      </c>
    </row>
    <row r="323" spans="1:14" ht="408.95" customHeight="1" x14ac:dyDescent="0.25">
      <c r="A323" s="29">
        <v>2</v>
      </c>
      <c r="B323" s="30" t="s">
        <v>162</v>
      </c>
      <c r="C323" s="31" t="s">
        <v>163</v>
      </c>
      <c r="D323" s="32" t="b">
        <v>1</v>
      </c>
      <c r="E323" s="30" t="s">
        <v>164</v>
      </c>
      <c r="F323" s="31" t="s">
        <v>3</v>
      </c>
      <c r="G323" s="31" t="s">
        <v>9</v>
      </c>
      <c r="H323" s="31" t="s">
        <v>10</v>
      </c>
      <c r="I323" s="31" t="s">
        <v>11</v>
      </c>
      <c r="J323" s="30" t="s">
        <v>7</v>
      </c>
      <c r="K323" s="33" t="s">
        <v>379</v>
      </c>
      <c r="L323" s="34">
        <v>46107.735356689816</v>
      </c>
      <c r="M323" s="16" t="b">
        <v>1</v>
      </c>
      <c r="N323" s="8" t="s">
        <v>659</v>
      </c>
    </row>
    <row r="324" spans="1:14" ht="408.95" customHeight="1" x14ac:dyDescent="0.25">
      <c r="A324" s="35">
        <v>2</v>
      </c>
      <c r="B324" s="36" t="s">
        <v>162</v>
      </c>
      <c r="C324" s="37" t="s">
        <v>163</v>
      </c>
      <c r="D324" s="38" t="b">
        <v>1</v>
      </c>
      <c r="E324" s="36" t="s">
        <v>164</v>
      </c>
      <c r="F324" s="37" t="s">
        <v>3</v>
      </c>
      <c r="G324" s="37" t="s">
        <v>13</v>
      </c>
      <c r="H324" s="37" t="s">
        <v>14</v>
      </c>
      <c r="I324" s="37" t="s">
        <v>15</v>
      </c>
      <c r="J324" s="36" t="s">
        <v>7</v>
      </c>
      <c r="K324" s="39" t="s">
        <v>380</v>
      </c>
      <c r="L324" s="40">
        <v>46107.735723368052</v>
      </c>
      <c r="M324" s="18" t="b">
        <v>1</v>
      </c>
      <c r="N324" s="7" t="s">
        <v>659</v>
      </c>
    </row>
    <row r="325" spans="1:14" ht="408.95" customHeight="1" x14ac:dyDescent="0.25">
      <c r="A325" s="29">
        <v>2</v>
      </c>
      <c r="B325" s="30" t="s">
        <v>162</v>
      </c>
      <c r="C325" s="31" t="s">
        <v>163</v>
      </c>
      <c r="D325" s="32" t="b">
        <v>1</v>
      </c>
      <c r="E325" s="30" t="s">
        <v>164</v>
      </c>
      <c r="F325" s="31" t="s">
        <v>3</v>
      </c>
      <c r="G325" s="31" t="s">
        <v>17</v>
      </c>
      <c r="H325" s="31" t="s">
        <v>18</v>
      </c>
      <c r="I325" s="31" t="s">
        <v>19</v>
      </c>
      <c r="J325" s="30" t="s">
        <v>7</v>
      </c>
      <c r="K325" s="33" t="s">
        <v>381</v>
      </c>
      <c r="L325" s="34">
        <v>46107.735820185182</v>
      </c>
      <c r="M325" s="16" t="b">
        <v>1</v>
      </c>
      <c r="N325" s="8" t="s">
        <v>659</v>
      </c>
    </row>
    <row r="326" spans="1:14" ht="408.95" customHeight="1" x14ac:dyDescent="0.25">
      <c r="A326" s="35">
        <v>2</v>
      </c>
      <c r="B326" s="36" t="s">
        <v>162</v>
      </c>
      <c r="C326" s="37" t="s">
        <v>163</v>
      </c>
      <c r="D326" s="38" t="b">
        <v>1</v>
      </c>
      <c r="E326" s="36" t="s">
        <v>164</v>
      </c>
      <c r="F326" s="37" t="s">
        <v>3</v>
      </c>
      <c r="G326" s="37" t="s">
        <v>21</v>
      </c>
      <c r="H326" s="37" t="s">
        <v>22</v>
      </c>
      <c r="I326" s="37" t="s">
        <v>23</v>
      </c>
      <c r="J326" s="36" t="s">
        <v>7</v>
      </c>
      <c r="K326" s="39" t="s">
        <v>382</v>
      </c>
      <c r="L326" s="40">
        <v>46107.736075243054</v>
      </c>
      <c r="M326" s="18" t="b">
        <v>1</v>
      </c>
      <c r="N326" s="7" t="s">
        <v>659</v>
      </c>
    </row>
    <row r="327" spans="1:14" ht="408.95" customHeight="1" x14ac:dyDescent="0.25">
      <c r="A327" s="29">
        <v>2</v>
      </c>
      <c r="B327" s="30" t="s">
        <v>162</v>
      </c>
      <c r="C327" s="31" t="s">
        <v>163</v>
      </c>
      <c r="D327" s="32" t="b">
        <v>1</v>
      </c>
      <c r="E327" s="30" t="s">
        <v>164</v>
      </c>
      <c r="F327" s="31" t="s">
        <v>25</v>
      </c>
      <c r="G327" s="31" t="s">
        <v>4</v>
      </c>
      <c r="H327" s="31" t="s">
        <v>5</v>
      </c>
      <c r="I327" s="31" t="s">
        <v>6</v>
      </c>
      <c r="J327" s="30" t="s">
        <v>7</v>
      </c>
      <c r="K327" s="33" t="s">
        <v>383</v>
      </c>
      <c r="L327" s="34">
        <v>46107.736257696757</v>
      </c>
      <c r="M327" s="16" t="b">
        <v>1</v>
      </c>
      <c r="N327" s="8" t="s">
        <v>659</v>
      </c>
    </row>
    <row r="328" spans="1:14" ht="408.95" customHeight="1" x14ac:dyDescent="0.25">
      <c r="A328" s="35">
        <v>2</v>
      </c>
      <c r="B328" s="36" t="s">
        <v>162</v>
      </c>
      <c r="C328" s="37" t="s">
        <v>163</v>
      </c>
      <c r="D328" s="38" t="b">
        <v>1</v>
      </c>
      <c r="E328" s="36" t="s">
        <v>164</v>
      </c>
      <c r="F328" s="37" t="s">
        <v>25</v>
      </c>
      <c r="G328" s="37" t="s">
        <v>9</v>
      </c>
      <c r="H328" s="37" t="s">
        <v>10</v>
      </c>
      <c r="I328" s="37" t="s">
        <v>11</v>
      </c>
      <c r="J328" s="36" t="s">
        <v>7</v>
      </c>
      <c r="K328" s="39" t="s">
        <v>384</v>
      </c>
      <c r="L328" s="40">
        <v>46107.736372361112</v>
      </c>
      <c r="M328" s="18" t="b">
        <v>1</v>
      </c>
      <c r="N328" s="7" t="s">
        <v>659</v>
      </c>
    </row>
    <row r="329" spans="1:14" ht="408.95" customHeight="1" x14ac:dyDescent="0.25">
      <c r="A329" s="29">
        <v>2</v>
      </c>
      <c r="B329" s="30" t="s">
        <v>162</v>
      </c>
      <c r="C329" s="31" t="s">
        <v>163</v>
      </c>
      <c r="D329" s="32" t="b">
        <v>1</v>
      </c>
      <c r="E329" s="30" t="s">
        <v>164</v>
      </c>
      <c r="F329" s="31" t="s">
        <v>25</v>
      </c>
      <c r="G329" s="31" t="s">
        <v>13</v>
      </c>
      <c r="H329" s="31" t="s">
        <v>14</v>
      </c>
      <c r="I329" s="31" t="s">
        <v>15</v>
      </c>
      <c r="J329" s="30" t="s">
        <v>7</v>
      </c>
      <c r="K329" s="33" t="s">
        <v>385</v>
      </c>
      <c r="L329" s="34">
        <v>46107.736602245372</v>
      </c>
      <c r="M329" s="16" t="b">
        <v>1</v>
      </c>
      <c r="N329" s="8" t="s">
        <v>659</v>
      </c>
    </row>
    <row r="330" spans="1:14" ht="408.95" customHeight="1" x14ac:dyDescent="0.25">
      <c r="A330" s="35">
        <v>2</v>
      </c>
      <c r="B330" s="36" t="s">
        <v>162</v>
      </c>
      <c r="C330" s="37" t="s">
        <v>163</v>
      </c>
      <c r="D330" s="38" t="b">
        <v>1</v>
      </c>
      <c r="E330" s="36" t="s">
        <v>164</v>
      </c>
      <c r="F330" s="37" t="s">
        <v>25</v>
      </c>
      <c r="G330" s="37" t="s">
        <v>17</v>
      </c>
      <c r="H330" s="37" t="s">
        <v>18</v>
      </c>
      <c r="I330" s="37" t="s">
        <v>19</v>
      </c>
      <c r="J330" s="36" t="s">
        <v>7</v>
      </c>
      <c r="K330" s="39" t="s">
        <v>386</v>
      </c>
      <c r="L330" s="40">
        <v>46107.736673645835</v>
      </c>
      <c r="M330" s="18" t="b">
        <v>1</v>
      </c>
      <c r="N330" s="7" t="s">
        <v>659</v>
      </c>
    </row>
    <row r="331" spans="1:14" ht="408.95" customHeight="1" x14ac:dyDescent="0.25">
      <c r="A331" s="29">
        <v>2</v>
      </c>
      <c r="B331" s="30" t="s">
        <v>162</v>
      </c>
      <c r="C331" s="31" t="s">
        <v>163</v>
      </c>
      <c r="D331" s="32" t="b">
        <v>1</v>
      </c>
      <c r="E331" s="30" t="s">
        <v>164</v>
      </c>
      <c r="F331" s="31" t="s">
        <v>25</v>
      </c>
      <c r="G331" s="31" t="s">
        <v>21</v>
      </c>
      <c r="H331" s="31" t="s">
        <v>22</v>
      </c>
      <c r="I331" s="31" t="s">
        <v>23</v>
      </c>
      <c r="J331" s="30" t="s">
        <v>7</v>
      </c>
      <c r="K331" s="33" t="s">
        <v>387</v>
      </c>
      <c r="L331" s="34">
        <v>46107.736820995371</v>
      </c>
      <c r="M331" s="16" t="b">
        <v>1</v>
      </c>
      <c r="N331" s="8" t="s">
        <v>659</v>
      </c>
    </row>
    <row r="332" spans="1:14" ht="408.95" customHeight="1" x14ac:dyDescent="0.25">
      <c r="A332" s="35">
        <v>2</v>
      </c>
      <c r="B332" s="36" t="s">
        <v>175</v>
      </c>
      <c r="C332" s="37" t="s">
        <v>176</v>
      </c>
      <c r="D332" s="41" t="b">
        <v>0</v>
      </c>
      <c r="E332" s="36" t="s">
        <v>33</v>
      </c>
      <c r="F332" s="37" t="s">
        <v>3</v>
      </c>
      <c r="G332" s="37" t="s">
        <v>4</v>
      </c>
      <c r="H332" s="37" t="s">
        <v>5</v>
      </c>
      <c r="I332" s="37" t="s">
        <v>6</v>
      </c>
      <c r="J332" s="36" t="s">
        <v>7</v>
      </c>
      <c r="K332" s="39" t="s">
        <v>388</v>
      </c>
      <c r="L332" s="40">
        <v>46107.736992407408</v>
      </c>
      <c r="M332" s="19" t="b">
        <v>0</v>
      </c>
      <c r="N332" s="9" t="s">
        <v>660</v>
      </c>
    </row>
    <row r="333" spans="1:14" ht="408.95" customHeight="1" x14ac:dyDescent="0.25">
      <c r="A333" s="29">
        <v>2</v>
      </c>
      <c r="B333" s="30" t="s">
        <v>175</v>
      </c>
      <c r="C333" s="31" t="s">
        <v>176</v>
      </c>
      <c r="D333" s="42" t="b">
        <v>0</v>
      </c>
      <c r="E333" s="30" t="s">
        <v>33</v>
      </c>
      <c r="F333" s="31" t="s">
        <v>3</v>
      </c>
      <c r="G333" s="31" t="s">
        <v>9</v>
      </c>
      <c r="H333" s="31" t="s">
        <v>10</v>
      </c>
      <c r="I333" s="31" t="s">
        <v>11</v>
      </c>
      <c r="J333" s="30" t="s">
        <v>7</v>
      </c>
      <c r="K333" s="33" t="s">
        <v>389</v>
      </c>
      <c r="L333" s="34">
        <v>46107.737232627318</v>
      </c>
      <c r="M333" s="17" t="b">
        <v>0</v>
      </c>
      <c r="N333" s="10" t="s">
        <v>660</v>
      </c>
    </row>
    <row r="334" spans="1:14" ht="408.95" customHeight="1" x14ac:dyDescent="0.25">
      <c r="A334" s="35">
        <v>2</v>
      </c>
      <c r="B334" s="36" t="s">
        <v>175</v>
      </c>
      <c r="C334" s="37" t="s">
        <v>176</v>
      </c>
      <c r="D334" s="41" t="b">
        <v>0</v>
      </c>
      <c r="E334" s="36" t="s">
        <v>33</v>
      </c>
      <c r="F334" s="37" t="s">
        <v>3</v>
      </c>
      <c r="G334" s="37" t="s">
        <v>13</v>
      </c>
      <c r="H334" s="37" t="s">
        <v>14</v>
      </c>
      <c r="I334" s="37" t="s">
        <v>15</v>
      </c>
      <c r="J334" s="36" t="s">
        <v>7</v>
      </c>
      <c r="K334" s="39" t="s">
        <v>390</v>
      </c>
      <c r="L334" s="40">
        <v>46107.737582939815</v>
      </c>
      <c r="M334" s="19" t="b">
        <v>0</v>
      </c>
      <c r="N334" s="9" t="s">
        <v>660</v>
      </c>
    </row>
    <row r="335" spans="1:14" ht="408.95" customHeight="1" x14ac:dyDescent="0.25">
      <c r="A335" s="29">
        <v>2</v>
      </c>
      <c r="B335" s="30" t="s">
        <v>175</v>
      </c>
      <c r="C335" s="31" t="s">
        <v>176</v>
      </c>
      <c r="D335" s="42" t="b">
        <v>0</v>
      </c>
      <c r="E335" s="30" t="s">
        <v>33</v>
      </c>
      <c r="F335" s="31" t="s">
        <v>3</v>
      </c>
      <c r="G335" s="31" t="s">
        <v>17</v>
      </c>
      <c r="H335" s="31" t="s">
        <v>18</v>
      </c>
      <c r="I335" s="31" t="s">
        <v>19</v>
      </c>
      <c r="J335" s="30" t="s">
        <v>7</v>
      </c>
      <c r="K335" s="33" t="s">
        <v>391</v>
      </c>
      <c r="L335" s="34">
        <v>46107.73771681713</v>
      </c>
      <c r="M335" s="17" t="b">
        <v>0</v>
      </c>
      <c r="N335" s="10" t="s">
        <v>660</v>
      </c>
    </row>
    <row r="336" spans="1:14" ht="408.95" customHeight="1" x14ac:dyDescent="0.25">
      <c r="A336" s="35">
        <v>2</v>
      </c>
      <c r="B336" s="36" t="s">
        <v>175</v>
      </c>
      <c r="C336" s="37" t="s">
        <v>176</v>
      </c>
      <c r="D336" s="41" t="b">
        <v>0</v>
      </c>
      <c r="E336" s="36" t="s">
        <v>33</v>
      </c>
      <c r="F336" s="37" t="s">
        <v>3</v>
      </c>
      <c r="G336" s="37" t="s">
        <v>21</v>
      </c>
      <c r="H336" s="37" t="s">
        <v>22</v>
      </c>
      <c r="I336" s="37" t="s">
        <v>23</v>
      </c>
      <c r="J336" s="36" t="s">
        <v>7</v>
      </c>
      <c r="K336" s="39" t="s">
        <v>392</v>
      </c>
      <c r="L336" s="40">
        <v>46107.738084861114</v>
      </c>
      <c r="M336" s="19" t="b">
        <v>0</v>
      </c>
      <c r="N336" s="9" t="s">
        <v>660</v>
      </c>
    </row>
    <row r="337" spans="1:14" ht="408.95" customHeight="1" x14ac:dyDescent="0.25">
      <c r="A337" s="29">
        <v>2</v>
      </c>
      <c r="B337" s="30" t="s">
        <v>175</v>
      </c>
      <c r="C337" s="31" t="s">
        <v>176</v>
      </c>
      <c r="D337" s="42" t="b">
        <v>0</v>
      </c>
      <c r="E337" s="30" t="s">
        <v>33</v>
      </c>
      <c r="F337" s="31" t="s">
        <v>25</v>
      </c>
      <c r="G337" s="31" t="s">
        <v>4</v>
      </c>
      <c r="H337" s="31" t="s">
        <v>5</v>
      </c>
      <c r="I337" s="31" t="s">
        <v>6</v>
      </c>
      <c r="J337" s="30" t="s">
        <v>7</v>
      </c>
      <c r="K337" s="33" t="s">
        <v>393</v>
      </c>
      <c r="L337" s="34">
        <v>46107.738231840274</v>
      </c>
      <c r="M337" s="17" t="b">
        <v>0</v>
      </c>
      <c r="N337" s="10" t="s">
        <v>660</v>
      </c>
    </row>
    <row r="338" spans="1:14" ht="408.95" customHeight="1" x14ac:dyDescent="0.25">
      <c r="A338" s="35">
        <v>2</v>
      </c>
      <c r="B338" s="36" t="s">
        <v>175</v>
      </c>
      <c r="C338" s="37" t="s">
        <v>176</v>
      </c>
      <c r="D338" s="41" t="b">
        <v>0</v>
      </c>
      <c r="E338" s="36" t="s">
        <v>33</v>
      </c>
      <c r="F338" s="37" t="s">
        <v>25</v>
      </c>
      <c r="G338" s="37" t="s">
        <v>9</v>
      </c>
      <c r="H338" s="37" t="s">
        <v>10</v>
      </c>
      <c r="I338" s="37" t="s">
        <v>11</v>
      </c>
      <c r="J338" s="36" t="s">
        <v>7</v>
      </c>
      <c r="K338" s="39" t="s">
        <v>394</v>
      </c>
      <c r="L338" s="40">
        <v>46107.738333634261</v>
      </c>
      <c r="M338" s="19" t="b">
        <v>0</v>
      </c>
      <c r="N338" s="9" t="s">
        <v>660</v>
      </c>
    </row>
    <row r="339" spans="1:14" ht="408.95" customHeight="1" x14ac:dyDescent="0.25">
      <c r="A339" s="29">
        <v>2</v>
      </c>
      <c r="B339" s="30" t="s">
        <v>175</v>
      </c>
      <c r="C339" s="31" t="s">
        <v>176</v>
      </c>
      <c r="D339" s="42" t="b">
        <v>0</v>
      </c>
      <c r="E339" s="30" t="s">
        <v>33</v>
      </c>
      <c r="F339" s="31" t="s">
        <v>25</v>
      </c>
      <c r="G339" s="31" t="s">
        <v>13</v>
      </c>
      <c r="H339" s="31" t="s">
        <v>14</v>
      </c>
      <c r="I339" s="31" t="s">
        <v>15</v>
      </c>
      <c r="J339" s="30" t="s">
        <v>7</v>
      </c>
      <c r="K339" s="33" t="s">
        <v>395</v>
      </c>
      <c r="L339" s="34">
        <v>46107.738522256943</v>
      </c>
      <c r="M339" s="17" t="b">
        <v>0</v>
      </c>
      <c r="N339" s="10" t="s">
        <v>660</v>
      </c>
    </row>
    <row r="340" spans="1:14" ht="408.95" customHeight="1" x14ac:dyDescent="0.25">
      <c r="A340" s="35">
        <v>2</v>
      </c>
      <c r="B340" s="36" t="s">
        <v>175</v>
      </c>
      <c r="C340" s="37" t="s">
        <v>176</v>
      </c>
      <c r="D340" s="41" t="b">
        <v>0</v>
      </c>
      <c r="E340" s="36" t="s">
        <v>33</v>
      </c>
      <c r="F340" s="37" t="s">
        <v>25</v>
      </c>
      <c r="G340" s="37" t="s">
        <v>17</v>
      </c>
      <c r="H340" s="37" t="s">
        <v>18</v>
      </c>
      <c r="I340" s="37" t="s">
        <v>19</v>
      </c>
      <c r="J340" s="36" t="s">
        <v>7</v>
      </c>
      <c r="K340" s="39" t="s">
        <v>396</v>
      </c>
      <c r="L340" s="40">
        <v>46107.738582928243</v>
      </c>
      <c r="M340" s="19" t="b">
        <v>0</v>
      </c>
      <c r="N340" s="9" t="s">
        <v>660</v>
      </c>
    </row>
    <row r="341" spans="1:14" ht="408.95" customHeight="1" x14ac:dyDescent="0.25">
      <c r="A341" s="29">
        <v>2</v>
      </c>
      <c r="B341" s="30" t="s">
        <v>175</v>
      </c>
      <c r="C341" s="31" t="s">
        <v>176</v>
      </c>
      <c r="D341" s="42" t="b">
        <v>0</v>
      </c>
      <c r="E341" s="30" t="s">
        <v>33</v>
      </c>
      <c r="F341" s="31" t="s">
        <v>25</v>
      </c>
      <c r="G341" s="31" t="s">
        <v>21</v>
      </c>
      <c r="H341" s="31" t="s">
        <v>22</v>
      </c>
      <c r="I341" s="31" t="s">
        <v>23</v>
      </c>
      <c r="J341" s="30" t="s">
        <v>7</v>
      </c>
      <c r="K341" s="33" t="s">
        <v>397</v>
      </c>
      <c r="L341" s="34">
        <v>46107.738779039355</v>
      </c>
      <c r="M341" s="17" t="b">
        <v>0</v>
      </c>
      <c r="N341" s="10" t="s">
        <v>660</v>
      </c>
    </row>
    <row r="342" spans="1:14" ht="408.95" customHeight="1" x14ac:dyDescent="0.25">
      <c r="A342" s="35">
        <v>2</v>
      </c>
      <c r="B342" s="36" t="s">
        <v>187</v>
      </c>
      <c r="C342" s="37" t="s">
        <v>188</v>
      </c>
      <c r="D342" s="38" t="b">
        <v>1</v>
      </c>
      <c r="E342" s="36" t="s">
        <v>164</v>
      </c>
      <c r="F342" s="37" t="s">
        <v>3</v>
      </c>
      <c r="G342" s="37" t="s">
        <v>4</v>
      </c>
      <c r="H342" s="37" t="s">
        <v>5</v>
      </c>
      <c r="I342" s="37" t="s">
        <v>6</v>
      </c>
      <c r="J342" s="36" t="s">
        <v>7</v>
      </c>
      <c r="K342" s="39" t="s">
        <v>398</v>
      </c>
      <c r="L342" s="40">
        <v>46107.738951932872</v>
      </c>
      <c r="M342" s="18" t="b">
        <v>1</v>
      </c>
      <c r="N342" s="7" t="s">
        <v>659</v>
      </c>
    </row>
    <row r="343" spans="1:14" ht="408.95" customHeight="1" x14ac:dyDescent="0.25">
      <c r="A343" s="29">
        <v>2</v>
      </c>
      <c r="B343" s="30" t="s">
        <v>187</v>
      </c>
      <c r="C343" s="31" t="s">
        <v>188</v>
      </c>
      <c r="D343" s="32" t="b">
        <v>1</v>
      </c>
      <c r="E343" s="30" t="s">
        <v>164</v>
      </c>
      <c r="F343" s="31" t="s">
        <v>3</v>
      </c>
      <c r="G343" s="31" t="s">
        <v>9</v>
      </c>
      <c r="H343" s="31" t="s">
        <v>10</v>
      </c>
      <c r="I343" s="31" t="s">
        <v>11</v>
      </c>
      <c r="J343" s="30" t="s">
        <v>7</v>
      </c>
      <c r="K343" s="33" t="s">
        <v>399</v>
      </c>
      <c r="L343" s="34">
        <v>46107.739174386574</v>
      </c>
      <c r="M343" s="17" t="b">
        <v>0</v>
      </c>
      <c r="N343" s="6" t="s">
        <v>658</v>
      </c>
    </row>
    <row r="344" spans="1:14" ht="408.95" customHeight="1" x14ac:dyDescent="0.25">
      <c r="A344" s="35">
        <v>2</v>
      </c>
      <c r="B344" s="36" t="s">
        <v>187</v>
      </c>
      <c r="C344" s="37" t="s">
        <v>188</v>
      </c>
      <c r="D344" s="38" t="b">
        <v>1</v>
      </c>
      <c r="E344" s="36" t="s">
        <v>164</v>
      </c>
      <c r="F344" s="37" t="s">
        <v>3</v>
      </c>
      <c r="G344" s="37" t="s">
        <v>13</v>
      </c>
      <c r="H344" s="37" t="s">
        <v>14</v>
      </c>
      <c r="I344" s="37" t="s">
        <v>15</v>
      </c>
      <c r="J344" s="36" t="s">
        <v>7</v>
      </c>
      <c r="K344" s="39" t="s">
        <v>400</v>
      </c>
      <c r="L344" s="40">
        <v>46107.739491435183</v>
      </c>
      <c r="M344" s="18" t="b">
        <v>1</v>
      </c>
      <c r="N344" s="7" t="s">
        <v>659</v>
      </c>
    </row>
    <row r="345" spans="1:14" ht="408.95" customHeight="1" x14ac:dyDescent="0.25">
      <c r="A345" s="29">
        <v>2</v>
      </c>
      <c r="B345" s="30" t="s">
        <v>187</v>
      </c>
      <c r="C345" s="31" t="s">
        <v>188</v>
      </c>
      <c r="D345" s="32" t="b">
        <v>1</v>
      </c>
      <c r="E345" s="30" t="s">
        <v>164</v>
      </c>
      <c r="F345" s="31" t="s">
        <v>3</v>
      </c>
      <c r="G345" s="31" t="s">
        <v>17</v>
      </c>
      <c r="H345" s="31" t="s">
        <v>18</v>
      </c>
      <c r="I345" s="31" t="s">
        <v>19</v>
      </c>
      <c r="J345" s="30" t="s">
        <v>7</v>
      </c>
      <c r="K345" s="33" t="s">
        <v>401</v>
      </c>
      <c r="L345" s="34">
        <v>46107.739589930556</v>
      </c>
      <c r="M345" s="16" t="b">
        <v>1</v>
      </c>
      <c r="N345" s="8" t="s">
        <v>659</v>
      </c>
    </row>
    <row r="346" spans="1:14" ht="408.95" customHeight="1" x14ac:dyDescent="0.25">
      <c r="A346" s="35">
        <v>2</v>
      </c>
      <c r="B346" s="36" t="s">
        <v>187</v>
      </c>
      <c r="C346" s="37" t="s">
        <v>188</v>
      </c>
      <c r="D346" s="38" t="b">
        <v>1</v>
      </c>
      <c r="E346" s="36" t="s">
        <v>164</v>
      </c>
      <c r="F346" s="37" t="s">
        <v>3</v>
      </c>
      <c r="G346" s="37" t="s">
        <v>21</v>
      </c>
      <c r="H346" s="37" t="s">
        <v>22</v>
      </c>
      <c r="I346" s="37" t="s">
        <v>23</v>
      </c>
      <c r="J346" s="36" t="s">
        <v>7</v>
      </c>
      <c r="K346" s="39" t="s">
        <v>402</v>
      </c>
      <c r="L346" s="40">
        <v>46107.739800347219</v>
      </c>
      <c r="M346" s="18" t="b">
        <v>1</v>
      </c>
      <c r="N346" s="7" t="s">
        <v>659</v>
      </c>
    </row>
    <row r="347" spans="1:14" ht="408.95" customHeight="1" x14ac:dyDescent="0.25">
      <c r="A347" s="29">
        <v>2</v>
      </c>
      <c r="B347" s="30" t="s">
        <v>187</v>
      </c>
      <c r="C347" s="31" t="s">
        <v>188</v>
      </c>
      <c r="D347" s="32" t="b">
        <v>1</v>
      </c>
      <c r="E347" s="30" t="s">
        <v>164</v>
      </c>
      <c r="F347" s="31" t="s">
        <v>25</v>
      </c>
      <c r="G347" s="31" t="s">
        <v>4</v>
      </c>
      <c r="H347" s="31" t="s">
        <v>5</v>
      </c>
      <c r="I347" s="31" t="s">
        <v>6</v>
      </c>
      <c r="J347" s="30" t="s">
        <v>7</v>
      </c>
      <c r="K347" s="33" t="s">
        <v>403</v>
      </c>
      <c r="L347" s="34">
        <v>46107.73992172454</v>
      </c>
      <c r="M347" s="17" t="b">
        <v>0</v>
      </c>
      <c r="N347" s="6" t="s">
        <v>658</v>
      </c>
    </row>
    <row r="348" spans="1:14" ht="408.95" customHeight="1" x14ac:dyDescent="0.25">
      <c r="A348" s="35">
        <v>2</v>
      </c>
      <c r="B348" s="36" t="s">
        <v>187</v>
      </c>
      <c r="C348" s="37" t="s">
        <v>188</v>
      </c>
      <c r="D348" s="38" t="b">
        <v>1</v>
      </c>
      <c r="E348" s="36" t="s">
        <v>164</v>
      </c>
      <c r="F348" s="37" t="s">
        <v>25</v>
      </c>
      <c r="G348" s="37" t="s">
        <v>9</v>
      </c>
      <c r="H348" s="37" t="s">
        <v>10</v>
      </c>
      <c r="I348" s="37" t="s">
        <v>11</v>
      </c>
      <c r="J348" s="36" t="s">
        <v>7</v>
      </c>
      <c r="K348" s="39" t="s">
        <v>404</v>
      </c>
      <c r="L348" s="40">
        <v>46107.740052673609</v>
      </c>
      <c r="M348" s="18" t="b">
        <v>1</v>
      </c>
      <c r="N348" s="7" t="s">
        <v>659</v>
      </c>
    </row>
    <row r="349" spans="1:14" ht="408.95" customHeight="1" x14ac:dyDescent="0.25">
      <c r="A349" s="29">
        <v>2</v>
      </c>
      <c r="B349" s="30" t="s">
        <v>187</v>
      </c>
      <c r="C349" s="31" t="s">
        <v>188</v>
      </c>
      <c r="D349" s="32" t="b">
        <v>1</v>
      </c>
      <c r="E349" s="30" t="s">
        <v>164</v>
      </c>
      <c r="F349" s="31" t="s">
        <v>25</v>
      </c>
      <c r="G349" s="31" t="s">
        <v>13</v>
      </c>
      <c r="H349" s="31" t="s">
        <v>14</v>
      </c>
      <c r="I349" s="31" t="s">
        <v>15</v>
      </c>
      <c r="J349" s="30" t="s">
        <v>7</v>
      </c>
      <c r="K349" s="33" t="s">
        <v>405</v>
      </c>
      <c r="L349" s="34">
        <v>46107.740279189813</v>
      </c>
      <c r="M349" s="16" t="b">
        <v>1</v>
      </c>
      <c r="N349" s="8" t="s">
        <v>659</v>
      </c>
    </row>
    <row r="350" spans="1:14" ht="408.95" customHeight="1" x14ac:dyDescent="0.25">
      <c r="A350" s="35">
        <v>2</v>
      </c>
      <c r="B350" s="36" t="s">
        <v>187</v>
      </c>
      <c r="C350" s="37" t="s">
        <v>188</v>
      </c>
      <c r="D350" s="38" t="b">
        <v>1</v>
      </c>
      <c r="E350" s="36" t="s">
        <v>164</v>
      </c>
      <c r="F350" s="37" t="s">
        <v>25</v>
      </c>
      <c r="G350" s="37" t="s">
        <v>17</v>
      </c>
      <c r="H350" s="37" t="s">
        <v>18</v>
      </c>
      <c r="I350" s="37" t="s">
        <v>19</v>
      </c>
      <c r="J350" s="36" t="s">
        <v>7</v>
      </c>
      <c r="K350" s="39" t="s">
        <v>406</v>
      </c>
      <c r="L350" s="40">
        <v>46107.74036329861</v>
      </c>
      <c r="M350" s="18" t="b">
        <v>1</v>
      </c>
      <c r="N350" s="7" t="s">
        <v>659</v>
      </c>
    </row>
    <row r="351" spans="1:14" ht="408.95" customHeight="1" x14ac:dyDescent="0.25">
      <c r="A351" s="29">
        <v>2</v>
      </c>
      <c r="B351" s="30" t="s">
        <v>187</v>
      </c>
      <c r="C351" s="31" t="s">
        <v>188</v>
      </c>
      <c r="D351" s="32" t="b">
        <v>1</v>
      </c>
      <c r="E351" s="30" t="s">
        <v>164</v>
      </c>
      <c r="F351" s="31" t="s">
        <v>25</v>
      </c>
      <c r="G351" s="31" t="s">
        <v>21</v>
      </c>
      <c r="H351" s="31" t="s">
        <v>22</v>
      </c>
      <c r="I351" s="31" t="s">
        <v>23</v>
      </c>
      <c r="J351" s="30" t="s">
        <v>7</v>
      </c>
      <c r="K351" s="33" t="s">
        <v>407</v>
      </c>
      <c r="L351" s="34">
        <v>46107.740576168981</v>
      </c>
      <c r="M351" s="16" t="b">
        <v>1</v>
      </c>
      <c r="N351" s="8" t="s">
        <v>659</v>
      </c>
    </row>
    <row r="352" spans="1:14" ht="408.95" customHeight="1" x14ac:dyDescent="0.25">
      <c r="A352" s="35">
        <v>2</v>
      </c>
      <c r="B352" s="36" t="s">
        <v>199</v>
      </c>
      <c r="C352" s="37" t="s">
        <v>200</v>
      </c>
      <c r="D352" s="41" t="b">
        <v>0</v>
      </c>
      <c r="E352" s="36" t="s">
        <v>33</v>
      </c>
      <c r="F352" s="37" t="s">
        <v>3</v>
      </c>
      <c r="G352" s="37" t="s">
        <v>4</v>
      </c>
      <c r="H352" s="37" t="s">
        <v>5</v>
      </c>
      <c r="I352" s="37" t="s">
        <v>6</v>
      </c>
      <c r="J352" s="36" t="s">
        <v>7</v>
      </c>
      <c r="K352" s="39" t="s">
        <v>408</v>
      </c>
      <c r="L352" s="40">
        <v>46107.74072037037</v>
      </c>
      <c r="M352" s="19" t="b">
        <v>0</v>
      </c>
      <c r="N352" s="9" t="s">
        <v>660</v>
      </c>
    </row>
    <row r="353" spans="1:14" ht="408.95" customHeight="1" x14ac:dyDescent="0.25">
      <c r="A353" s="29">
        <v>2</v>
      </c>
      <c r="B353" s="30" t="s">
        <v>199</v>
      </c>
      <c r="C353" s="31" t="s">
        <v>200</v>
      </c>
      <c r="D353" s="42" t="b">
        <v>0</v>
      </c>
      <c r="E353" s="30" t="s">
        <v>33</v>
      </c>
      <c r="F353" s="31" t="s">
        <v>3</v>
      </c>
      <c r="G353" s="31" t="s">
        <v>9</v>
      </c>
      <c r="H353" s="31" t="s">
        <v>10</v>
      </c>
      <c r="I353" s="31" t="s">
        <v>11</v>
      </c>
      <c r="J353" s="30" t="s">
        <v>7</v>
      </c>
      <c r="K353" s="33" t="s">
        <v>409</v>
      </c>
      <c r="L353" s="34">
        <v>46107.740925208331</v>
      </c>
      <c r="M353" s="17" t="b">
        <v>0</v>
      </c>
      <c r="N353" s="10" t="s">
        <v>660</v>
      </c>
    </row>
    <row r="354" spans="1:14" ht="408.95" customHeight="1" x14ac:dyDescent="0.25">
      <c r="A354" s="35">
        <v>2</v>
      </c>
      <c r="B354" s="36" t="s">
        <v>199</v>
      </c>
      <c r="C354" s="37" t="s">
        <v>200</v>
      </c>
      <c r="D354" s="41" t="b">
        <v>0</v>
      </c>
      <c r="E354" s="36" t="s">
        <v>33</v>
      </c>
      <c r="F354" s="37" t="s">
        <v>3</v>
      </c>
      <c r="G354" s="37" t="s">
        <v>13</v>
      </c>
      <c r="H354" s="37" t="s">
        <v>14</v>
      </c>
      <c r="I354" s="37" t="s">
        <v>15</v>
      </c>
      <c r="J354" s="36" t="s">
        <v>7</v>
      </c>
      <c r="K354" s="39" t="s">
        <v>410</v>
      </c>
      <c r="L354" s="40">
        <v>46107.74123871528</v>
      </c>
      <c r="M354" s="19" t="b">
        <v>0</v>
      </c>
      <c r="N354" s="9" t="s">
        <v>660</v>
      </c>
    </row>
    <row r="355" spans="1:14" ht="408.95" customHeight="1" x14ac:dyDescent="0.25">
      <c r="A355" s="29">
        <v>2</v>
      </c>
      <c r="B355" s="30" t="s">
        <v>199</v>
      </c>
      <c r="C355" s="31" t="s">
        <v>200</v>
      </c>
      <c r="D355" s="42" t="b">
        <v>0</v>
      </c>
      <c r="E355" s="30" t="s">
        <v>33</v>
      </c>
      <c r="F355" s="31" t="s">
        <v>3</v>
      </c>
      <c r="G355" s="31" t="s">
        <v>17</v>
      </c>
      <c r="H355" s="31" t="s">
        <v>18</v>
      </c>
      <c r="I355" s="31" t="s">
        <v>19</v>
      </c>
      <c r="J355" s="30" t="s">
        <v>7</v>
      </c>
      <c r="K355" s="33" t="s">
        <v>411</v>
      </c>
      <c r="L355" s="34">
        <v>46107.741376921294</v>
      </c>
      <c r="M355" s="17" t="b">
        <v>0</v>
      </c>
      <c r="N355" s="10" t="s">
        <v>660</v>
      </c>
    </row>
    <row r="356" spans="1:14" ht="408.95" customHeight="1" x14ac:dyDescent="0.25">
      <c r="A356" s="35">
        <v>2</v>
      </c>
      <c r="B356" s="36" t="s">
        <v>199</v>
      </c>
      <c r="C356" s="37" t="s">
        <v>200</v>
      </c>
      <c r="D356" s="41" t="b">
        <v>0</v>
      </c>
      <c r="E356" s="36" t="s">
        <v>33</v>
      </c>
      <c r="F356" s="37" t="s">
        <v>3</v>
      </c>
      <c r="G356" s="37" t="s">
        <v>21</v>
      </c>
      <c r="H356" s="37" t="s">
        <v>22</v>
      </c>
      <c r="I356" s="37" t="s">
        <v>23</v>
      </c>
      <c r="J356" s="36" t="s">
        <v>7</v>
      </c>
      <c r="K356" s="39" t="s">
        <v>412</v>
      </c>
      <c r="L356" s="40">
        <v>46107.741603923612</v>
      </c>
      <c r="M356" s="19" t="b">
        <v>0</v>
      </c>
      <c r="N356" s="9" t="s">
        <v>660</v>
      </c>
    </row>
    <row r="357" spans="1:14" ht="408.95" customHeight="1" x14ac:dyDescent="0.25">
      <c r="A357" s="29">
        <v>2</v>
      </c>
      <c r="B357" s="30" t="s">
        <v>199</v>
      </c>
      <c r="C357" s="31" t="s">
        <v>200</v>
      </c>
      <c r="D357" s="42" t="b">
        <v>0</v>
      </c>
      <c r="E357" s="30" t="s">
        <v>33</v>
      </c>
      <c r="F357" s="31" t="s">
        <v>25</v>
      </c>
      <c r="G357" s="31" t="s">
        <v>4</v>
      </c>
      <c r="H357" s="31" t="s">
        <v>5</v>
      </c>
      <c r="I357" s="31" t="s">
        <v>6</v>
      </c>
      <c r="J357" s="30" t="s">
        <v>7</v>
      </c>
      <c r="K357" s="33" t="s">
        <v>413</v>
      </c>
      <c r="L357" s="34">
        <v>46107.741745162035</v>
      </c>
      <c r="M357" s="17" t="b">
        <v>0</v>
      </c>
      <c r="N357" s="10" t="s">
        <v>660</v>
      </c>
    </row>
    <row r="358" spans="1:14" ht="408.95" customHeight="1" x14ac:dyDescent="0.25">
      <c r="A358" s="35">
        <v>2</v>
      </c>
      <c r="B358" s="36" t="s">
        <v>199</v>
      </c>
      <c r="C358" s="37" t="s">
        <v>200</v>
      </c>
      <c r="D358" s="41" t="b">
        <v>0</v>
      </c>
      <c r="E358" s="36" t="s">
        <v>33</v>
      </c>
      <c r="F358" s="37" t="s">
        <v>25</v>
      </c>
      <c r="G358" s="37" t="s">
        <v>9</v>
      </c>
      <c r="H358" s="37" t="s">
        <v>10</v>
      </c>
      <c r="I358" s="37" t="s">
        <v>11</v>
      </c>
      <c r="J358" s="36" t="s">
        <v>7</v>
      </c>
      <c r="K358" s="39" t="s">
        <v>414</v>
      </c>
      <c r="L358" s="40">
        <v>46107.741880972222</v>
      </c>
      <c r="M358" s="19" t="b">
        <v>0</v>
      </c>
      <c r="N358" s="9" t="s">
        <v>660</v>
      </c>
    </row>
    <row r="359" spans="1:14" ht="408.95" customHeight="1" x14ac:dyDescent="0.25">
      <c r="A359" s="29">
        <v>2</v>
      </c>
      <c r="B359" s="30" t="s">
        <v>199</v>
      </c>
      <c r="C359" s="31" t="s">
        <v>200</v>
      </c>
      <c r="D359" s="42" t="b">
        <v>0</v>
      </c>
      <c r="E359" s="30" t="s">
        <v>33</v>
      </c>
      <c r="F359" s="31" t="s">
        <v>25</v>
      </c>
      <c r="G359" s="31" t="s">
        <v>13</v>
      </c>
      <c r="H359" s="31" t="s">
        <v>14</v>
      </c>
      <c r="I359" s="31" t="s">
        <v>15</v>
      </c>
      <c r="J359" s="30" t="s">
        <v>7</v>
      </c>
      <c r="K359" s="33" t="s">
        <v>415</v>
      </c>
      <c r="L359" s="34">
        <v>46107.742161562499</v>
      </c>
      <c r="M359" s="16" t="b">
        <v>0</v>
      </c>
      <c r="N359" s="12" t="s">
        <v>660</v>
      </c>
    </row>
    <row r="360" spans="1:14" ht="408.95" customHeight="1" x14ac:dyDescent="0.25">
      <c r="A360" s="35">
        <v>2</v>
      </c>
      <c r="B360" s="36" t="s">
        <v>199</v>
      </c>
      <c r="C360" s="37" t="s">
        <v>200</v>
      </c>
      <c r="D360" s="41" t="b">
        <v>0</v>
      </c>
      <c r="E360" s="36" t="s">
        <v>33</v>
      </c>
      <c r="F360" s="37" t="s">
        <v>25</v>
      </c>
      <c r="G360" s="37" t="s">
        <v>17</v>
      </c>
      <c r="H360" s="37" t="s">
        <v>18</v>
      </c>
      <c r="I360" s="37" t="s">
        <v>19</v>
      </c>
      <c r="J360" s="36" t="s">
        <v>7</v>
      </c>
      <c r="K360" s="39" t="s">
        <v>416</v>
      </c>
      <c r="L360" s="40">
        <v>46107.742232627315</v>
      </c>
      <c r="M360" s="18" t="b">
        <v>1</v>
      </c>
      <c r="N360" s="13" t="s">
        <v>661</v>
      </c>
    </row>
    <row r="361" spans="1:14" ht="408.95" customHeight="1" x14ac:dyDescent="0.25">
      <c r="A361" s="29">
        <v>2</v>
      </c>
      <c r="B361" s="30" t="s">
        <v>199</v>
      </c>
      <c r="C361" s="31" t="s">
        <v>200</v>
      </c>
      <c r="D361" s="42" t="b">
        <v>0</v>
      </c>
      <c r="E361" s="30" t="s">
        <v>33</v>
      </c>
      <c r="F361" s="31" t="s">
        <v>25</v>
      </c>
      <c r="G361" s="31" t="s">
        <v>21</v>
      </c>
      <c r="H361" s="31" t="s">
        <v>22</v>
      </c>
      <c r="I361" s="31" t="s">
        <v>23</v>
      </c>
      <c r="J361" s="30" t="s">
        <v>7</v>
      </c>
      <c r="K361" s="33" t="s">
        <v>417</v>
      </c>
      <c r="L361" s="34">
        <v>46107.742359884258</v>
      </c>
      <c r="M361" s="17" t="b">
        <v>0</v>
      </c>
      <c r="N361" s="10" t="s">
        <v>660</v>
      </c>
    </row>
    <row r="362" spans="1:14" ht="408.95" customHeight="1" x14ac:dyDescent="0.25">
      <c r="A362" s="35">
        <v>2</v>
      </c>
      <c r="B362" s="36" t="s">
        <v>211</v>
      </c>
      <c r="C362" s="37" t="s">
        <v>212</v>
      </c>
      <c r="D362" s="38" t="b">
        <v>1</v>
      </c>
      <c r="E362" s="36" t="s">
        <v>213</v>
      </c>
      <c r="F362" s="37" t="s">
        <v>3</v>
      </c>
      <c r="G362" s="37" t="s">
        <v>4</v>
      </c>
      <c r="H362" s="37" t="s">
        <v>5</v>
      </c>
      <c r="I362" s="37" t="s">
        <v>6</v>
      </c>
      <c r="J362" s="36" t="s">
        <v>7</v>
      </c>
      <c r="K362" s="39" t="s">
        <v>418</v>
      </c>
      <c r="L362" s="40">
        <v>46107.742545937501</v>
      </c>
      <c r="M362" s="19" t="b">
        <v>0</v>
      </c>
      <c r="N362" s="11" t="s">
        <v>658</v>
      </c>
    </row>
    <row r="363" spans="1:14" ht="408.95" customHeight="1" x14ac:dyDescent="0.25">
      <c r="A363" s="29">
        <v>2</v>
      </c>
      <c r="B363" s="30" t="s">
        <v>211</v>
      </c>
      <c r="C363" s="31" t="s">
        <v>212</v>
      </c>
      <c r="D363" s="32" t="b">
        <v>1</v>
      </c>
      <c r="E363" s="30" t="s">
        <v>213</v>
      </c>
      <c r="F363" s="31" t="s">
        <v>3</v>
      </c>
      <c r="G363" s="31" t="s">
        <v>9</v>
      </c>
      <c r="H363" s="31" t="s">
        <v>10</v>
      </c>
      <c r="I363" s="31" t="s">
        <v>11</v>
      </c>
      <c r="J363" s="30" t="s">
        <v>7</v>
      </c>
      <c r="K363" s="33" t="s">
        <v>419</v>
      </c>
      <c r="L363" s="34">
        <v>46107.742736377317</v>
      </c>
      <c r="M363" s="17" t="b">
        <v>0</v>
      </c>
      <c r="N363" s="6" t="s">
        <v>658</v>
      </c>
    </row>
    <row r="364" spans="1:14" ht="408.95" customHeight="1" x14ac:dyDescent="0.25">
      <c r="A364" s="35">
        <v>2</v>
      </c>
      <c r="B364" s="36" t="s">
        <v>211</v>
      </c>
      <c r="C364" s="37" t="s">
        <v>212</v>
      </c>
      <c r="D364" s="38" t="b">
        <v>1</v>
      </c>
      <c r="E364" s="36" t="s">
        <v>213</v>
      </c>
      <c r="F364" s="37" t="s">
        <v>3</v>
      </c>
      <c r="G364" s="37" t="s">
        <v>13</v>
      </c>
      <c r="H364" s="37" t="s">
        <v>14</v>
      </c>
      <c r="I364" s="37" t="s">
        <v>15</v>
      </c>
      <c r="J364" s="36" t="s">
        <v>7</v>
      </c>
      <c r="K364" s="39" t="s">
        <v>420</v>
      </c>
      <c r="L364" s="40">
        <v>46107.743057847219</v>
      </c>
      <c r="M364" s="18" t="b">
        <v>1</v>
      </c>
      <c r="N364" s="7" t="s">
        <v>659</v>
      </c>
    </row>
    <row r="365" spans="1:14" ht="408.95" customHeight="1" x14ac:dyDescent="0.25">
      <c r="A365" s="29">
        <v>2</v>
      </c>
      <c r="B365" s="30" t="s">
        <v>211</v>
      </c>
      <c r="C365" s="31" t="s">
        <v>212</v>
      </c>
      <c r="D365" s="32" t="b">
        <v>1</v>
      </c>
      <c r="E365" s="30" t="s">
        <v>213</v>
      </c>
      <c r="F365" s="31" t="s">
        <v>3</v>
      </c>
      <c r="G365" s="31" t="s">
        <v>17</v>
      </c>
      <c r="H365" s="31" t="s">
        <v>18</v>
      </c>
      <c r="I365" s="31" t="s">
        <v>19</v>
      </c>
      <c r="J365" s="30" t="s">
        <v>7</v>
      </c>
      <c r="K365" s="33" t="s">
        <v>421</v>
      </c>
      <c r="L365" s="34">
        <v>46107.743160416663</v>
      </c>
      <c r="M365" s="17" t="b">
        <v>0</v>
      </c>
      <c r="N365" s="6" t="s">
        <v>658</v>
      </c>
    </row>
    <row r="366" spans="1:14" ht="408.95" customHeight="1" x14ac:dyDescent="0.25">
      <c r="A366" s="35">
        <v>2</v>
      </c>
      <c r="B366" s="36" t="s">
        <v>211</v>
      </c>
      <c r="C366" s="37" t="s">
        <v>212</v>
      </c>
      <c r="D366" s="38" t="b">
        <v>1</v>
      </c>
      <c r="E366" s="36" t="s">
        <v>213</v>
      </c>
      <c r="F366" s="37" t="s">
        <v>3</v>
      </c>
      <c r="G366" s="37" t="s">
        <v>21</v>
      </c>
      <c r="H366" s="37" t="s">
        <v>22</v>
      </c>
      <c r="I366" s="37" t="s">
        <v>23</v>
      </c>
      <c r="J366" s="36" t="s">
        <v>7</v>
      </c>
      <c r="K366" s="39" t="s">
        <v>422</v>
      </c>
      <c r="L366" s="40">
        <v>46107.743431041665</v>
      </c>
      <c r="M366" s="19" t="b">
        <v>0</v>
      </c>
      <c r="N366" s="11" t="s">
        <v>658</v>
      </c>
    </row>
    <row r="367" spans="1:14" ht="408.95" customHeight="1" x14ac:dyDescent="0.25">
      <c r="A367" s="29">
        <v>2</v>
      </c>
      <c r="B367" s="30" t="s">
        <v>211</v>
      </c>
      <c r="C367" s="31" t="s">
        <v>212</v>
      </c>
      <c r="D367" s="32" t="b">
        <v>1</v>
      </c>
      <c r="E367" s="30" t="s">
        <v>213</v>
      </c>
      <c r="F367" s="31" t="s">
        <v>25</v>
      </c>
      <c r="G367" s="31" t="s">
        <v>4</v>
      </c>
      <c r="H367" s="31" t="s">
        <v>5</v>
      </c>
      <c r="I367" s="31" t="s">
        <v>6</v>
      </c>
      <c r="J367" s="30" t="s">
        <v>7</v>
      </c>
      <c r="K367" s="33" t="s">
        <v>423</v>
      </c>
      <c r="L367" s="34">
        <v>46107.743574814813</v>
      </c>
      <c r="M367" s="16" t="b">
        <v>1</v>
      </c>
      <c r="N367" s="8" t="s">
        <v>659</v>
      </c>
    </row>
    <row r="368" spans="1:14" ht="408.95" customHeight="1" x14ac:dyDescent="0.25">
      <c r="A368" s="35">
        <v>2</v>
      </c>
      <c r="B368" s="36" t="s">
        <v>211</v>
      </c>
      <c r="C368" s="37" t="s">
        <v>212</v>
      </c>
      <c r="D368" s="38" t="b">
        <v>1</v>
      </c>
      <c r="E368" s="36" t="s">
        <v>213</v>
      </c>
      <c r="F368" s="37" t="s">
        <v>25</v>
      </c>
      <c r="G368" s="37" t="s">
        <v>9</v>
      </c>
      <c r="H368" s="37" t="s">
        <v>10</v>
      </c>
      <c r="I368" s="37" t="s">
        <v>11</v>
      </c>
      <c r="J368" s="36" t="s">
        <v>7</v>
      </c>
      <c r="K368" s="39" t="s">
        <v>424</v>
      </c>
      <c r="L368" s="40">
        <v>46107.743695694444</v>
      </c>
      <c r="M368" s="18" t="b">
        <v>1</v>
      </c>
      <c r="N368" s="7" t="s">
        <v>659</v>
      </c>
    </row>
    <row r="369" spans="1:14" ht="408.95" customHeight="1" x14ac:dyDescent="0.25">
      <c r="A369" s="29">
        <v>2</v>
      </c>
      <c r="B369" s="30" t="s">
        <v>211</v>
      </c>
      <c r="C369" s="31" t="s">
        <v>212</v>
      </c>
      <c r="D369" s="32" t="b">
        <v>1</v>
      </c>
      <c r="E369" s="30" t="s">
        <v>213</v>
      </c>
      <c r="F369" s="31" t="s">
        <v>25</v>
      </c>
      <c r="G369" s="31" t="s">
        <v>13</v>
      </c>
      <c r="H369" s="31" t="s">
        <v>14</v>
      </c>
      <c r="I369" s="31" t="s">
        <v>15</v>
      </c>
      <c r="J369" s="30" t="s">
        <v>7</v>
      </c>
      <c r="K369" s="33" t="s">
        <v>425</v>
      </c>
      <c r="L369" s="34">
        <v>46107.74390267361</v>
      </c>
      <c r="M369" s="16" t="b">
        <v>1</v>
      </c>
      <c r="N369" s="8" t="s">
        <v>659</v>
      </c>
    </row>
    <row r="370" spans="1:14" ht="408.95" customHeight="1" x14ac:dyDescent="0.25">
      <c r="A370" s="35">
        <v>2</v>
      </c>
      <c r="B370" s="36" t="s">
        <v>211</v>
      </c>
      <c r="C370" s="37" t="s">
        <v>212</v>
      </c>
      <c r="D370" s="38" t="b">
        <v>1</v>
      </c>
      <c r="E370" s="36" t="s">
        <v>213</v>
      </c>
      <c r="F370" s="37" t="s">
        <v>25</v>
      </c>
      <c r="G370" s="37" t="s">
        <v>17</v>
      </c>
      <c r="H370" s="37" t="s">
        <v>18</v>
      </c>
      <c r="I370" s="37" t="s">
        <v>19</v>
      </c>
      <c r="J370" s="36" t="s">
        <v>7</v>
      </c>
      <c r="K370" s="39" t="s">
        <v>426</v>
      </c>
      <c r="L370" s="40">
        <v>46107.743964953705</v>
      </c>
      <c r="M370" s="18" t="b">
        <v>1</v>
      </c>
      <c r="N370" s="7" t="s">
        <v>659</v>
      </c>
    </row>
    <row r="371" spans="1:14" ht="408.95" customHeight="1" x14ac:dyDescent="0.25">
      <c r="A371" s="29">
        <v>2</v>
      </c>
      <c r="B371" s="30" t="s">
        <v>211</v>
      </c>
      <c r="C371" s="31" t="s">
        <v>212</v>
      </c>
      <c r="D371" s="32" t="b">
        <v>1</v>
      </c>
      <c r="E371" s="30" t="s">
        <v>213</v>
      </c>
      <c r="F371" s="31" t="s">
        <v>25</v>
      </c>
      <c r="G371" s="31" t="s">
        <v>21</v>
      </c>
      <c r="H371" s="31" t="s">
        <v>22</v>
      </c>
      <c r="I371" s="31" t="s">
        <v>23</v>
      </c>
      <c r="J371" s="30" t="s">
        <v>7</v>
      </c>
      <c r="K371" s="33" t="s">
        <v>427</v>
      </c>
      <c r="L371" s="34">
        <v>46107.744101446762</v>
      </c>
      <c r="M371" s="16" t="b">
        <v>1</v>
      </c>
      <c r="N371" s="8" t="s">
        <v>659</v>
      </c>
    </row>
    <row r="372" spans="1:14" ht="408.95" customHeight="1" x14ac:dyDescent="0.25">
      <c r="A372" s="35">
        <v>2</v>
      </c>
      <c r="B372" s="36" t="s">
        <v>224</v>
      </c>
      <c r="C372" s="37" t="s">
        <v>225</v>
      </c>
      <c r="D372" s="41" t="b">
        <v>0</v>
      </c>
      <c r="E372" s="36" t="s">
        <v>33</v>
      </c>
      <c r="F372" s="37" t="s">
        <v>3</v>
      </c>
      <c r="G372" s="37" t="s">
        <v>4</v>
      </c>
      <c r="H372" s="37" t="s">
        <v>5</v>
      </c>
      <c r="I372" s="37" t="s">
        <v>6</v>
      </c>
      <c r="J372" s="36" t="s">
        <v>7</v>
      </c>
      <c r="K372" s="39" t="s">
        <v>428</v>
      </c>
      <c r="L372" s="40">
        <v>46107.74424255787</v>
      </c>
      <c r="M372" s="19" t="b">
        <v>0</v>
      </c>
      <c r="N372" s="9" t="s">
        <v>660</v>
      </c>
    </row>
    <row r="373" spans="1:14" ht="408.95" customHeight="1" x14ac:dyDescent="0.25">
      <c r="A373" s="29">
        <v>2</v>
      </c>
      <c r="B373" s="30" t="s">
        <v>224</v>
      </c>
      <c r="C373" s="31" t="s">
        <v>225</v>
      </c>
      <c r="D373" s="42" t="b">
        <v>0</v>
      </c>
      <c r="E373" s="30" t="s">
        <v>33</v>
      </c>
      <c r="F373" s="31" t="s">
        <v>3</v>
      </c>
      <c r="G373" s="31" t="s">
        <v>9</v>
      </c>
      <c r="H373" s="31" t="s">
        <v>10</v>
      </c>
      <c r="I373" s="31" t="s">
        <v>11</v>
      </c>
      <c r="J373" s="30" t="s">
        <v>7</v>
      </c>
      <c r="K373" s="33" t="s">
        <v>429</v>
      </c>
      <c r="L373" s="34">
        <v>46107.744467800927</v>
      </c>
      <c r="M373" s="17" t="b">
        <v>0</v>
      </c>
      <c r="N373" s="10" t="s">
        <v>660</v>
      </c>
    </row>
    <row r="374" spans="1:14" ht="408.95" customHeight="1" x14ac:dyDescent="0.25">
      <c r="A374" s="35">
        <v>2</v>
      </c>
      <c r="B374" s="36" t="s">
        <v>224</v>
      </c>
      <c r="C374" s="37" t="s">
        <v>225</v>
      </c>
      <c r="D374" s="41" t="b">
        <v>0</v>
      </c>
      <c r="E374" s="36" t="s">
        <v>33</v>
      </c>
      <c r="F374" s="37" t="s">
        <v>3</v>
      </c>
      <c r="G374" s="37" t="s">
        <v>13</v>
      </c>
      <c r="H374" s="37" t="s">
        <v>14</v>
      </c>
      <c r="I374" s="37" t="s">
        <v>15</v>
      </c>
      <c r="J374" s="36" t="s">
        <v>7</v>
      </c>
      <c r="K374" s="39" t="s">
        <v>430</v>
      </c>
      <c r="L374" s="40">
        <v>46107.744821990738</v>
      </c>
      <c r="M374" s="19" t="b">
        <v>0</v>
      </c>
      <c r="N374" s="9" t="s">
        <v>660</v>
      </c>
    </row>
    <row r="375" spans="1:14" ht="408.95" customHeight="1" x14ac:dyDescent="0.25">
      <c r="A375" s="29">
        <v>2</v>
      </c>
      <c r="B375" s="30" t="s">
        <v>224</v>
      </c>
      <c r="C375" s="31" t="s">
        <v>225</v>
      </c>
      <c r="D375" s="42" t="b">
        <v>0</v>
      </c>
      <c r="E375" s="30" t="s">
        <v>33</v>
      </c>
      <c r="F375" s="31" t="s">
        <v>3</v>
      </c>
      <c r="G375" s="31" t="s">
        <v>17</v>
      </c>
      <c r="H375" s="31" t="s">
        <v>18</v>
      </c>
      <c r="I375" s="31" t="s">
        <v>19</v>
      </c>
      <c r="J375" s="30" t="s">
        <v>7</v>
      </c>
      <c r="K375" s="33" t="s">
        <v>431</v>
      </c>
      <c r="L375" s="34">
        <v>46107.744930034722</v>
      </c>
      <c r="M375" s="17" t="b">
        <v>0</v>
      </c>
      <c r="N375" s="10" t="s">
        <v>660</v>
      </c>
    </row>
    <row r="376" spans="1:14" ht="408.95" customHeight="1" x14ac:dyDescent="0.25">
      <c r="A376" s="35">
        <v>2</v>
      </c>
      <c r="B376" s="36" t="s">
        <v>224</v>
      </c>
      <c r="C376" s="37" t="s">
        <v>225</v>
      </c>
      <c r="D376" s="41" t="b">
        <v>0</v>
      </c>
      <c r="E376" s="36" t="s">
        <v>33</v>
      </c>
      <c r="F376" s="37" t="s">
        <v>3</v>
      </c>
      <c r="G376" s="37" t="s">
        <v>21</v>
      </c>
      <c r="H376" s="37" t="s">
        <v>22</v>
      </c>
      <c r="I376" s="37" t="s">
        <v>23</v>
      </c>
      <c r="J376" s="36" t="s">
        <v>7</v>
      </c>
      <c r="K376" s="39" t="s">
        <v>432</v>
      </c>
      <c r="L376" s="40">
        <v>46107.745178900463</v>
      </c>
      <c r="M376" s="19" t="b">
        <v>0</v>
      </c>
      <c r="N376" s="9" t="s">
        <v>660</v>
      </c>
    </row>
    <row r="377" spans="1:14" ht="408.95" customHeight="1" x14ac:dyDescent="0.25">
      <c r="A377" s="29">
        <v>2</v>
      </c>
      <c r="B377" s="30" t="s">
        <v>224</v>
      </c>
      <c r="C377" s="31" t="s">
        <v>225</v>
      </c>
      <c r="D377" s="42" t="b">
        <v>0</v>
      </c>
      <c r="E377" s="30" t="s">
        <v>33</v>
      </c>
      <c r="F377" s="31" t="s">
        <v>25</v>
      </c>
      <c r="G377" s="31" t="s">
        <v>4</v>
      </c>
      <c r="H377" s="31" t="s">
        <v>5</v>
      </c>
      <c r="I377" s="31" t="s">
        <v>6</v>
      </c>
      <c r="J377" s="30" t="s">
        <v>7</v>
      </c>
      <c r="K377" s="33" t="s">
        <v>433</v>
      </c>
      <c r="L377" s="34">
        <v>46107.745284444441</v>
      </c>
      <c r="M377" s="17" t="b">
        <v>0</v>
      </c>
      <c r="N377" s="10" t="s">
        <v>660</v>
      </c>
    </row>
    <row r="378" spans="1:14" ht="408.95" customHeight="1" x14ac:dyDescent="0.25">
      <c r="A378" s="35">
        <v>2</v>
      </c>
      <c r="B378" s="36" t="s">
        <v>224</v>
      </c>
      <c r="C378" s="37" t="s">
        <v>225</v>
      </c>
      <c r="D378" s="41" t="b">
        <v>0</v>
      </c>
      <c r="E378" s="36" t="s">
        <v>33</v>
      </c>
      <c r="F378" s="37" t="s">
        <v>25</v>
      </c>
      <c r="G378" s="37" t="s">
        <v>9</v>
      </c>
      <c r="H378" s="37" t="s">
        <v>10</v>
      </c>
      <c r="I378" s="37" t="s">
        <v>11</v>
      </c>
      <c r="J378" s="36" t="s">
        <v>7</v>
      </c>
      <c r="K378" s="39" t="s">
        <v>434</v>
      </c>
      <c r="L378" s="40">
        <v>46107.745357951389</v>
      </c>
      <c r="M378" s="19" t="b">
        <v>0</v>
      </c>
      <c r="N378" s="9" t="s">
        <v>660</v>
      </c>
    </row>
    <row r="379" spans="1:14" ht="408.95" customHeight="1" x14ac:dyDescent="0.25">
      <c r="A379" s="29">
        <v>2</v>
      </c>
      <c r="B379" s="30" t="s">
        <v>224</v>
      </c>
      <c r="C379" s="31" t="s">
        <v>225</v>
      </c>
      <c r="D379" s="42" t="b">
        <v>0</v>
      </c>
      <c r="E379" s="30" t="s">
        <v>33</v>
      </c>
      <c r="F379" s="31" t="s">
        <v>25</v>
      </c>
      <c r="G379" s="31" t="s">
        <v>13</v>
      </c>
      <c r="H379" s="31" t="s">
        <v>14</v>
      </c>
      <c r="I379" s="31" t="s">
        <v>15</v>
      </c>
      <c r="J379" s="30" t="s">
        <v>7</v>
      </c>
      <c r="K379" s="33" t="s">
        <v>435</v>
      </c>
      <c r="L379" s="34">
        <v>46107.745525937498</v>
      </c>
      <c r="M379" s="17" t="b">
        <v>0</v>
      </c>
      <c r="N379" s="10" t="s">
        <v>660</v>
      </c>
    </row>
    <row r="380" spans="1:14" ht="408.95" customHeight="1" x14ac:dyDescent="0.25">
      <c r="A380" s="35">
        <v>2</v>
      </c>
      <c r="B380" s="36" t="s">
        <v>224</v>
      </c>
      <c r="C380" s="37" t="s">
        <v>225</v>
      </c>
      <c r="D380" s="41" t="b">
        <v>0</v>
      </c>
      <c r="E380" s="36" t="s">
        <v>33</v>
      </c>
      <c r="F380" s="37" t="s">
        <v>25</v>
      </c>
      <c r="G380" s="37" t="s">
        <v>17</v>
      </c>
      <c r="H380" s="37" t="s">
        <v>18</v>
      </c>
      <c r="I380" s="37" t="s">
        <v>19</v>
      </c>
      <c r="J380" s="36" t="s">
        <v>7</v>
      </c>
      <c r="K380" s="39" t="s">
        <v>436</v>
      </c>
      <c r="L380" s="40">
        <v>46107.74559027778</v>
      </c>
      <c r="M380" s="19" t="b">
        <v>0</v>
      </c>
      <c r="N380" s="9" t="s">
        <v>660</v>
      </c>
    </row>
    <row r="381" spans="1:14" ht="408.95" customHeight="1" x14ac:dyDescent="0.25">
      <c r="A381" s="29">
        <v>2</v>
      </c>
      <c r="B381" s="30" t="s">
        <v>224</v>
      </c>
      <c r="C381" s="31" t="s">
        <v>225</v>
      </c>
      <c r="D381" s="42" t="b">
        <v>0</v>
      </c>
      <c r="E381" s="30" t="s">
        <v>33</v>
      </c>
      <c r="F381" s="31" t="s">
        <v>25</v>
      </c>
      <c r="G381" s="31" t="s">
        <v>21</v>
      </c>
      <c r="H381" s="31" t="s">
        <v>22</v>
      </c>
      <c r="I381" s="31" t="s">
        <v>23</v>
      </c>
      <c r="J381" s="30" t="s">
        <v>7</v>
      </c>
      <c r="K381" s="33" t="s">
        <v>437</v>
      </c>
      <c r="L381" s="34">
        <v>46107.745718020837</v>
      </c>
      <c r="M381" s="17" t="b">
        <v>0</v>
      </c>
      <c r="N381" s="10" t="s">
        <v>660</v>
      </c>
    </row>
    <row r="382" spans="1:14" ht="408.95" customHeight="1" x14ac:dyDescent="0.25">
      <c r="A382" s="35">
        <v>2</v>
      </c>
      <c r="B382" s="36" t="s">
        <v>236</v>
      </c>
      <c r="C382" s="37" t="s">
        <v>212</v>
      </c>
      <c r="D382" s="38" t="b">
        <v>1</v>
      </c>
      <c r="E382" s="36" t="s">
        <v>213</v>
      </c>
      <c r="F382" s="37" t="s">
        <v>3</v>
      </c>
      <c r="G382" s="37" t="s">
        <v>4</v>
      </c>
      <c r="H382" s="37" t="s">
        <v>5</v>
      </c>
      <c r="I382" s="37" t="s">
        <v>6</v>
      </c>
      <c r="J382" s="36" t="s">
        <v>7</v>
      </c>
      <c r="K382" s="39" t="s">
        <v>438</v>
      </c>
      <c r="L382" s="40">
        <v>46107.745889131947</v>
      </c>
      <c r="M382" s="19" t="b">
        <v>0</v>
      </c>
      <c r="N382" s="11" t="s">
        <v>658</v>
      </c>
    </row>
    <row r="383" spans="1:14" ht="408.95" customHeight="1" x14ac:dyDescent="0.25">
      <c r="A383" s="29">
        <v>2</v>
      </c>
      <c r="B383" s="30" t="s">
        <v>236</v>
      </c>
      <c r="C383" s="31" t="s">
        <v>212</v>
      </c>
      <c r="D383" s="32" t="b">
        <v>1</v>
      </c>
      <c r="E383" s="30" t="s">
        <v>213</v>
      </c>
      <c r="F383" s="31" t="s">
        <v>3</v>
      </c>
      <c r="G383" s="31" t="s">
        <v>9</v>
      </c>
      <c r="H383" s="31" t="s">
        <v>10</v>
      </c>
      <c r="I383" s="31" t="s">
        <v>11</v>
      </c>
      <c r="J383" s="30" t="s">
        <v>7</v>
      </c>
      <c r="K383" s="33" t="s">
        <v>439</v>
      </c>
      <c r="L383" s="34">
        <v>46107.746115729169</v>
      </c>
      <c r="M383" s="17" t="b">
        <v>0</v>
      </c>
      <c r="N383" s="6" t="s">
        <v>658</v>
      </c>
    </row>
    <row r="384" spans="1:14" ht="408.95" customHeight="1" x14ac:dyDescent="0.25">
      <c r="A384" s="35">
        <v>2</v>
      </c>
      <c r="B384" s="36" t="s">
        <v>236</v>
      </c>
      <c r="C384" s="37" t="s">
        <v>212</v>
      </c>
      <c r="D384" s="38" t="b">
        <v>1</v>
      </c>
      <c r="E384" s="36" t="s">
        <v>213</v>
      </c>
      <c r="F384" s="37" t="s">
        <v>3</v>
      </c>
      <c r="G384" s="37" t="s">
        <v>13</v>
      </c>
      <c r="H384" s="37" t="s">
        <v>14</v>
      </c>
      <c r="I384" s="37" t="s">
        <v>15</v>
      </c>
      <c r="J384" s="36" t="s">
        <v>7</v>
      </c>
      <c r="K384" s="39" t="s">
        <v>440</v>
      </c>
      <c r="L384" s="40">
        <v>46107.746495833337</v>
      </c>
      <c r="M384" s="19" t="b">
        <v>0</v>
      </c>
      <c r="N384" s="11" t="s">
        <v>658</v>
      </c>
    </row>
    <row r="385" spans="1:14" ht="408.95" customHeight="1" x14ac:dyDescent="0.25">
      <c r="A385" s="29">
        <v>2</v>
      </c>
      <c r="B385" s="30" t="s">
        <v>236</v>
      </c>
      <c r="C385" s="31" t="s">
        <v>212</v>
      </c>
      <c r="D385" s="32" t="b">
        <v>1</v>
      </c>
      <c r="E385" s="30" t="s">
        <v>213</v>
      </c>
      <c r="F385" s="31" t="s">
        <v>3</v>
      </c>
      <c r="G385" s="31" t="s">
        <v>17</v>
      </c>
      <c r="H385" s="31" t="s">
        <v>18</v>
      </c>
      <c r="I385" s="31" t="s">
        <v>19</v>
      </c>
      <c r="J385" s="30" t="s">
        <v>7</v>
      </c>
      <c r="K385" s="33" t="s">
        <v>441</v>
      </c>
      <c r="L385" s="34">
        <v>46107.74661303241</v>
      </c>
      <c r="M385" s="17" t="b">
        <v>0</v>
      </c>
      <c r="N385" s="6" t="s">
        <v>658</v>
      </c>
    </row>
    <row r="386" spans="1:14" ht="408.95" customHeight="1" x14ac:dyDescent="0.25">
      <c r="A386" s="35">
        <v>2</v>
      </c>
      <c r="B386" s="36" t="s">
        <v>236</v>
      </c>
      <c r="C386" s="37" t="s">
        <v>212</v>
      </c>
      <c r="D386" s="38" t="b">
        <v>1</v>
      </c>
      <c r="E386" s="36" t="s">
        <v>213</v>
      </c>
      <c r="F386" s="37" t="s">
        <v>3</v>
      </c>
      <c r="G386" s="37" t="s">
        <v>21</v>
      </c>
      <c r="H386" s="37" t="s">
        <v>22</v>
      </c>
      <c r="I386" s="37" t="s">
        <v>23</v>
      </c>
      <c r="J386" s="36" t="s">
        <v>7</v>
      </c>
      <c r="K386" s="39" t="s">
        <v>442</v>
      </c>
      <c r="L386" s="40">
        <v>46107.7468528588</v>
      </c>
      <c r="M386" s="19" t="b">
        <v>0</v>
      </c>
      <c r="N386" s="11" t="s">
        <v>658</v>
      </c>
    </row>
    <row r="387" spans="1:14" ht="408.95" customHeight="1" x14ac:dyDescent="0.25">
      <c r="A387" s="29">
        <v>2</v>
      </c>
      <c r="B387" s="30" t="s">
        <v>236</v>
      </c>
      <c r="C387" s="31" t="s">
        <v>212</v>
      </c>
      <c r="D387" s="32" t="b">
        <v>1</v>
      </c>
      <c r="E387" s="30" t="s">
        <v>213</v>
      </c>
      <c r="F387" s="31" t="s">
        <v>25</v>
      </c>
      <c r="G387" s="31" t="s">
        <v>4</v>
      </c>
      <c r="H387" s="31" t="s">
        <v>5</v>
      </c>
      <c r="I387" s="31" t="s">
        <v>6</v>
      </c>
      <c r="J387" s="30" t="s">
        <v>7</v>
      </c>
      <c r="K387" s="33" t="s">
        <v>443</v>
      </c>
      <c r="L387" s="34">
        <v>46107.746985231483</v>
      </c>
      <c r="M387" s="16" t="b">
        <v>1</v>
      </c>
      <c r="N387" s="8" t="s">
        <v>659</v>
      </c>
    </row>
    <row r="388" spans="1:14" ht="408.95" customHeight="1" x14ac:dyDescent="0.25">
      <c r="A388" s="35">
        <v>2</v>
      </c>
      <c r="B388" s="36" t="s">
        <v>236</v>
      </c>
      <c r="C388" s="37" t="s">
        <v>212</v>
      </c>
      <c r="D388" s="38" t="b">
        <v>1</v>
      </c>
      <c r="E388" s="36" t="s">
        <v>213</v>
      </c>
      <c r="F388" s="37" t="s">
        <v>25</v>
      </c>
      <c r="G388" s="37" t="s">
        <v>9</v>
      </c>
      <c r="H388" s="37" t="s">
        <v>10</v>
      </c>
      <c r="I388" s="37" t="s">
        <v>11</v>
      </c>
      <c r="J388" s="36" t="s">
        <v>7</v>
      </c>
      <c r="K388" s="39" t="s">
        <v>444</v>
      </c>
      <c r="L388" s="40">
        <v>46107.747120046297</v>
      </c>
      <c r="M388" s="18" t="b">
        <v>1</v>
      </c>
      <c r="N388" s="7" t="s">
        <v>659</v>
      </c>
    </row>
    <row r="389" spans="1:14" ht="408.95" customHeight="1" x14ac:dyDescent="0.25">
      <c r="A389" s="29">
        <v>2</v>
      </c>
      <c r="B389" s="30" t="s">
        <v>236</v>
      </c>
      <c r="C389" s="31" t="s">
        <v>212</v>
      </c>
      <c r="D389" s="32" t="b">
        <v>1</v>
      </c>
      <c r="E389" s="30" t="s">
        <v>213</v>
      </c>
      <c r="F389" s="31" t="s">
        <v>25</v>
      </c>
      <c r="G389" s="31" t="s">
        <v>13</v>
      </c>
      <c r="H389" s="31" t="s">
        <v>14</v>
      </c>
      <c r="I389" s="31" t="s">
        <v>15</v>
      </c>
      <c r="J389" s="30" t="s">
        <v>7</v>
      </c>
      <c r="K389" s="33" t="s">
        <v>445</v>
      </c>
      <c r="L389" s="34">
        <v>46107.747347268516</v>
      </c>
      <c r="M389" s="16" t="b">
        <v>1</v>
      </c>
      <c r="N389" s="8" t="s">
        <v>659</v>
      </c>
    </row>
    <row r="390" spans="1:14" ht="408.95" customHeight="1" x14ac:dyDescent="0.25">
      <c r="A390" s="35">
        <v>2</v>
      </c>
      <c r="B390" s="36" t="s">
        <v>236</v>
      </c>
      <c r="C390" s="37" t="s">
        <v>212</v>
      </c>
      <c r="D390" s="38" t="b">
        <v>1</v>
      </c>
      <c r="E390" s="36" t="s">
        <v>213</v>
      </c>
      <c r="F390" s="37" t="s">
        <v>25</v>
      </c>
      <c r="G390" s="37" t="s">
        <v>17</v>
      </c>
      <c r="H390" s="37" t="s">
        <v>18</v>
      </c>
      <c r="I390" s="37" t="s">
        <v>19</v>
      </c>
      <c r="J390" s="36" t="s">
        <v>7</v>
      </c>
      <c r="K390" s="39" t="s">
        <v>446</v>
      </c>
      <c r="L390" s="40">
        <v>46107.747413854166</v>
      </c>
      <c r="M390" s="18" t="b">
        <v>1</v>
      </c>
      <c r="N390" s="7" t="s">
        <v>659</v>
      </c>
    </row>
    <row r="391" spans="1:14" ht="408.95" customHeight="1" x14ac:dyDescent="0.25">
      <c r="A391" s="29">
        <v>2</v>
      </c>
      <c r="B391" s="30" t="s">
        <v>236</v>
      </c>
      <c r="C391" s="31" t="s">
        <v>212</v>
      </c>
      <c r="D391" s="32" t="b">
        <v>1</v>
      </c>
      <c r="E391" s="30" t="s">
        <v>213</v>
      </c>
      <c r="F391" s="31" t="s">
        <v>25</v>
      </c>
      <c r="G391" s="31" t="s">
        <v>21</v>
      </c>
      <c r="H391" s="31" t="s">
        <v>22</v>
      </c>
      <c r="I391" s="31" t="s">
        <v>23</v>
      </c>
      <c r="J391" s="30" t="s">
        <v>7</v>
      </c>
      <c r="K391" s="33" t="s">
        <v>447</v>
      </c>
      <c r="L391" s="34">
        <v>46107.747565162033</v>
      </c>
      <c r="M391" s="16" t="b">
        <v>1</v>
      </c>
      <c r="N391" s="8" t="s">
        <v>659</v>
      </c>
    </row>
    <row r="392" spans="1:14" ht="408.95" customHeight="1" x14ac:dyDescent="0.25">
      <c r="A392" s="35">
        <v>2</v>
      </c>
      <c r="B392" s="36" t="s">
        <v>247</v>
      </c>
      <c r="C392" s="37" t="s">
        <v>225</v>
      </c>
      <c r="D392" s="41" t="b">
        <v>0</v>
      </c>
      <c r="E392" s="36" t="s">
        <v>33</v>
      </c>
      <c r="F392" s="37" t="s">
        <v>3</v>
      </c>
      <c r="G392" s="37" t="s">
        <v>4</v>
      </c>
      <c r="H392" s="37" t="s">
        <v>5</v>
      </c>
      <c r="I392" s="37" t="s">
        <v>6</v>
      </c>
      <c r="J392" s="36" t="s">
        <v>7</v>
      </c>
      <c r="K392" s="39" t="s">
        <v>448</v>
      </c>
      <c r="L392" s="40">
        <v>46107.747732766205</v>
      </c>
      <c r="M392" s="19" t="b">
        <v>0</v>
      </c>
      <c r="N392" s="9" t="s">
        <v>660</v>
      </c>
    </row>
    <row r="393" spans="1:14" ht="408.95" customHeight="1" x14ac:dyDescent="0.25">
      <c r="A393" s="29">
        <v>2</v>
      </c>
      <c r="B393" s="30" t="s">
        <v>247</v>
      </c>
      <c r="C393" s="31" t="s">
        <v>225</v>
      </c>
      <c r="D393" s="42" t="b">
        <v>0</v>
      </c>
      <c r="E393" s="30" t="s">
        <v>33</v>
      </c>
      <c r="F393" s="31" t="s">
        <v>3</v>
      </c>
      <c r="G393" s="31" t="s">
        <v>9</v>
      </c>
      <c r="H393" s="31" t="s">
        <v>10</v>
      </c>
      <c r="I393" s="31" t="s">
        <v>11</v>
      </c>
      <c r="J393" s="30" t="s">
        <v>7</v>
      </c>
      <c r="K393" s="33" t="s">
        <v>449</v>
      </c>
      <c r="L393" s="34">
        <v>46107.747958703701</v>
      </c>
      <c r="M393" s="17" t="b">
        <v>0</v>
      </c>
      <c r="N393" s="10" t="s">
        <v>660</v>
      </c>
    </row>
    <row r="394" spans="1:14" ht="408.95" customHeight="1" x14ac:dyDescent="0.25">
      <c r="A394" s="35">
        <v>2</v>
      </c>
      <c r="B394" s="36" t="s">
        <v>247</v>
      </c>
      <c r="C394" s="37" t="s">
        <v>225</v>
      </c>
      <c r="D394" s="41" t="b">
        <v>0</v>
      </c>
      <c r="E394" s="36" t="s">
        <v>33</v>
      </c>
      <c r="F394" s="37" t="s">
        <v>3</v>
      </c>
      <c r="G394" s="37" t="s">
        <v>13</v>
      </c>
      <c r="H394" s="37" t="s">
        <v>14</v>
      </c>
      <c r="I394" s="37" t="s">
        <v>15</v>
      </c>
      <c r="J394" s="36" t="s">
        <v>7</v>
      </c>
      <c r="K394" s="39" t="s">
        <v>450</v>
      </c>
      <c r="L394" s="40">
        <v>46107.748321377316</v>
      </c>
      <c r="M394" s="19" t="b">
        <v>0</v>
      </c>
      <c r="N394" s="9" t="s">
        <v>660</v>
      </c>
    </row>
    <row r="395" spans="1:14" ht="408.95" customHeight="1" x14ac:dyDescent="0.25">
      <c r="A395" s="29">
        <v>2</v>
      </c>
      <c r="B395" s="30" t="s">
        <v>247</v>
      </c>
      <c r="C395" s="31" t="s">
        <v>225</v>
      </c>
      <c r="D395" s="42" t="b">
        <v>0</v>
      </c>
      <c r="E395" s="30" t="s">
        <v>33</v>
      </c>
      <c r="F395" s="31" t="s">
        <v>3</v>
      </c>
      <c r="G395" s="31" t="s">
        <v>17</v>
      </c>
      <c r="H395" s="31" t="s">
        <v>18</v>
      </c>
      <c r="I395" s="31" t="s">
        <v>19</v>
      </c>
      <c r="J395" s="30" t="s">
        <v>7</v>
      </c>
      <c r="K395" s="33" t="s">
        <v>451</v>
      </c>
      <c r="L395" s="34">
        <v>46107.748442141201</v>
      </c>
      <c r="M395" s="17" t="b">
        <v>0</v>
      </c>
      <c r="N395" s="10" t="s">
        <v>660</v>
      </c>
    </row>
    <row r="396" spans="1:14" ht="408.95" customHeight="1" x14ac:dyDescent="0.25">
      <c r="A396" s="35">
        <v>2</v>
      </c>
      <c r="B396" s="36" t="s">
        <v>247</v>
      </c>
      <c r="C396" s="37" t="s">
        <v>225</v>
      </c>
      <c r="D396" s="41" t="b">
        <v>0</v>
      </c>
      <c r="E396" s="36" t="s">
        <v>33</v>
      </c>
      <c r="F396" s="37" t="s">
        <v>3</v>
      </c>
      <c r="G396" s="37" t="s">
        <v>21</v>
      </c>
      <c r="H396" s="37" t="s">
        <v>22</v>
      </c>
      <c r="I396" s="37" t="s">
        <v>23</v>
      </c>
      <c r="J396" s="36" t="s">
        <v>7</v>
      </c>
      <c r="K396" s="39" t="s">
        <v>452</v>
      </c>
      <c r="L396" s="40">
        <v>46107.74866380787</v>
      </c>
      <c r="M396" s="19" t="b">
        <v>0</v>
      </c>
      <c r="N396" s="9" t="s">
        <v>660</v>
      </c>
    </row>
    <row r="397" spans="1:14" ht="408.95" customHeight="1" x14ac:dyDescent="0.25">
      <c r="A397" s="29">
        <v>2</v>
      </c>
      <c r="B397" s="30" t="s">
        <v>247</v>
      </c>
      <c r="C397" s="31" t="s">
        <v>225</v>
      </c>
      <c r="D397" s="42" t="b">
        <v>0</v>
      </c>
      <c r="E397" s="30" t="s">
        <v>33</v>
      </c>
      <c r="F397" s="31" t="s">
        <v>25</v>
      </c>
      <c r="G397" s="31" t="s">
        <v>4</v>
      </c>
      <c r="H397" s="31" t="s">
        <v>5</v>
      </c>
      <c r="I397" s="31" t="s">
        <v>6</v>
      </c>
      <c r="J397" s="30" t="s">
        <v>7</v>
      </c>
      <c r="K397" s="33" t="s">
        <v>453</v>
      </c>
      <c r="L397" s="34">
        <v>46107.748779247682</v>
      </c>
      <c r="M397" s="17" t="b">
        <v>0</v>
      </c>
      <c r="N397" s="10" t="s">
        <v>660</v>
      </c>
    </row>
    <row r="398" spans="1:14" ht="408.95" customHeight="1" x14ac:dyDescent="0.25">
      <c r="A398" s="35">
        <v>2</v>
      </c>
      <c r="B398" s="36" t="s">
        <v>247</v>
      </c>
      <c r="C398" s="37" t="s">
        <v>225</v>
      </c>
      <c r="D398" s="41" t="b">
        <v>0</v>
      </c>
      <c r="E398" s="36" t="s">
        <v>33</v>
      </c>
      <c r="F398" s="37" t="s">
        <v>25</v>
      </c>
      <c r="G398" s="37" t="s">
        <v>9</v>
      </c>
      <c r="H398" s="37" t="s">
        <v>10</v>
      </c>
      <c r="I398" s="37" t="s">
        <v>11</v>
      </c>
      <c r="J398" s="36" t="s">
        <v>7</v>
      </c>
      <c r="K398" s="39" t="s">
        <v>454</v>
      </c>
      <c r="L398" s="40">
        <v>46107.748893055556</v>
      </c>
      <c r="M398" s="19" t="b">
        <v>0</v>
      </c>
      <c r="N398" s="9" t="s">
        <v>660</v>
      </c>
    </row>
    <row r="399" spans="1:14" ht="408.95" customHeight="1" x14ac:dyDescent="0.25">
      <c r="A399" s="29">
        <v>2</v>
      </c>
      <c r="B399" s="30" t="s">
        <v>247</v>
      </c>
      <c r="C399" s="31" t="s">
        <v>225</v>
      </c>
      <c r="D399" s="42" t="b">
        <v>0</v>
      </c>
      <c r="E399" s="30" t="s">
        <v>33</v>
      </c>
      <c r="F399" s="31" t="s">
        <v>25</v>
      </c>
      <c r="G399" s="31" t="s">
        <v>13</v>
      </c>
      <c r="H399" s="31" t="s">
        <v>14</v>
      </c>
      <c r="I399" s="31" t="s">
        <v>15</v>
      </c>
      <c r="J399" s="30" t="s">
        <v>7</v>
      </c>
      <c r="K399" s="33" t="s">
        <v>455</v>
      </c>
      <c r="L399" s="34">
        <v>46107.749073657411</v>
      </c>
      <c r="M399" s="17" t="b">
        <v>0</v>
      </c>
      <c r="N399" s="10" t="s">
        <v>660</v>
      </c>
    </row>
    <row r="400" spans="1:14" ht="408.95" customHeight="1" x14ac:dyDescent="0.25">
      <c r="A400" s="35">
        <v>2</v>
      </c>
      <c r="B400" s="36" t="s">
        <v>247</v>
      </c>
      <c r="C400" s="37" t="s">
        <v>225</v>
      </c>
      <c r="D400" s="41" t="b">
        <v>0</v>
      </c>
      <c r="E400" s="36" t="s">
        <v>33</v>
      </c>
      <c r="F400" s="37" t="s">
        <v>25</v>
      </c>
      <c r="G400" s="37" t="s">
        <v>17</v>
      </c>
      <c r="H400" s="37" t="s">
        <v>18</v>
      </c>
      <c r="I400" s="37" t="s">
        <v>19</v>
      </c>
      <c r="J400" s="36" t="s">
        <v>7</v>
      </c>
      <c r="K400" s="39" t="s">
        <v>456</v>
      </c>
      <c r="L400" s="40">
        <v>46107.749137071762</v>
      </c>
      <c r="M400" s="19" t="b">
        <v>0</v>
      </c>
      <c r="N400" s="9" t="s">
        <v>660</v>
      </c>
    </row>
    <row r="401" spans="1:14" ht="408.95" customHeight="1" x14ac:dyDescent="0.25">
      <c r="A401" s="29">
        <v>2</v>
      </c>
      <c r="B401" s="30" t="s">
        <v>247</v>
      </c>
      <c r="C401" s="31" t="s">
        <v>225</v>
      </c>
      <c r="D401" s="42" t="b">
        <v>0</v>
      </c>
      <c r="E401" s="30" t="s">
        <v>33</v>
      </c>
      <c r="F401" s="31" t="s">
        <v>25</v>
      </c>
      <c r="G401" s="31" t="s">
        <v>21</v>
      </c>
      <c r="H401" s="31" t="s">
        <v>22</v>
      </c>
      <c r="I401" s="31" t="s">
        <v>23</v>
      </c>
      <c r="J401" s="30" t="s">
        <v>7</v>
      </c>
      <c r="K401" s="33" t="s">
        <v>457</v>
      </c>
      <c r="L401" s="34">
        <v>46107.749272152774</v>
      </c>
      <c r="M401" s="17" t="b">
        <v>0</v>
      </c>
      <c r="N401" s="10" t="s">
        <v>660</v>
      </c>
    </row>
    <row r="402" spans="1:14" ht="408.95" customHeight="1" x14ac:dyDescent="0.25">
      <c r="A402" s="35">
        <v>3</v>
      </c>
      <c r="B402" s="36" t="s">
        <v>0</v>
      </c>
      <c r="C402" s="37" t="s">
        <v>1</v>
      </c>
      <c r="D402" s="38" t="b">
        <v>1</v>
      </c>
      <c r="E402" s="36" t="s">
        <v>2</v>
      </c>
      <c r="F402" s="37" t="s">
        <v>3</v>
      </c>
      <c r="G402" s="37" t="s">
        <v>4</v>
      </c>
      <c r="H402" s="37" t="s">
        <v>5</v>
      </c>
      <c r="I402" s="37" t="s">
        <v>6</v>
      </c>
      <c r="J402" s="36" t="s">
        <v>7</v>
      </c>
      <c r="K402" s="39" t="s">
        <v>458</v>
      </c>
      <c r="L402" s="40">
        <v>46107.749459548613</v>
      </c>
      <c r="M402" s="18" t="b">
        <v>1</v>
      </c>
      <c r="N402" s="7" t="s">
        <v>659</v>
      </c>
    </row>
    <row r="403" spans="1:14" ht="408.95" customHeight="1" x14ac:dyDescent="0.25">
      <c r="A403" s="29">
        <v>3</v>
      </c>
      <c r="B403" s="30" t="s">
        <v>0</v>
      </c>
      <c r="C403" s="31" t="s">
        <v>1</v>
      </c>
      <c r="D403" s="32" t="b">
        <v>1</v>
      </c>
      <c r="E403" s="30" t="s">
        <v>2</v>
      </c>
      <c r="F403" s="31" t="s">
        <v>3</v>
      </c>
      <c r="G403" s="31" t="s">
        <v>9</v>
      </c>
      <c r="H403" s="31" t="s">
        <v>10</v>
      </c>
      <c r="I403" s="31" t="s">
        <v>11</v>
      </c>
      <c r="J403" s="30" t="s">
        <v>7</v>
      </c>
      <c r="K403" s="33" t="s">
        <v>459</v>
      </c>
      <c r="L403" s="34">
        <v>46107.749786319444</v>
      </c>
      <c r="M403" s="16" t="b">
        <v>1</v>
      </c>
      <c r="N403" s="8" t="s">
        <v>659</v>
      </c>
    </row>
    <row r="404" spans="1:14" ht="408.95" customHeight="1" x14ac:dyDescent="0.25">
      <c r="A404" s="35">
        <v>3</v>
      </c>
      <c r="B404" s="36" t="s">
        <v>0</v>
      </c>
      <c r="C404" s="37" t="s">
        <v>1</v>
      </c>
      <c r="D404" s="38" t="b">
        <v>1</v>
      </c>
      <c r="E404" s="36" t="s">
        <v>2</v>
      </c>
      <c r="F404" s="37" t="s">
        <v>3</v>
      </c>
      <c r="G404" s="37" t="s">
        <v>13</v>
      </c>
      <c r="H404" s="37" t="s">
        <v>14</v>
      </c>
      <c r="I404" s="37" t="s">
        <v>15</v>
      </c>
      <c r="J404" s="36" t="s">
        <v>7</v>
      </c>
      <c r="K404" s="39" t="s">
        <v>460</v>
      </c>
      <c r="L404" s="40">
        <v>46107.750045636574</v>
      </c>
      <c r="M404" s="18" t="b">
        <v>1</v>
      </c>
      <c r="N404" s="7" t="s">
        <v>659</v>
      </c>
    </row>
    <row r="405" spans="1:14" ht="408.95" customHeight="1" x14ac:dyDescent="0.25">
      <c r="A405" s="29">
        <v>3</v>
      </c>
      <c r="B405" s="30" t="s">
        <v>0</v>
      </c>
      <c r="C405" s="31" t="s">
        <v>1</v>
      </c>
      <c r="D405" s="32" t="b">
        <v>1</v>
      </c>
      <c r="E405" s="30" t="s">
        <v>2</v>
      </c>
      <c r="F405" s="31" t="s">
        <v>3</v>
      </c>
      <c r="G405" s="31" t="s">
        <v>17</v>
      </c>
      <c r="H405" s="31" t="s">
        <v>18</v>
      </c>
      <c r="I405" s="31" t="s">
        <v>19</v>
      </c>
      <c r="J405" s="30" t="s">
        <v>7</v>
      </c>
      <c r="K405" s="33" t="s">
        <v>461</v>
      </c>
      <c r="L405" s="34">
        <v>46107.750146863429</v>
      </c>
      <c r="M405" s="16" t="b">
        <v>1</v>
      </c>
      <c r="N405" s="8" t="s">
        <v>659</v>
      </c>
    </row>
    <row r="406" spans="1:14" ht="408.95" customHeight="1" x14ac:dyDescent="0.25">
      <c r="A406" s="35">
        <v>3</v>
      </c>
      <c r="B406" s="36" t="s">
        <v>0</v>
      </c>
      <c r="C406" s="37" t="s">
        <v>1</v>
      </c>
      <c r="D406" s="38" t="b">
        <v>1</v>
      </c>
      <c r="E406" s="36" t="s">
        <v>2</v>
      </c>
      <c r="F406" s="37" t="s">
        <v>3</v>
      </c>
      <c r="G406" s="37" t="s">
        <v>21</v>
      </c>
      <c r="H406" s="37" t="s">
        <v>22</v>
      </c>
      <c r="I406" s="37" t="s">
        <v>23</v>
      </c>
      <c r="J406" s="36" t="s">
        <v>7</v>
      </c>
      <c r="K406" s="39" t="s">
        <v>462</v>
      </c>
      <c r="L406" s="40">
        <v>46107.750368425928</v>
      </c>
      <c r="M406" s="18" t="b">
        <v>1</v>
      </c>
      <c r="N406" s="7" t="s">
        <v>659</v>
      </c>
    </row>
    <row r="407" spans="1:14" ht="408.95" customHeight="1" x14ac:dyDescent="0.25">
      <c r="A407" s="29">
        <v>3</v>
      </c>
      <c r="B407" s="30" t="s">
        <v>0</v>
      </c>
      <c r="C407" s="31" t="s">
        <v>1</v>
      </c>
      <c r="D407" s="32" t="b">
        <v>1</v>
      </c>
      <c r="E407" s="30" t="s">
        <v>2</v>
      </c>
      <c r="F407" s="31" t="s">
        <v>25</v>
      </c>
      <c r="G407" s="31" t="s">
        <v>4</v>
      </c>
      <c r="H407" s="31" t="s">
        <v>5</v>
      </c>
      <c r="I407" s="31" t="s">
        <v>6</v>
      </c>
      <c r="J407" s="30" t="s">
        <v>7</v>
      </c>
      <c r="K407" s="33" t="s">
        <v>463</v>
      </c>
      <c r="L407" s="34">
        <v>46107.750496342589</v>
      </c>
      <c r="M407" s="16" t="b">
        <v>1</v>
      </c>
      <c r="N407" s="8" t="s">
        <v>659</v>
      </c>
    </row>
    <row r="408" spans="1:14" ht="408.95" customHeight="1" x14ac:dyDescent="0.25">
      <c r="A408" s="35">
        <v>3</v>
      </c>
      <c r="B408" s="36" t="s">
        <v>0</v>
      </c>
      <c r="C408" s="37" t="s">
        <v>1</v>
      </c>
      <c r="D408" s="38" t="b">
        <v>1</v>
      </c>
      <c r="E408" s="36" t="s">
        <v>2</v>
      </c>
      <c r="F408" s="37" t="s">
        <v>25</v>
      </c>
      <c r="G408" s="37" t="s">
        <v>9</v>
      </c>
      <c r="H408" s="37" t="s">
        <v>10</v>
      </c>
      <c r="I408" s="37" t="s">
        <v>11</v>
      </c>
      <c r="J408" s="36" t="s">
        <v>7</v>
      </c>
      <c r="K408" s="39" t="s">
        <v>464</v>
      </c>
      <c r="L408" s="40">
        <v>46107.750654016207</v>
      </c>
      <c r="M408" s="18" t="b">
        <v>1</v>
      </c>
      <c r="N408" s="7" t="s">
        <v>659</v>
      </c>
    </row>
    <row r="409" spans="1:14" ht="408.95" customHeight="1" x14ac:dyDescent="0.25">
      <c r="A409" s="29">
        <v>3</v>
      </c>
      <c r="B409" s="30" t="s">
        <v>0</v>
      </c>
      <c r="C409" s="31" t="s">
        <v>1</v>
      </c>
      <c r="D409" s="32" t="b">
        <v>1</v>
      </c>
      <c r="E409" s="30" t="s">
        <v>2</v>
      </c>
      <c r="F409" s="31" t="s">
        <v>25</v>
      </c>
      <c r="G409" s="31" t="s">
        <v>13</v>
      </c>
      <c r="H409" s="31" t="s">
        <v>14</v>
      </c>
      <c r="I409" s="31" t="s">
        <v>15</v>
      </c>
      <c r="J409" s="30" t="s">
        <v>7</v>
      </c>
      <c r="K409" s="33" t="s">
        <v>465</v>
      </c>
      <c r="L409" s="34">
        <v>46107.750838877313</v>
      </c>
      <c r="M409" s="16" t="b">
        <v>1</v>
      </c>
      <c r="N409" s="8" t="s">
        <v>659</v>
      </c>
    </row>
    <row r="410" spans="1:14" ht="408.95" customHeight="1" x14ac:dyDescent="0.25">
      <c r="A410" s="35">
        <v>3</v>
      </c>
      <c r="B410" s="36" t="s">
        <v>0</v>
      </c>
      <c r="C410" s="37" t="s">
        <v>1</v>
      </c>
      <c r="D410" s="38" t="b">
        <v>1</v>
      </c>
      <c r="E410" s="36" t="s">
        <v>2</v>
      </c>
      <c r="F410" s="37" t="s">
        <v>25</v>
      </c>
      <c r="G410" s="37" t="s">
        <v>17</v>
      </c>
      <c r="H410" s="37" t="s">
        <v>18</v>
      </c>
      <c r="I410" s="37" t="s">
        <v>19</v>
      </c>
      <c r="J410" s="36" t="s">
        <v>7</v>
      </c>
      <c r="K410" s="39" t="s">
        <v>466</v>
      </c>
      <c r="L410" s="40">
        <v>46107.750903506945</v>
      </c>
      <c r="M410" s="18" t="b">
        <v>1</v>
      </c>
      <c r="N410" s="7" t="s">
        <v>659</v>
      </c>
    </row>
    <row r="411" spans="1:14" ht="408.95" customHeight="1" x14ac:dyDescent="0.25">
      <c r="A411" s="29">
        <v>3</v>
      </c>
      <c r="B411" s="30" t="s">
        <v>0</v>
      </c>
      <c r="C411" s="31" t="s">
        <v>1</v>
      </c>
      <c r="D411" s="32" t="b">
        <v>1</v>
      </c>
      <c r="E411" s="30" t="s">
        <v>2</v>
      </c>
      <c r="F411" s="31" t="s">
        <v>25</v>
      </c>
      <c r="G411" s="31" t="s">
        <v>21</v>
      </c>
      <c r="H411" s="31" t="s">
        <v>22</v>
      </c>
      <c r="I411" s="31" t="s">
        <v>23</v>
      </c>
      <c r="J411" s="30" t="s">
        <v>7</v>
      </c>
      <c r="K411" s="33" t="s">
        <v>467</v>
      </c>
      <c r="L411" s="34">
        <v>46107.751044872683</v>
      </c>
      <c r="M411" s="16" t="b">
        <v>1</v>
      </c>
      <c r="N411" s="8" t="s">
        <v>659</v>
      </c>
    </row>
    <row r="412" spans="1:14" ht="408.95" customHeight="1" x14ac:dyDescent="0.25">
      <c r="A412" s="35">
        <v>3</v>
      </c>
      <c r="B412" s="36" t="s">
        <v>31</v>
      </c>
      <c r="C412" s="37" t="s">
        <v>32</v>
      </c>
      <c r="D412" s="41" t="b">
        <v>0</v>
      </c>
      <c r="E412" s="36" t="s">
        <v>33</v>
      </c>
      <c r="F412" s="37" t="s">
        <v>3</v>
      </c>
      <c r="G412" s="37" t="s">
        <v>4</v>
      </c>
      <c r="H412" s="37" t="s">
        <v>5</v>
      </c>
      <c r="I412" s="37" t="s">
        <v>6</v>
      </c>
      <c r="J412" s="36" t="s">
        <v>7</v>
      </c>
      <c r="K412" s="39" t="s">
        <v>468</v>
      </c>
      <c r="L412" s="40">
        <v>46107.75124070602</v>
      </c>
      <c r="M412" s="19" t="b">
        <v>0</v>
      </c>
      <c r="N412" s="9" t="s">
        <v>660</v>
      </c>
    </row>
    <row r="413" spans="1:14" ht="408.95" customHeight="1" x14ac:dyDescent="0.25">
      <c r="A413" s="29">
        <v>3</v>
      </c>
      <c r="B413" s="30" t="s">
        <v>31</v>
      </c>
      <c r="C413" s="31" t="s">
        <v>32</v>
      </c>
      <c r="D413" s="42" t="b">
        <v>0</v>
      </c>
      <c r="E413" s="30" t="s">
        <v>33</v>
      </c>
      <c r="F413" s="31" t="s">
        <v>3</v>
      </c>
      <c r="G413" s="31" t="s">
        <v>9</v>
      </c>
      <c r="H413" s="31" t="s">
        <v>10</v>
      </c>
      <c r="I413" s="31" t="s">
        <v>11</v>
      </c>
      <c r="J413" s="30" t="s">
        <v>7</v>
      </c>
      <c r="K413" s="33" t="s">
        <v>469</v>
      </c>
      <c r="L413" s="34">
        <v>46107.75151480324</v>
      </c>
      <c r="M413" s="17" t="b">
        <v>0</v>
      </c>
      <c r="N413" s="10" t="s">
        <v>660</v>
      </c>
    </row>
    <row r="414" spans="1:14" ht="408.95" customHeight="1" x14ac:dyDescent="0.25">
      <c r="A414" s="35">
        <v>3</v>
      </c>
      <c r="B414" s="36" t="s">
        <v>31</v>
      </c>
      <c r="C414" s="37" t="s">
        <v>32</v>
      </c>
      <c r="D414" s="41" t="b">
        <v>0</v>
      </c>
      <c r="E414" s="36" t="s">
        <v>33</v>
      </c>
      <c r="F414" s="37" t="s">
        <v>3</v>
      </c>
      <c r="G414" s="37" t="s">
        <v>13</v>
      </c>
      <c r="H414" s="37" t="s">
        <v>14</v>
      </c>
      <c r="I414" s="37" t="s">
        <v>15</v>
      </c>
      <c r="J414" s="36" t="s">
        <v>7</v>
      </c>
      <c r="K414" s="39" t="s">
        <v>470</v>
      </c>
      <c r="L414" s="40">
        <v>46107.751812685186</v>
      </c>
      <c r="M414" s="19" t="b">
        <v>0</v>
      </c>
      <c r="N414" s="9" t="s">
        <v>660</v>
      </c>
    </row>
    <row r="415" spans="1:14" ht="408.95" customHeight="1" x14ac:dyDescent="0.25">
      <c r="A415" s="29">
        <v>3</v>
      </c>
      <c r="B415" s="30" t="s">
        <v>31</v>
      </c>
      <c r="C415" s="31" t="s">
        <v>32</v>
      </c>
      <c r="D415" s="42" t="b">
        <v>0</v>
      </c>
      <c r="E415" s="30" t="s">
        <v>33</v>
      </c>
      <c r="F415" s="31" t="s">
        <v>3</v>
      </c>
      <c r="G415" s="31" t="s">
        <v>17</v>
      </c>
      <c r="H415" s="31" t="s">
        <v>18</v>
      </c>
      <c r="I415" s="31" t="s">
        <v>19</v>
      </c>
      <c r="J415" s="30" t="s">
        <v>7</v>
      </c>
      <c r="K415" s="33" t="s">
        <v>471</v>
      </c>
      <c r="L415" s="34">
        <v>46107.751924733799</v>
      </c>
      <c r="M415" s="17" t="b">
        <v>0</v>
      </c>
      <c r="N415" s="10" t="s">
        <v>660</v>
      </c>
    </row>
    <row r="416" spans="1:14" ht="408.95" customHeight="1" x14ac:dyDescent="0.25">
      <c r="A416" s="35">
        <v>3</v>
      </c>
      <c r="B416" s="36" t="s">
        <v>31</v>
      </c>
      <c r="C416" s="37" t="s">
        <v>32</v>
      </c>
      <c r="D416" s="41" t="b">
        <v>0</v>
      </c>
      <c r="E416" s="36" t="s">
        <v>33</v>
      </c>
      <c r="F416" s="37" t="s">
        <v>3</v>
      </c>
      <c r="G416" s="37" t="s">
        <v>21</v>
      </c>
      <c r="H416" s="37" t="s">
        <v>22</v>
      </c>
      <c r="I416" s="37" t="s">
        <v>23</v>
      </c>
      <c r="J416" s="36" t="s">
        <v>7</v>
      </c>
      <c r="K416" s="39" t="s">
        <v>472</v>
      </c>
      <c r="L416" s="40">
        <v>46107.752062650463</v>
      </c>
      <c r="M416" s="19" t="b">
        <v>0</v>
      </c>
      <c r="N416" s="9" t="s">
        <v>660</v>
      </c>
    </row>
    <row r="417" spans="1:14" ht="408.95" customHeight="1" x14ac:dyDescent="0.25">
      <c r="A417" s="29">
        <v>3</v>
      </c>
      <c r="B417" s="30" t="s">
        <v>31</v>
      </c>
      <c r="C417" s="31" t="s">
        <v>32</v>
      </c>
      <c r="D417" s="42" t="b">
        <v>0</v>
      </c>
      <c r="E417" s="30" t="s">
        <v>33</v>
      </c>
      <c r="F417" s="31" t="s">
        <v>25</v>
      </c>
      <c r="G417" s="31" t="s">
        <v>4</v>
      </c>
      <c r="H417" s="31" t="s">
        <v>5</v>
      </c>
      <c r="I417" s="31" t="s">
        <v>6</v>
      </c>
      <c r="J417" s="30" t="s">
        <v>7</v>
      </c>
      <c r="K417" s="33" t="s">
        <v>473</v>
      </c>
      <c r="L417" s="34">
        <v>46107.752272418984</v>
      </c>
      <c r="M417" s="17" t="b">
        <v>0</v>
      </c>
      <c r="N417" s="10" t="s">
        <v>660</v>
      </c>
    </row>
    <row r="418" spans="1:14" ht="408.95" customHeight="1" x14ac:dyDescent="0.25">
      <c r="A418" s="35">
        <v>3</v>
      </c>
      <c r="B418" s="36" t="s">
        <v>31</v>
      </c>
      <c r="C418" s="37" t="s">
        <v>32</v>
      </c>
      <c r="D418" s="41" t="b">
        <v>0</v>
      </c>
      <c r="E418" s="36" t="s">
        <v>33</v>
      </c>
      <c r="F418" s="37" t="s">
        <v>25</v>
      </c>
      <c r="G418" s="37" t="s">
        <v>9</v>
      </c>
      <c r="H418" s="37" t="s">
        <v>10</v>
      </c>
      <c r="I418" s="37" t="s">
        <v>11</v>
      </c>
      <c r="J418" s="36" t="s">
        <v>7</v>
      </c>
      <c r="K418" s="39" t="s">
        <v>474</v>
      </c>
      <c r="L418" s="40">
        <v>46107.752359027778</v>
      </c>
      <c r="M418" s="19" t="b">
        <v>0</v>
      </c>
      <c r="N418" s="9" t="s">
        <v>660</v>
      </c>
    </row>
    <row r="419" spans="1:14" ht="408.95" customHeight="1" x14ac:dyDescent="0.25">
      <c r="A419" s="29">
        <v>3</v>
      </c>
      <c r="B419" s="30" t="s">
        <v>31</v>
      </c>
      <c r="C419" s="31" t="s">
        <v>32</v>
      </c>
      <c r="D419" s="42" t="b">
        <v>0</v>
      </c>
      <c r="E419" s="30" t="s">
        <v>33</v>
      </c>
      <c r="F419" s="31" t="s">
        <v>25</v>
      </c>
      <c r="G419" s="31" t="s">
        <v>13</v>
      </c>
      <c r="H419" s="31" t="s">
        <v>14</v>
      </c>
      <c r="I419" s="31" t="s">
        <v>15</v>
      </c>
      <c r="J419" s="30" t="s">
        <v>7</v>
      </c>
      <c r="K419" s="33" t="s">
        <v>475</v>
      </c>
      <c r="L419" s="34">
        <v>46107.752549791665</v>
      </c>
      <c r="M419" s="17" t="b">
        <v>0</v>
      </c>
      <c r="N419" s="10" t="s">
        <v>660</v>
      </c>
    </row>
    <row r="420" spans="1:14" ht="408.95" customHeight="1" x14ac:dyDescent="0.25">
      <c r="A420" s="35">
        <v>3</v>
      </c>
      <c r="B420" s="36" t="s">
        <v>31</v>
      </c>
      <c r="C420" s="37" t="s">
        <v>32</v>
      </c>
      <c r="D420" s="41" t="b">
        <v>0</v>
      </c>
      <c r="E420" s="36" t="s">
        <v>33</v>
      </c>
      <c r="F420" s="37" t="s">
        <v>25</v>
      </c>
      <c r="G420" s="37" t="s">
        <v>17</v>
      </c>
      <c r="H420" s="37" t="s">
        <v>18</v>
      </c>
      <c r="I420" s="37" t="s">
        <v>19</v>
      </c>
      <c r="J420" s="36" t="s">
        <v>7</v>
      </c>
      <c r="K420" s="39" t="s">
        <v>476</v>
      </c>
      <c r="L420" s="40">
        <v>46107.752610578704</v>
      </c>
      <c r="M420" s="19" t="b">
        <v>0</v>
      </c>
      <c r="N420" s="9" t="s">
        <v>660</v>
      </c>
    </row>
    <row r="421" spans="1:14" ht="408.95" customHeight="1" x14ac:dyDescent="0.25">
      <c r="A421" s="29">
        <v>3</v>
      </c>
      <c r="B421" s="30" t="s">
        <v>31</v>
      </c>
      <c r="C421" s="31" t="s">
        <v>32</v>
      </c>
      <c r="D421" s="42" t="b">
        <v>0</v>
      </c>
      <c r="E421" s="30" t="s">
        <v>33</v>
      </c>
      <c r="F421" s="31" t="s">
        <v>25</v>
      </c>
      <c r="G421" s="31" t="s">
        <v>21</v>
      </c>
      <c r="H421" s="31" t="s">
        <v>22</v>
      </c>
      <c r="I421" s="31" t="s">
        <v>23</v>
      </c>
      <c r="J421" s="30" t="s">
        <v>7</v>
      </c>
      <c r="K421" s="33" t="s">
        <v>477</v>
      </c>
      <c r="L421" s="34">
        <v>46107.752759178242</v>
      </c>
      <c r="M421" s="17" t="b">
        <v>0</v>
      </c>
      <c r="N421" s="10" t="s">
        <v>660</v>
      </c>
    </row>
    <row r="422" spans="1:14" ht="408.95" customHeight="1" x14ac:dyDescent="0.25">
      <c r="A422" s="35">
        <v>3</v>
      </c>
      <c r="B422" s="36" t="s">
        <v>44</v>
      </c>
      <c r="C422" s="37" t="s">
        <v>1</v>
      </c>
      <c r="D422" s="38" t="b">
        <v>1</v>
      </c>
      <c r="E422" s="36" t="s">
        <v>2</v>
      </c>
      <c r="F422" s="37" t="s">
        <v>3</v>
      </c>
      <c r="G422" s="37" t="s">
        <v>4</v>
      </c>
      <c r="H422" s="37" t="s">
        <v>5</v>
      </c>
      <c r="I422" s="37" t="s">
        <v>6</v>
      </c>
      <c r="J422" s="36" t="s">
        <v>7</v>
      </c>
      <c r="K422" s="39" t="s">
        <v>478</v>
      </c>
      <c r="L422" s="40">
        <v>46107.753125763891</v>
      </c>
      <c r="M422" s="18" t="b">
        <v>1</v>
      </c>
      <c r="N422" s="7" t="s">
        <v>659</v>
      </c>
    </row>
    <row r="423" spans="1:14" ht="408.95" customHeight="1" x14ac:dyDescent="0.25">
      <c r="A423" s="29">
        <v>3</v>
      </c>
      <c r="B423" s="30" t="s">
        <v>44</v>
      </c>
      <c r="C423" s="31" t="s">
        <v>1</v>
      </c>
      <c r="D423" s="32" t="b">
        <v>1</v>
      </c>
      <c r="E423" s="30" t="s">
        <v>2</v>
      </c>
      <c r="F423" s="31" t="s">
        <v>3</v>
      </c>
      <c r="G423" s="31" t="s">
        <v>9</v>
      </c>
      <c r="H423" s="31" t="s">
        <v>10</v>
      </c>
      <c r="I423" s="31" t="s">
        <v>11</v>
      </c>
      <c r="J423" s="30" t="s">
        <v>7</v>
      </c>
      <c r="K423" s="33" t="s">
        <v>479</v>
      </c>
      <c r="L423" s="34">
        <v>46107.75341474537</v>
      </c>
      <c r="M423" s="17" t="b">
        <v>0</v>
      </c>
      <c r="N423" s="6" t="s">
        <v>658</v>
      </c>
    </row>
    <row r="424" spans="1:14" ht="408.95" customHeight="1" x14ac:dyDescent="0.25">
      <c r="A424" s="35">
        <v>3</v>
      </c>
      <c r="B424" s="36" t="s">
        <v>44</v>
      </c>
      <c r="C424" s="37" t="s">
        <v>1</v>
      </c>
      <c r="D424" s="38" t="b">
        <v>1</v>
      </c>
      <c r="E424" s="36" t="s">
        <v>2</v>
      </c>
      <c r="F424" s="37" t="s">
        <v>3</v>
      </c>
      <c r="G424" s="37" t="s">
        <v>13</v>
      </c>
      <c r="H424" s="37" t="s">
        <v>14</v>
      </c>
      <c r="I424" s="37" t="s">
        <v>15</v>
      </c>
      <c r="J424" s="36" t="s">
        <v>7</v>
      </c>
      <c r="K424" s="39" t="s">
        <v>480</v>
      </c>
      <c r="L424" s="40">
        <v>46107.753693796294</v>
      </c>
      <c r="M424" s="18" t="b">
        <v>1</v>
      </c>
      <c r="N424" s="7" t="s">
        <v>659</v>
      </c>
    </row>
    <row r="425" spans="1:14" ht="408.95" customHeight="1" x14ac:dyDescent="0.25">
      <c r="A425" s="29">
        <v>3</v>
      </c>
      <c r="B425" s="30" t="s">
        <v>44</v>
      </c>
      <c r="C425" s="31" t="s">
        <v>1</v>
      </c>
      <c r="D425" s="32" t="b">
        <v>1</v>
      </c>
      <c r="E425" s="30" t="s">
        <v>2</v>
      </c>
      <c r="F425" s="31" t="s">
        <v>3</v>
      </c>
      <c r="G425" s="31" t="s">
        <v>17</v>
      </c>
      <c r="H425" s="31" t="s">
        <v>18</v>
      </c>
      <c r="I425" s="31" t="s">
        <v>19</v>
      </c>
      <c r="J425" s="30" t="s">
        <v>7</v>
      </c>
      <c r="K425" s="33" t="s">
        <v>481</v>
      </c>
      <c r="L425" s="34">
        <v>46107.753804826389</v>
      </c>
      <c r="M425" s="16" t="b">
        <v>1</v>
      </c>
      <c r="N425" s="8" t="s">
        <v>659</v>
      </c>
    </row>
    <row r="426" spans="1:14" ht="408.95" customHeight="1" x14ac:dyDescent="0.25">
      <c r="A426" s="35">
        <v>3</v>
      </c>
      <c r="B426" s="36" t="s">
        <v>44</v>
      </c>
      <c r="C426" s="37" t="s">
        <v>1</v>
      </c>
      <c r="D426" s="38" t="b">
        <v>1</v>
      </c>
      <c r="E426" s="36" t="s">
        <v>2</v>
      </c>
      <c r="F426" s="37" t="s">
        <v>3</v>
      </c>
      <c r="G426" s="37" t="s">
        <v>21</v>
      </c>
      <c r="H426" s="37" t="s">
        <v>22</v>
      </c>
      <c r="I426" s="37" t="s">
        <v>23</v>
      </c>
      <c r="J426" s="36" t="s">
        <v>7</v>
      </c>
      <c r="K426" s="39" t="s">
        <v>482</v>
      </c>
      <c r="L426" s="40">
        <v>46107.754095555552</v>
      </c>
      <c r="M426" s="18" t="b">
        <v>1</v>
      </c>
      <c r="N426" s="7" t="s">
        <v>659</v>
      </c>
    </row>
    <row r="427" spans="1:14" ht="408.95" customHeight="1" x14ac:dyDescent="0.25">
      <c r="A427" s="29">
        <v>3</v>
      </c>
      <c r="B427" s="30" t="s">
        <v>44</v>
      </c>
      <c r="C427" s="31" t="s">
        <v>1</v>
      </c>
      <c r="D427" s="32" t="b">
        <v>1</v>
      </c>
      <c r="E427" s="30" t="s">
        <v>2</v>
      </c>
      <c r="F427" s="31" t="s">
        <v>25</v>
      </c>
      <c r="G427" s="31" t="s">
        <v>4</v>
      </c>
      <c r="H427" s="31" t="s">
        <v>5</v>
      </c>
      <c r="I427" s="31" t="s">
        <v>6</v>
      </c>
      <c r="J427" s="30" t="s">
        <v>7</v>
      </c>
      <c r="K427" s="33" t="s">
        <v>483</v>
      </c>
      <c r="L427" s="34">
        <v>46107.754285844909</v>
      </c>
      <c r="M427" s="16" t="b">
        <v>1</v>
      </c>
      <c r="N427" s="8" t="s">
        <v>659</v>
      </c>
    </row>
    <row r="428" spans="1:14" ht="408.95" customHeight="1" x14ac:dyDescent="0.25">
      <c r="A428" s="35">
        <v>3</v>
      </c>
      <c r="B428" s="36" t="s">
        <v>44</v>
      </c>
      <c r="C428" s="37" t="s">
        <v>1</v>
      </c>
      <c r="D428" s="38" t="b">
        <v>1</v>
      </c>
      <c r="E428" s="36" t="s">
        <v>2</v>
      </c>
      <c r="F428" s="37" t="s">
        <v>25</v>
      </c>
      <c r="G428" s="37" t="s">
        <v>9</v>
      </c>
      <c r="H428" s="37" t="s">
        <v>10</v>
      </c>
      <c r="I428" s="37" t="s">
        <v>11</v>
      </c>
      <c r="J428" s="36" t="s">
        <v>7</v>
      </c>
      <c r="K428" s="39" t="s">
        <v>484</v>
      </c>
      <c r="L428" s="40">
        <v>46107.754436608797</v>
      </c>
      <c r="M428" s="18" t="b">
        <v>1</v>
      </c>
      <c r="N428" s="7" t="s">
        <v>659</v>
      </c>
    </row>
    <row r="429" spans="1:14" ht="408.95" customHeight="1" x14ac:dyDescent="0.25">
      <c r="A429" s="29">
        <v>3</v>
      </c>
      <c r="B429" s="30" t="s">
        <v>44</v>
      </c>
      <c r="C429" s="31" t="s">
        <v>1</v>
      </c>
      <c r="D429" s="32" t="b">
        <v>1</v>
      </c>
      <c r="E429" s="30" t="s">
        <v>2</v>
      </c>
      <c r="F429" s="31" t="s">
        <v>25</v>
      </c>
      <c r="G429" s="31" t="s">
        <v>13</v>
      </c>
      <c r="H429" s="31" t="s">
        <v>14</v>
      </c>
      <c r="I429" s="31" t="s">
        <v>15</v>
      </c>
      <c r="J429" s="30" t="s">
        <v>7</v>
      </c>
      <c r="K429" s="33" t="s">
        <v>485</v>
      </c>
      <c r="L429" s="34">
        <v>46107.754623877314</v>
      </c>
      <c r="M429" s="16" t="b">
        <v>1</v>
      </c>
      <c r="N429" s="8" t="s">
        <v>659</v>
      </c>
    </row>
    <row r="430" spans="1:14" ht="408.95" customHeight="1" x14ac:dyDescent="0.25">
      <c r="A430" s="35">
        <v>3</v>
      </c>
      <c r="B430" s="36" t="s">
        <v>44</v>
      </c>
      <c r="C430" s="37" t="s">
        <v>1</v>
      </c>
      <c r="D430" s="38" t="b">
        <v>1</v>
      </c>
      <c r="E430" s="36" t="s">
        <v>2</v>
      </c>
      <c r="F430" s="37" t="s">
        <v>25</v>
      </c>
      <c r="G430" s="37" t="s">
        <v>17</v>
      </c>
      <c r="H430" s="37" t="s">
        <v>18</v>
      </c>
      <c r="I430" s="37" t="s">
        <v>19</v>
      </c>
      <c r="J430" s="36" t="s">
        <v>7</v>
      </c>
      <c r="K430" s="39" t="s">
        <v>486</v>
      </c>
      <c r="L430" s="40">
        <v>46107.754694722222</v>
      </c>
      <c r="M430" s="18" t="b">
        <v>1</v>
      </c>
      <c r="N430" s="7" t="s">
        <v>659</v>
      </c>
    </row>
    <row r="431" spans="1:14" ht="408.95" customHeight="1" x14ac:dyDescent="0.25">
      <c r="A431" s="29">
        <v>3</v>
      </c>
      <c r="B431" s="30" t="s">
        <v>44</v>
      </c>
      <c r="C431" s="31" t="s">
        <v>1</v>
      </c>
      <c r="D431" s="32" t="b">
        <v>1</v>
      </c>
      <c r="E431" s="30" t="s">
        <v>2</v>
      </c>
      <c r="F431" s="31" t="s">
        <v>25</v>
      </c>
      <c r="G431" s="31" t="s">
        <v>21</v>
      </c>
      <c r="H431" s="31" t="s">
        <v>22</v>
      </c>
      <c r="I431" s="31" t="s">
        <v>23</v>
      </c>
      <c r="J431" s="30" t="s">
        <v>7</v>
      </c>
      <c r="K431" s="33" t="s">
        <v>487</v>
      </c>
      <c r="L431" s="34">
        <v>46107.754842569448</v>
      </c>
      <c r="M431" s="16" t="b">
        <v>1</v>
      </c>
      <c r="N431" s="8" t="s">
        <v>659</v>
      </c>
    </row>
    <row r="432" spans="1:14" ht="408.95" customHeight="1" x14ac:dyDescent="0.25">
      <c r="A432" s="35">
        <v>3</v>
      </c>
      <c r="B432" s="36" t="s">
        <v>55</v>
      </c>
      <c r="C432" s="37" t="s">
        <v>32</v>
      </c>
      <c r="D432" s="41" t="b">
        <v>0</v>
      </c>
      <c r="E432" s="36" t="s">
        <v>33</v>
      </c>
      <c r="F432" s="37" t="s">
        <v>3</v>
      </c>
      <c r="G432" s="37" t="s">
        <v>4</v>
      </c>
      <c r="H432" s="37" t="s">
        <v>5</v>
      </c>
      <c r="I432" s="37" t="s">
        <v>6</v>
      </c>
      <c r="J432" s="36" t="s">
        <v>7</v>
      </c>
      <c r="K432" s="39" t="s">
        <v>488</v>
      </c>
      <c r="L432" s="40">
        <v>46107.755068101855</v>
      </c>
      <c r="M432" s="19" t="b">
        <v>0</v>
      </c>
      <c r="N432" s="9" t="s">
        <v>660</v>
      </c>
    </row>
    <row r="433" spans="1:14" ht="408.95" customHeight="1" x14ac:dyDescent="0.25">
      <c r="A433" s="29">
        <v>3</v>
      </c>
      <c r="B433" s="30" t="s">
        <v>55</v>
      </c>
      <c r="C433" s="31" t="s">
        <v>32</v>
      </c>
      <c r="D433" s="42" t="b">
        <v>0</v>
      </c>
      <c r="E433" s="30" t="s">
        <v>33</v>
      </c>
      <c r="F433" s="31" t="s">
        <v>3</v>
      </c>
      <c r="G433" s="31" t="s">
        <v>9</v>
      </c>
      <c r="H433" s="31" t="s">
        <v>10</v>
      </c>
      <c r="I433" s="31" t="s">
        <v>11</v>
      </c>
      <c r="J433" s="30" t="s">
        <v>7</v>
      </c>
      <c r="K433" s="33" t="s">
        <v>489</v>
      </c>
      <c r="L433" s="34">
        <v>46107.755311157409</v>
      </c>
      <c r="M433" s="17" t="b">
        <v>0</v>
      </c>
      <c r="N433" s="10" t="s">
        <v>660</v>
      </c>
    </row>
    <row r="434" spans="1:14" ht="408.95" customHeight="1" x14ac:dyDescent="0.25">
      <c r="A434" s="35">
        <v>3</v>
      </c>
      <c r="B434" s="36" t="s">
        <v>55</v>
      </c>
      <c r="C434" s="37" t="s">
        <v>32</v>
      </c>
      <c r="D434" s="41" t="b">
        <v>0</v>
      </c>
      <c r="E434" s="36" t="s">
        <v>33</v>
      </c>
      <c r="F434" s="37" t="s">
        <v>3</v>
      </c>
      <c r="G434" s="37" t="s">
        <v>13</v>
      </c>
      <c r="H434" s="37" t="s">
        <v>14</v>
      </c>
      <c r="I434" s="37" t="s">
        <v>15</v>
      </c>
      <c r="J434" s="36" t="s">
        <v>7</v>
      </c>
      <c r="K434" s="39" t="s">
        <v>490</v>
      </c>
      <c r="L434" s="40">
        <v>46107.755645393518</v>
      </c>
      <c r="M434" s="19" t="b">
        <v>0</v>
      </c>
      <c r="N434" s="9" t="s">
        <v>660</v>
      </c>
    </row>
    <row r="435" spans="1:14" ht="408.95" customHeight="1" x14ac:dyDescent="0.25">
      <c r="A435" s="29">
        <v>3</v>
      </c>
      <c r="B435" s="30" t="s">
        <v>55</v>
      </c>
      <c r="C435" s="31" t="s">
        <v>32</v>
      </c>
      <c r="D435" s="42" t="b">
        <v>0</v>
      </c>
      <c r="E435" s="30" t="s">
        <v>33</v>
      </c>
      <c r="F435" s="31" t="s">
        <v>3</v>
      </c>
      <c r="G435" s="31" t="s">
        <v>17</v>
      </c>
      <c r="H435" s="31" t="s">
        <v>18</v>
      </c>
      <c r="I435" s="31" t="s">
        <v>19</v>
      </c>
      <c r="J435" s="30" t="s">
        <v>7</v>
      </c>
      <c r="K435" s="33" t="s">
        <v>491</v>
      </c>
      <c r="L435" s="34">
        <v>46107.755754479163</v>
      </c>
      <c r="M435" s="17" t="b">
        <v>0</v>
      </c>
      <c r="N435" s="10" t="s">
        <v>660</v>
      </c>
    </row>
    <row r="436" spans="1:14" ht="408.95" customHeight="1" x14ac:dyDescent="0.25">
      <c r="A436" s="35">
        <v>3</v>
      </c>
      <c r="B436" s="36" t="s">
        <v>55</v>
      </c>
      <c r="C436" s="37" t="s">
        <v>32</v>
      </c>
      <c r="D436" s="41" t="b">
        <v>0</v>
      </c>
      <c r="E436" s="36" t="s">
        <v>33</v>
      </c>
      <c r="F436" s="37" t="s">
        <v>3</v>
      </c>
      <c r="G436" s="37" t="s">
        <v>21</v>
      </c>
      <c r="H436" s="37" t="s">
        <v>22</v>
      </c>
      <c r="I436" s="37" t="s">
        <v>23</v>
      </c>
      <c r="J436" s="36" t="s">
        <v>7</v>
      </c>
      <c r="K436" s="39" t="s">
        <v>492</v>
      </c>
      <c r="L436" s="40">
        <v>46107.756030613426</v>
      </c>
      <c r="M436" s="19" t="b">
        <v>0</v>
      </c>
      <c r="N436" s="9" t="s">
        <v>660</v>
      </c>
    </row>
    <row r="437" spans="1:14" ht="408.95" customHeight="1" x14ac:dyDescent="0.25">
      <c r="A437" s="29">
        <v>3</v>
      </c>
      <c r="B437" s="30" t="s">
        <v>55</v>
      </c>
      <c r="C437" s="31" t="s">
        <v>32</v>
      </c>
      <c r="D437" s="42" t="b">
        <v>0</v>
      </c>
      <c r="E437" s="30" t="s">
        <v>33</v>
      </c>
      <c r="F437" s="31" t="s">
        <v>25</v>
      </c>
      <c r="G437" s="31" t="s">
        <v>4</v>
      </c>
      <c r="H437" s="31" t="s">
        <v>5</v>
      </c>
      <c r="I437" s="31" t="s">
        <v>6</v>
      </c>
      <c r="J437" s="30" t="s">
        <v>7</v>
      </c>
      <c r="K437" s="33" t="s">
        <v>493</v>
      </c>
      <c r="L437" s="34">
        <v>46107.756327581017</v>
      </c>
      <c r="M437" s="17" t="b">
        <v>0</v>
      </c>
      <c r="N437" s="10" t="s">
        <v>660</v>
      </c>
    </row>
    <row r="438" spans="1:14" ht="408.95" customHeight="1" x14ac:dyDescent="0.25">
      <c r="A438" s="35">
        <v>3</v>
      </c>
      <c r="B438" s="36" t="s">
        <v>55</v>
      </c>
      <c r="C438" s="37" t="s">
        <v>32</v>
      </c>
      <c r="D438" s="41" t="b">
        <v>0</v>
      </c>
      <c r="E438" s="36" t="s">
        <v>33</v>
      </c>
      <c r="F438" s="37" t="s">
        <v>25</v>
      </c>
      <c r="G438" s="37" t="s">
        <v>9</v>
      </c>
      <c r="H438" s="37" t="s">
        <v>10</v>
      </c>
      <c r="I438" s="37" t="s">
        <v>11</v>
      </c>
      <c r="J438" s="36" t="s">
        <v>7</v>
      </c>
      <c r="K438" s="39" t="s">
        <v>494</v>
      </c>
      <c r="L438" s="40">
        <v>46107.756474062502</v>
      </c>
      <c r="M438" s="19" t="b">
        <v>0</v>
      </c>
      <c r="N438" s="9" t="s">
        <v>660</v>
      </c>
    </row>
    <row r="439" spans="1:14" ht="408.95" customHeight="1" x14ac:dyDescent="0.25">
      <c r="A439" s="29">
        <v>3</v>
      </c>
      <c r="B439" s="30" t="s">
        <v>55</v>
      </c>
      <c r="C439" s="31" t="s">
        <v>32</v>
      </c>
      <c r="D439" s="42" t="b">
        <v>0</v>
      </c>
      <c r="E439" s="30" t="s">
        <v>33</v>
      </c>
      <c r="F439" s="31" t="s">
        <v>25</v>
      </c>
      <c r="G439" s="31" t="s">
        <v>13</v>
      </c>
      <c r="H439" s="31" t="s">
        <v>14</v>
      </c>
      <c r="I439" s="31" t="s">
        <v>15</v>
      </c>
      <c r="J439" s="30" t="s">
        <v>7</v>
      </c>
      <c r="K439" s="33" t="s">
        <v>495</v>
      </c>
      <c r="L439" s="34">
        <v>46107.75665664352</v>
      </c>
      <c r="M439" s="17" t="b">
        <v>0</v>
      </c>
      <c r="N439" s="10" t="s">
        <v>660</v>
      </c>
    </row>
    <row r="440" spans="1:14" ht="408.95" customHeight="1" x14ac:dyDescent="0.25">
      <c r="A440" s="35">
        <v>3</v>
      </c>
      <c r="B440" s="36" t="s">
        <v>55</v>
      </c>
      <c r="C440" s="37" t="s">
        <v>32</v>
      </c>
      <c r="D440" s="41" t="b">
        <v>0</v>
      </c>
      <c r="E440" s="36" t="s">
        <v>33</v>
      </c>
      <c r="F440" s="37" t="s">
        <v>25</v>
      </c>
      <c r="G440" s="37" t="s">
        <v>17</v>
      </c>
      <c r="H440" s="37" t="s">
        <v>18</v>
      </c>
      <c r="I440" s="37" t="s">
        <v>19</v>
      </c>
      <c r="J440" s="36" t="s">
        <v>7</v>
      </c>
      <c r="K440" s="39" t="s">
        <v>496</v>
      </c>
      <c r="L440" s="40">
        <v>46107.756719398145</v>
      </c>
      <c r="M440" s="19" t="b">
        <v>0</v>
      </c>
      <c r="N440" s="9" t="s">
        <v>660</v>
      </c>
    </row>
    <row r="441" spans="1:14" ht="408.95" customHeight="1" x14ac:dyDescent="0.25">
      <c r="A441" s="29">
        <v>3</v>
      </c>
      <c r="B441" s="30" t="s">
        <v>55</v>
      </c>
      <c r="C441" s="31" t="s">
        <v>32</v>
      </c>
      <c r="D441" s="42" t="b">
        <v>0</v>
      </c>
      <c r="E441" s="30" t="s">
        <v>33</v>
      </c>
      <c r="F441" s="31" t="s">
        <v>25</v>
      </c>
      <c r="G441" s="31" t="s">
        <v>21</v>
      </c>
      <c r="H441" s="31" t="s">
        <v>22</v>
      </c>
      <c r="I441" s="31" t="s">
        <v>23</v>
      </c>
      <c r="J441" s="30" t="s">
        <v>7</v>
      </c>
      <c r="K441" s="33" t="s">
        <v>497</v>
      </c>
      <c r="L441" s="34">
        <v>46107.756829965278</v>
      </c>
      <c r="M441" s="17" t="b">
        <v>0</v>
      </c>
      <c r="N441" s="10" t="s">
        <v>660</v>
      </c>
    </row>
    <row r="442" spans="1:14" ht="408.95" customHeight="1" x14ac:dyDescent="0.25">
      <c r="A442" s="35">
        <v>3</v>
      </c>
      <c r="B442" s="36" t="s">
        <v>66</v>
      </c>
      <c r="C442" s="37" t="s">
        <v>67</v>
      </c>
      <c r="D442" s="38" t="b">
        <v>1</v>
      </c>
      <c r="E442" s="36" t="s">
        <v>68</v>
      </c>
      <c r="F442" s="37" t="s">
        <v>3</v>
      </c>
      <c r="G442" s="37" t="s">
        <v>4</v>
      </c>
      <c r="H442" s="37" t="s">
        <v>5</v>
      </c>
      <c r="I442" s="37" t="s">
        <v>6</v>
      </c>
      <c r="J442" s="36" t="s">
        <v>7</v>
      </c>
      <c r="K442" s="39" t="s">
        <v>498</v>
      </c>
      <c r="L442" s="40">
        <v>46107.757090231484</v>
      </c>
      <c r="M442" s="19" t="b">
        <v>0</v>
      </c>
      <c r="N442" s="11" t="s">
        <v>658</v>
      </c>
    </row>
    <row r="443" spans="1:14" ht="408.95" customHeight="1" x14ac:dyDescent="0.25">
      <c r="A443" s="29">
        <v>3</v>
      </c>
      <c r="B443" s="30" t="s">
        <v>66</v>
      </c>
      <c r="C443" s="31" t="s">
        <v>67</v>
      </c>
      <c r="D443" s="32" t="b">
        <v>1</v>
      </c>
      <c r="E443" s="30" t="s">
        <v>68</v>
      </c>
      <c r="F443" s="31" t="s">
        <v>3</v>
      </c>
      <c r="G443" s="31" t="s">
        <v>9</v>
      </c>
      <c r="H443" s="31" t="s">
        <v>10</v>
      </c>
      <c r="I443" s="31" t="s">
        <v>11</v>
      </c>
      <c r="J443" s="30" t="s">
        <v>7</v>
      </c>
      <c r="K443" s="33" t="s">
        <v>499</v>
      </c>
      <c r="L443" s="34">
        <v>46107.75733241898</v>
      </c>
      <c r="M443" s="16" t="b">
        <v>1</v>
      </c>
      <c r="N443" s="8" t="s">
        <v>659</v>
      </c>
    </row>
    <row r="444" spans="1:14" ht="408.95" customHeight="1" x14ac:dyDescent="0.25">
      <c r="A444" s="35">
        <v>3</v>
      </c>
      <c r="B444" s="36" t="s">
        <v>66</v>
      </c>
      <c r="C444" s="37" t="s">
        <v>67</v>
      </c>
      <c r="D444" s="38" t="b">
        <v>1</v>
      </c>
      <c r="E444" s="36" t="s">
        <v>68</v>
      </c>
      <c r="F444" s="37" t="s">
        <v>3</v>
      </c>
      <c r="G444" s="37" t="s">
        <v>13</v>
      </c>
      <c r="H444" s="37" t="s">
        <v>14</v>
      </c>
      <c r="I444" s="37" t="s">
        <v>15</v>
      </c>
      <c r="J444" s="36" t="s">
        <v>7</v>
      </c>
      <c r="K444" s="39" t="s">
        <v>500</v>
      </c>
      <c r="L444" s="40">
        <v>46107.757594513889</v>
      </c>
      <c r="M444" s="18" t="b">
        <v>1</v>
      </c>
      <c r="N444" s="7" t="s">
        <v>659</v>
      </c>
    </row>
    <row r="445" spans="1:14" ht="408.95" customHeight="1" x14ac:dyDescent="0.25">
      <c r="A445" s="29">
        <v>3</v>
      </c>
      <c r="B445" s="30" t="s">
        <v>66</v>
      </c>
      <c r="C445" s="31" t="s">
        <v>67</v>
      </c>
      <c r="D445" s="32" t="b">
        <v>1</v>
      </c>
      <c r="E445" s="30" t="s">
        <v>68</v>
      </c>
      <c r="F445" s="31" t="s">
        <v>3</v>
      </c>
      <c r="G445" s="31" t="s">
        <v>17</v>
      </c>
      <c r="H445" s="31" t="s">
        <v>18</v>
      </c>
      <c r="I445" s="31" t="s">
        <v>19</v>
      </c>
      <c r="J445" s="30" t="s">
        <v>7</v>
      </c>
      <c r="K445" s="33" t="s">
        <v>501</v>
      </c>
      <c r="L445" s="34">
        <v>46107.757706053242</v>
      </c>
      <c r="M445" s="16" t="b">
        <v>1</v>
      </c>
      <c r="N445" s="8" t="s">
        <v>659</v>
      </c>
    </row>
    <row r="446" spans="1:14" ht="408.95" customHeight="1" x14ac:dyDescent="0.25">
      <c r="A446" s="35">
        <v>3</v>
      </c>
      <c r="B446" s="36" t="s">
        <v>66</v>
      </c>
      <c r="C446" s="37" t="s">
        <v>67</v>
      </c>
      <c r="D446" s="38" t="b">
        <v>1</v>
      </c>
      <c r="E446" s="36" t="s">
        <v>68</v>
      </c>
      <c r="F446" s="37" t="s">
        <v>3</v>
      </c>
      <c r="G446" s="37" t="s">
        <v>21</v>
      </c>
      <c r="H446" s="37" t="s">
        <v>22</v>
      </c>
      <c r="I446" s="37" t="s">
        <v>23</v>
      </c>
      <c r="J446" s="36" t="s">
        <v>7</v>
      </c>
      <c r="K446" s="39" t="s">
        <v>502</v>
      </c>
      <c r="L446" s="40">
        <v>46107.758016689811</v>
      </c>
      <c r="M446" s="18" t="b">
        <v>1</v>
      </c>
      <c r="N446" s="7" t="s">
        <v>659</v>
      </c>
    </row>
    <row r="447" spans="1:14" ht="408.95" customHeight="1" x14ac:dyDescent="0.25">
      <c r="A447" s="29">
        <v>3</v>
      </c>
      <c r="B447" s="30" t="s">
        <v>66</v>
      </c>
      <c r="C447" s="31" t="s">
        <v>67</v>
      </c>
      <c r="D447" s="32" t="b">
        <v>1</v>
      </c>
      <c r="E447" s="30" t="s">
        <v>68</v>
      </c>
      <c r="F447" s="31" t="s">
        <v>25</v>
      </c>
      <c r="G447" s="31" t="s">
        <v>4</v>
      </c>
      <c r="H447" s="31" t="s">
        <v>5</v>
      </c>
      <c r="I447" s="31" t="s">
        <v>6</v>
      </c>
      <c r="J447" s="30" t="s">
        <v>7</v>
      </c>
      <c r="K447" s="33" t="s">
        <v>503</v>
      </c>
      <c r="L447" s="34">
        <v>46107.758182141202</v>
      </c>
      <c r="M447" s="16" t="b">
        <v>1</v>
      </c>
      <c r="N447" s="8" t="s">
        <v>659</v>
      </c>
    </row>
    <row r="448" spans="1:14" ht="408.95" customHeight="1" x14ac:dyDescent="0.25">
      <c r="A448" s="35">
        <v>3</v>
      </c>
      <c r="B448" s="36" t="s">
        <v>66</v>
      </c>
      <c r="C448" s="37" t="s">
        <v>67</v>
      </c>
      <c r="D448" s="38" t="b">
        <v>1</v>
      </c>
      <c r="E448" s="36" t="s">
        <v>68</v>
      </c>
      <c r="F448" s="37" t="s">
        <v>25</v>
      </c>
      <c r="G448" s="37" t="s">
        <v>9</v>
      </c>
      <c r="H448" s="37" t="s">
        <v>10</v>
      </c>
      <c r="I448" s="37" t="s">
        <v>11</v>
      </c>
      <c r="J448" s="36" t="s">
        <v>7</v>
      </c>
      <c r="K448" s="39" t="s">
        <v>504</v>
      </c>
      <c r="L448" s="40">
        <v>46107.758321388887</v>
      </c>
      <c r="M448" s="18" t="b">
        <v>1</v>
      </c>
      <c r="N448" s="7" t="s">
        <v>659</v>
      </c>
    </row>
    <row r="449" spans="1:14" ht="408.95" customHeight="1" x14ac:dyDescent="0.25">
      <c r="A449" s="29">
        <v>3</v>
      </c>
      <c r="B449" s="30" t="s">
        <v>66</v>
      </c>
      <c r="C449" s="31" t="s">
        <v>67</v>
      </c>
      <c r="D449" s="32" t="b">
        <v>1</v>
      </c>
      <c r="E449" s="30" t="s">
        <v>68</v>
      </c>
      <c r="F449" s="31" t="s">
        <v>25</v>
      </c>
      <c r="G449" s="31" t="s">
        <v>13</v>
      </c>
      <c r="H449" s="31" t="s">
        <v>14</v>
      </c>
      <c r="I449" s="31" t="s">
        <v>15</v>
      </c>
      <c r="J449" s="30" t="s">
        <v>7</v>
      </c>
      <c r="K449" s="33" t="s">
        <v>505</v>
      </c>
      <c r="L449" s="34">
        <v>46107.758520000003</v>
      </c>
      <c r="M449" s="16" t="b">
        <v>1</v>
      </c>
      <c r="N449" s="8" t="s">
        <v>659</v>
      </c>
    </row>
    <row r="450" spans="1:14" ht="408.95" customHeight="1" x14ac:dyDescent="0.25">
      <c r="A450" s="35">
        <v>3</v>
      </c>
      <c r="B450" s="36" t="s">
        <v>66</v>
      </c>
      <c r="C450" s="37" t="s">
        <v>67</v>
      </c>
      <c r="D450" s="38" t="b">
        <v>1</v>
      </c>
      <c r="E450" s="36" t="s">
        <v>68</v>
      </c>
      <c r="F450" s="37" t="s">
        <v>25</v>
      </c>
      <c r="G450" s="37" t="s">
        <v>17</v>
      </c>
      <c r="H450" s="37" t="s">
        <v>18</v>
      </c>
      <c r="I450" s="37" t="s">
        <v>19</v>
      </c>
      <c r="J450" s="36" t="s">
        <v>7</v>
      </c>
      <c r="K450" s="39" t="s">
        <v>506</v>
      </c>
      <c r="L450" s="40">
        <v>46107.758594108796</v>
      </c>
      <c r="M450" s="18" t="b">
        <v>1</v>
      </c>
      <c r="N450" s="7" t="s">
        <v>659</v>
      </c>
    </row>
    <row r="451" spans="1:14" ht="408.95" customHeight="1" x14ac:dyDescent="0.25">
      <c r="A451" s="29">
        <v>3</v>
      </c>
      <c r="B451" s="30" t="s">
        <v>66</v>
      </c>
      <c r="C451" s="31" t="s">
        <v>67</v>
      </c>
      <c r="D451" s="32" t="b">
        <v>1</v>
      </c>
      <c r="E451" s="30" t="s">
        <v>68</v>
      </c>
      <c r="F451" s="31" t="s">
        <v>25</v>
      </c>
      <c r="G451" s="31" t="s">
        <v>21</v>
      </c>
      <c r="H451" s="31" t="s">
        <v>22</v>
      </c>
      <c r="I451" s="31" t="s">
        <v>23</v>
      </c>
      <c r="J451" s="30" t="s">
        <v>7</v>
      </c>
      <c r="K451" s="33" t="s">
        <v>507</v>
      </c>
      <c r="L451" s="34">
        <v>46107.758736793985</v>
      </c>
      <c r="M451" s="16" t="b">
        <v>1</v>
      </c>
      <c r="N451" s="8" t="s">
        <v>659</v>
      </c>
    </row>
    <row r="452" spans="1:14" ht="408.95" customHeight="1" x14ac:dyDescent="0.25">
      <c r="A452" s="35">
        <v>3</v>
      </c>
      <c r="B452" s="36" t="s">
        <v>79</v>
      </c>
      <c r="C452" s="37" t="s">
        <v>80</v>
      </c>
      <c r="D452" s="41" t="b">
        <v>0</v>
      </c>
      <c r="E452" s="36" t="s">
        <v>33</v>
      </c>
      <c r="F452" s="37" t="s">
        <v>3</v>
      </c>
      <c r="G452" s="37" t="s">
        <v>4</v>
      </c>
      <c r="H452" s="37" t="s">
        <v>5</v>
      </c>
      <c r="I452" s="37" t="s">
        <v>6</v>
      </c>
      <c r="J452" s="36" t="s">
        <v>7</v>
      </c>
      <c r="K452" s="39" t="s">
        <v>508</v>
      </c>
      <c r="L452" s="40">
        <v>46107.758957407408</v>
      </c>
      <c r="M452" s="19" t="b">
        <v>0</v>
      </c>
      <c r="N452" s="9" t="s">
        <v>660</v>
      </c>
    </row>
    <row r="453" spans="1:14" ht="408.95" customHeight="1" x14ac:dyDescent="0.25">
      <c r="A453" s="29">
        <v>3</v>
      </c>
      <c r="B453" s="30" t="s">
        <v>79</v>
      </c>
      <c r="C453" s="31" t="s">
        <v>80</v>
      </c>
      <c r="D453" s="42" t="b">
        <v>0</v>
      </c>
      <c r="E453" s="30" t="s">
        <v>33</v>
      </c>
      <c r="F453" s="31" t="s">
        <v>3</v>
      </c>
      <c r="G453" s="31" t="s">
        <v>9</v>
      </c>
      <c r="H453" s="31" t="s">
        <v>10</v>
      </c>
      <c r="I453" s="31" t="s">
        <v>11</v>
      </c>
      <c r="J453" s="30" t="s">
        <v>7</v>
      </c>
      <c r="K453" s="33" t="s">
        <v>509</v>
      </c>
      <c r="L453" s="34">
        <v>46107.759209594908</v>
      </c>
      <c r="M453" s="17" t="b">
        <v>0</v>
      </c>
      <c r="N453" s="10" t="s">
        <v>660</v>
      </c>
    </row>
    <row r="454" spans="1:14" ht="408.95" customHeight="1" x14ac:dyDescent="0.25">
      <c r="A454" s="35">
        <v>3</v>
      </c>
      <c r="B454" s="36" t="s">
        <v>79</v>
      </c>
      <c r="C454" s="37" t="s">
        <v>80</v>
      </c>
      <c r="D454" s="41" t="b">
        <v>0</v>
      </c>
      <c r="E454" s="36" t="s">
        <v>33</v>
      </c>
      <c r="F454" s="37" t="s">
        <v>3</v>
      </c>
      <c r="G454" s="37" t="s">
        <v>13</v>
      </c>
      <c r="H454" s="37" t="s">
        <v>14</v>
      </c>
      <c r="I454" s="37" t="s">
        <v>15</v>
      </c>
      <c r="J454" s="36" t="s">
        <v>7</v>
      </c>
      <c r="K454" s="39" t="s">
        <v>510</v>
      </c>
      <c r="L454" s="40">
        <v>46107.759562719904</v>
      </c>
      <c r="M454" s="19" t="b">
        <v>0</v>
      </c>
      <c r="N454" s="9" t="s">
        <v>660</v>
      </c>
    </row>
    <row r="455" spans="1:14" ht="408.95" customHeight="1" x14ac:dyDescent="0.25">
      <c r="A455" s="29">
        <v>3</v>
      </c>
      <c r="B455" s="30" t="s">
        <v>79</v>
      </c>
      <c r="C455" s="31" t="s">
        <v>80</v>
      </c>
      <c r="D455" s="42" t="b">
        <v>0</v>
      </c>
      <c r="E455" s="30" t="s">
        <v>33</v>
      </c>
      <c r="F455" s="31" t="s">
        <v>3</v>
      </c>
      <c r="G455" s="31" t="s">
        <v>17</v>
      </c>
      <c r="H455" s="31" t="s">
        <v>18</v>
      </c>
      <c r="I455" s="31" t="s">
        <v>19</v>
      </c>
      <c r="J455" s="30" t="s">
        <v>7</v>
      </c>
      <c r="K455" s="33" t="s">
        <v>511</v>
      </c>
      <c r="L455" s="34">
        <v>46107.759660625001</v>
      </c>
      <c r="M455" s="16" t="b">
        <v>1</v>
      </c>
      <c r="N455" s="12" t="s">
        <v>661</v>
      </c>
    </row>
    <row r="456" spans="1:14" ht="408.95" customHeight="1" x14ac:dyDescent="0.25">
      <c r="A456" s="35">
        <v>3</v>
      </c>
      <c r="B456" s="36" t="s">
        <v>79</v>
      </c>
      <c r="C456" s="37" t="s">
        <v>80</v>
      </c>
      <c r="D456" s="41" t="b">
        <v>0</v>
      </c>
      <c r="E456" s="36" t="s">
        <v>33</v>
      </c>
      <c r="F456" s="37" t="s">
        <v>3</v>
      </c>
      <c r="G456" s="37" t="s">
        <v>21</v>
      </c>
      <c r="H456" s="37" t="s">
        <v>22</v>
      </c>
      <c r="I456" s="37" t="s">
        <v>23</v>
      </c>
      <c r="J456" s="36" t="s">
        <v>7</v>
      </c>
      <c r="K456" s="39" t="s">
        <v>512</v>
      </c>
      <c r="L456" s="40">
        <v>46107.759935694441</v>
      </c>
      <c r="M456" s="19" t="b">
        <v>0</v>
      </c>
      <c r="N456" s="9" t="s">
        <v>660</v>
      </c>
    </row>
    <row r="457" spans="1:14" ht="408.95" customHeight="1" x14ac:dyDescent="0.25">
      <c r="A457" s="29">
        <v>3</v>
      </c>
      <c r="B457" s="30" t="s">
        <v>79</v>
      </c>
      <c r="C457" s="31" t="s">
        <v>80</v>
      </c>
      <c r="D457" s="42" t="b">
        <v>0</v>
      </c>
      <c r="E457" s="30" t="s">
        <v>33</v>
      </c>
      <c r="F457" s="31" t="s">
        <v>25</v>
      </c>
      <c r="G457" s="31" t="s">
        <v>4</v>
      </c>
      <c r="H457" s="31" t="s">
        <v>5</v>
      </c>
      <c r="I457" s="31" t="s">
        <v>6</v>
      </c>
      <c r="J457" s="30" t="s">
        <v>7</v>
      </c>
      <c r="K457" s="33" t="s">
        <v>513</v>
      </c>
      <c r="L457" s="34">
        <v>46107.760122094907</v>
      </c>
      <c r="M457" s="17" t="b">
        <v>0</v>
      </c>
      <c r="N457" s="10" t="s">
        <v>660</v>
      </c>
    </row>
    <row r="458" spans="1:14" ht="408.95" customHeight="1" x14ac:dyDescent="0.25">
      <c r="A458" s="35">
        <v>3</v>
      </c>
      <c r="B458" s="36" t="s">
        <v>79</v>
      </c>
      <c r="C458" s="37" t="s">
        <v>80</v>
      </c>
      <c r="D458" s="41" t="b">
        <v>0</v>
      </c>
      <c r="E458" s="36" t="s">
        <v>33</v>
      </c>
      <c r="F458" s="37" t="s">
        <v>25</v>
      </c>
      <c r="G458" s="37" t="s">
        <v>9</v>
      </c>
      <c r="H458" s="37" t="s">
        <v>10</v>
      </c>
      <c r="I458" s="37" t="s">
        <v>11</v>
      </c>
      <c r="J458" s="36" t="s">
        <v>7</v>
      </c>
      <c r="K458" s="39" t="s">
        <v>514</v>
      </c>
      <c r="L458" s="40">
        <v>46107.760296747685</v>
      </c>
      <c r="M458" s="19" t="b">
        <v>0</v>
      </c>
      <c r="N458" s="9" t="s">
        <v>660</v>
      </c>
    </row>
    <row r="459" spans="1:14" ht="408.95" customHeight="1" x14ac:dyDescent="0.25">
      <c r="A459" s="29">
        <v>3</v>
      </c>
      <c r="B459" s="30" t="s">
        <v>79</v>
      </c>
      <c r="C459" s="31" t="s">
        <v>80</v>
      </c>
      <c r="D459" s="42" t="b">
        <v>0</v>
      </c>
      <c r="E459" s="30" t="s">
        <v>33</v>
      </c>
      <c r="F459" s="31" t="s">
        <v>25</v>
      </c>
      <c r="G459" s="31" t="s">
        <v>13</v>
      </c>
      <c r="H459" s="31" t="s">
        <v>14</v>
      </c>
      <c r="I459" s="31" t="s">
        <v>15</v>
      </c>
      <c r="J459" s="30" t="s">
        <v>7</v>
      </c>
      <c r="K459" s="33" t="s">
        <v>515</v>
      </c>
      <c r="L459" s="34">
        <v>46107.760487384257</v>
      </c>
      <c r="M459" s="17" t="b">
        <v>0</v>
      </c>
      <c r="N459" s="10" t="s">
        <v>660</v>
      </c>
    </row>
    <row r="460" spans="1:14" ht="408.95" customHeight="1" x14ac:dyDescent="0.25">
      <c r="A460" s="35">
        <v>3</v>
      </c>
      <c r="B460" s="36" t="s">
        <v>79</v>
      </c>
      <c r="C460" s="37" t="s">
        <v>80</v>
      </c>
      <c r="D460" s="41" t="b">
        <v>0</v>
      </c>
      <c r="E460" s="36" t="s">
        <v>33</v>
      </c>
      <c r="F460" s="37" t="s">
        <v>25</v>
      </c>
      <c r="G460" s="37" t="s">
        <v>17</v>
      </c>
      <c r="H460" s="37" t="s">
        <v>18</v>
      </c>
      <c r="I460" s="37" t="s">
        <v>19</v>
      </c>
      <c r="J460" s="36" t="s">
        <v>7</v>
      </c>
      <c r="K460" s="39" t="s">
        <v>516</v>
      </c>
      <c r="L460" s="40">
        <v>46107.760546319441</v>
      </c>
      <c r="M460" s="19" t="b">
        <v>0</v>
      </c>
      <c r="N460" s="9" t="s">
        <v>660</v>
      </c>
    </row>
    <row r="461" spans="1:14" ht="408.95" customHeight="1" x14ac:dyDescent="0.25">
      <c r="A461" s="29">
        <v>3</v>
      </c>
      <c r="B461" s="30" t="s">
        <v>79</v>
      </c>
      <c r="C461" s="31" t="s">
        <v>80</v>
      </c>
      <c r="D461" s="42" t="b">
        <v>0</v>
      </c>
      <c r="E461" s="30" t="s">
        <v>33</v>
      </c>
      <c r="F461" s="31" t="s">
        <v>25</v>
      </c>
      <c r="G461" s="31" t="s">
        <v>21</v>
      </c>
      <c r="H461" s="31" t="s">
        <v>22</v>
      </c>
      <c r="I461" s="31" t="s">
        <v>23</v>
      </c>
      <c r="J461" s="30" t="s">
        <v>7</v>
      </c>
      <c r="K461" s="33" t="s">
        <v>517</v>
      </c>
      <c r="L461" s="34">
        <v>46107.760667881943</v>
      </c>
      <c r="M461" s="17" t="b">
        <v>0</v>
      </c>
      <c r="N461" s="10" t="s">
        <v>660</v>
      </c>
    </row>
    <row r="462" spans="1:14" ht="408.95" customHeight="1" x14ac:dyDescent="0.25">
      <c r="A462" s="35">
        <v>3</v>
      </c>
      <c r="B462" s="36" t="s">
        <v>91</v>
      </c>
      <c r="C462" s="37" t="s">
        <v>92</v>
      </c>
      <c r="D462" s="38" t="b">
        <v>1</v>
      </c>
      <c r="E462" s="36" t="s">
        <v>68</v>
      </c>
      <c r="F462" s="37" t="s">
        <v>3</v>
      </c>
      <c r="G462" s="37" t="s">
        <v>4</v>
      </c>
      <c r="H462" s="37" t="s">
        <v>5</v>
      </c>
      <c r="I462" s="37" t="s">
        <v>6</v>
      </c>
      <c r="J462" s="36" t="s">
        <v>7</v>
      </c>
      <c r="K462" s="39" t="s">
        <v>518</v>
      </c>
      <c r="L462" s="40">
        <v>46107.76089578704</v>
      </c>
      <c r="M462" s="18" t="b">
        <v>1</v>
      </c>
      <c r="N462" s="7" t="s">
        <v>659</v>
      </c>
    </row>
    <row r="463" spans="1:14" ht="408.95" customHeight="1" x14ac:dyDescent="0.25">
      <c r="A463" s="29">
        <v>3</v>
      </c>
      <c r="B463" s="30" t="s">
        <v>91</v>
      </c>
      <c r="C463" s="31" t="s">
        <v>92</v>
      </c>
      <c r="D463" s="32" t="b">
        <v>1</v>
      </c>
      <c r="E463" s="30" t="s">
        <v>68</v>
      </c>
      <c r="F463" s="31" t="s">
        <v>3</v>
      </c>
      <c r="G463" s="31" t="s">
        <v>9</v>
      </c>
      <c r="H463" s="31" t="s">
        <v>10</v>
      </c>
      <c r="I463" s="31" t="s">
        <v>11</v>
      </c>
      <c r="J463" s="30" t="s">
        <v>7</v>
      </c>
      <c r="K463" s="33" t="s">
        <v>519</v>
      </c>
      <c r="L463" s="34">
        <v>46107.761104583333</v>
      </c>
      <c r="M463" s="17" t="b">
        <v>0</v>
      </c>
      <c r="N463" s="6" t="s">
        <v>658</v>
      </c>
    </row>
    <row r="464" spans="1:14" ht="408.95" customHeight="1" x14ac:dyDescent="0.25">
      <c r="A464" s="35">
        <v>3</v>
      </c>
      <c r="B464" s="36" t="s">
        <v>91</v>
      </c>
      <c r="C464" s="37" t="s">
        <v>92</v>
      </c>
      <c r="D464" s="38" t="b">
        <v>1</v>
      </c>
      <c r="E464" s="36" t="s">
        <v>68</v>
      </c>
      <c r="F464" s="37" t="s">
        <v>3</v>
      </c>
      <c r="G464" s="37" t="s">
        <v>13</v>
      </c>
      <c r="H464" s="37" t="s">
        <v>14</v>
      </c>
      <c r="I464" s="37" t="s">
        <v>15</v>
      </c>
      <c r="J464" s="36" t="s">
        <v>7</v>
      </c>
      <c r="K464" s="39" t="s">
        <v>520</v>
      </c>
      <c r="L464" s="40">
        <v>46107.761444421296</v>
      </c>
      <c r="M464" s="18" t="b">
        <v>1</v>
      </c>
      <c r="N464" s="7" t="s">
        <v>659</v>
      </c>
    </row>
    <row r="465" spans="1:14" ht="408.95" customHeight="1" x14ac:dyDescent="0.25">
      <c r="A465" s="29">
        <v>3</v>
      </c>
      <c r="B465" s="30" t="s">
        <v>91</v>
      </c>
      <c r="C465" s="31" t="s">
        <v>92</v>
      </c>
      <c r="D465" s="32" t="b">
        <v>1</v>
      </c>
      <c r="E465" s="30" t="s">
        <v>68</v>
      </c>
      <c r="F465" s="31" t="s">
        <v>3</v>
      </c>
      <c r="G465" s="31" t="s">
        <v>17</v>
      </c>
      <c r="H465" s="31" t="s">
        <v>18</v>
      </c>
      <c r="I465" s="31" t="s">
        <v>19</v>
      </c>
      <c r="J465" s="30" t="s">
        <v>7</v>
      </c>
      <c r="K465" s="33" t="s">
        <v>521</v>
      </c>
      <c r="L465" s="34">
        <v>46107.761551099538</v>
      </c>
      <c r="M465" s="16" t="b">
        <v>1</v>
      </c>
      <c r="N465" s="8" t="s">
        <v>659</v>
      </c>
    </row>
    <row r="466" spans="1:14" ht="408.95" customHeight="1" x14ac:dyDescent="0.25">
      <c r="A466" s="35">
        <v>3</v>
      </c>
      <c r="B466" s="36" t="s">
        <v>91</v>
      </c>
      <c r="C466" s="37" t="s">
        <v>92</v>
      </c>
      <c r="D466" s="38" t="b">
        <v>1</v>
      </c>
      <c r="E466" s="36" t="s">
        <v>68</v>
      </c>
      <c r="F466" s="37" t="s">
        <v>3</v>
      </c>
      <c r="G466" s="37" t="s">
        <v>21</v>
      </c>
      <c r="H466" s="37" t="s">
        <v>22</v>
      </c>
      <c r="I466" s="37" t="s">
        <v>23</v>
      </c>
      <c r="J466" s="36" t="s">
        <v>7</v>
      </c>
      <c r="K466" s="39" t="s">
        <v>522</v>
      </c>
      <c r="L466" s="40">
        <v>46107.761825590278</v>
      </c>
      <c r="M466" s="18" t="b">
        <v>1</v>
      </c>
      <c r="N466" s="7" t="s">
        <v>659</v>
      </c>
    </row>
    <row r="467" spans="1:14" ht="408.95" customHeight="1" x14ac:dyDescent="0.25">
      <c r="A467" s="29">
        <v>3</v>
      </c>
      <c r="B467" s="30" t="s">
        <v>91</v>
      </c>
      <c r="C467" s="31" t="s">
        <v>92</v>
      </c>
      <c r="D467" s="32" t="b">
        <v>1</v>
      </c>
      <c r="E467" s="30" t="s">
        <v>68</v>
      </c>
      <c r="F467" s="31" t="s">
        <v>25</v>
      </c>
      <c r="G467" s="31" t="s">
        <v>4</v>
      </c>
      <c r="H467" s="31" t="s">
        <v>5</v>
      </c>
      <c r="I467" s="31" t="s">
        <v>6</v>
      </c>
      <c r="J467" s="30" t="s">
        <v>7</v>
      </c>
      <c r="K467" s="33" t="s">
        <v>523</v>
      </c>
      <c r="L467" s="34">
        <v>46107.762041631948</v>
      </c>
      <c r="M467" s="16" t="b">
        <v>1</v>
      </c>
      <c r="N467" s="8" t="s">
        <v>659</v>
      </c>
    </row>
    <row r="468" spans="1:14" ht="408.95" customHeight="1" x14ac:dyDescent="0.25">
      <c r="A468" s="35">
        <v>3</v>
      </c>
      <c r="B468" s="36" t="s">
        <v>91</v>
      </c>
      <c r="C468" s="37" t="s">
        <v>92</v>
      </c>
      <c r="D468" s="38" t="b">
        <v>1</v>
      </c>
      <c r="E468" s="36" t="s">
        <v>68</v>
      </c>
      <c r="F468" s="37" t="s">
        <v>25</v>
      </c>
      <c r="G468" s="37" t="s">
        <v>9</v>
      </c>
      <c r="H468" s="37" t="s">
        <v>10</v>
      </c>
      <c r="I468" s="37" t="s">
        <v>11</v>
      </c>
      <c r="J468" s="36" t="s">
        <v>7</v>
      </c>
      <c r="K468" s="39" t="s">
        <v>524</v>
      </c>
      <c r="L468" s="40">
        <v>46107.762210729168</v>
      </c>
      <c r="M468" s="18" t="b">
        <v>1</v>
      </c>
      <c r="N468" s="7" t="s">
        <v>659</v>
      </c>
    </row>
    <row r="469" spans="1:14" ht="408.95" customHeight="1" x14ac:dyDescent="0.25">
      <c r="A469" s="29">
        <v>3</v>
      </c>
      <c r="B469" s="30" t="s">
        <v>91</v>
      </c>
      <c r="C469" s="31" t="s">
        <v>92</v>
      </c>
      <c r="D469" s="32" t="b">
        <v>1</v>
      </c>
      <c r="E469" s="30" t="s">
        <v>68</v>
      </c>
      <c r="F469" s="31" t="s">
        <v>25</v>
      </c>
      <c r="G469" s="31" t="s">
        <v>13</v>
      </c>
      <c r="H469" s="31" t="s">
        <v>14</v>
      </c>
      <c r="I469" s="31" t="s">
        <v>15</v>
      </c>
      <c r="J469" s="30" t="s">
        <v>7</v>
      </c>
      <c r="K469" s="33" t="s">
        <v>525</v>
      </c>
      <c r="L469" s="34">
        <v>46107.762447893518</v>
      </c>
      <c r="M469" s="16" t="b">
        <v>1</v>
      </c>
      <c r="N469" s="8" t="s">
        <v>659</v>
      </c>
    </row>
    <row r="470" spans="1:14" ht="408.95" customHeight="1" x14ac:dyDescent="0.25">
      <c r="A470" s="35">
        <v>3</v>
      </c>
      <c r="B470" s="36" t="s">
        <v>91</v>
      </c>
      <c r="C470" s="37" t="s">
        <v>92</v>
      </c>
      <c r="D470" s="38" t="b">
        <v>1</v>
      </c>
      <c r="E470" s="36" t="s">
        <v>68</v>
      </c>
      <c r="F470" s="37" t="s">
        <v>25</v>
      </c>
      <c r="G470" s="37" t="s">
        <v>17</v>
      </c>
      <c r="H470" s="37" t="s">
        <v>18</v>
      </c>
      <c r="I470" s="37" t="s">
        <v>19</v>
      </c>
      <c r="J470" s="36" t="s">
        <v>7</v>
      </c>
      <c r="K470" s="39" t="s">
        <v>526</v>
      </c>
      <c r="L470" s="40">
        <v>46107.762518344905</v>
      </c>
      <c r="M470" s="18" t="b">
        <v>1</v>
      </c>
      <c r="N470" s="7" t="s">
        <v>659</v>
      </c>
    </row>
    <row r="471" spans="1:14" ht="408.95" customHeight="1" x14ac:dyDescent="0.25">
      <c r="A471" s="29">
        <v>3</v>
      </c>
      <c r="B471" s="30" t="s">
        <v>91</v>
      </c>
      <c r="C471" s="31" t="s">
        <v>92</v>
      </c>
      <c r="D471" s="32" t="b">
        <v>1</v>
      </c>
      <c r="E471" s="30" t="s">
        <v>68</v>
      </c>
      <c r="F471" s="31" t="s">
        <v>25</v>
      </c>
      <c r="G471" s="31" t="s">
        <v>21</v>
      </c>
      <c r="H471" s="31" t="s">
        <v>22</v>
      </c>
      <c r="I471" s="31" t="s">
        <v>23</v>
      </c>
      <c r="J471" s="30" t="s">
        <v>7</v>
      </c>
      <c r="K471" s="33" t="s">
        <v>527</v>
      </c>
      <c r="L471" s="34">
        <v>46107.762673726851</v>
      </c>
      <c r="M471" s="16" t="b">
        <v>1</v>
      </c>
      <c r="N471" s="8" t="s">
        <v>659</v>
      </c>
    </row>
    <row r="472" spans="1:14" ht="408.95" customHeight="1" x14ac:dyDescent="0.25">
      <c r="A472" s="35">
        <v>3</v>
      </c>
      <c r="B472" s="36" t="s">
        <v>103</v>
      </c>
      <c r="C472" s="37" t="s">
        <v>104</v>
      </c>
      <c r="D472" s="41" t="b">
        <v>0</v>
      </c>
      <c r="E472" s="36" t="s">
        <v>33</v>
      </c>
      <c r="F472" s="37" t="s">
        <v>3</v>
      </c>
      <c r="G472" s="37" t="s">
        <v>4</v>
      </c>
      <c r="H472" s="37" t="s">
        <v>5</v>
      </c>
      <c r="I472" s="37" t="s">
        <v>6</v>
      </c>
      <c r="J472" s="36" t="s">
        <v>7</v>
      </c>
      <c r="K472" s="39" t="s">
        <v>528</v>
      </c>
      <c r="L472" s="40">
        <v>46107.762921782407</v>
      </c>
      <c r="M472" s="19" t="b">
        <v>0</v>
      </c>
      <c r="N472" s="9" t="s">
        <v>660</v>
      </c>
    </row>
    <row r="473" spans="1:14" ht="408.95" customHeight="1" x14ac:dyDescent="0.25">
      <c r="A473" s="29">
        <v>3</v>
      </c>
      <c r="B473" s="30" t="s">
        <v>103</v>
      </c>
      <c r="C473" s="31" t="s">
        <v>104</v>
      </c>
      <c r="D473" s="42" t="b">
        <v>0</v>
      </c>
      <c r="E473" s="30" t="s">
        <v>33</v>
      </c>
      <c r="F473" s="31" t="s">
        <v>3</v>
      </c>
      <c r="G473" s="31" t="s">
        <v>9</v>
      </c>
      <c r="H473" s="31" t="s">
        <v>10</v>
      </c>
      <c r="I473" s="31" t="s">
        <v>11</v>
      </c>
      <c r="J473" s="30" t="s">
        <v>7</v>
      </c>
      <c r="K473" s="33" t="s">
        <v>529</v>
      </c>
      <c r="L473" s="34">
        <v>46107.763125196761</v>
      </c>
      <c r="M473" s="17" t="b">
        <v>0</v>
      </c>
      <c r="N473" s="10" t="s">
        <v>660</v>
      </c>
    </row>
    <row r="474" spans="1:14" ht="408.95" customHeight="1" x14ac:dyDescent="0.25">
      <c r="A474" s="35">
        <v>3</v>
      </c>
      <c r="B474" s="36" t="s">
        <v>103</v>
      </c>
      <c r="C474" s="37" t="s">
        <v>104</v>
      </c>
      <c r="D474" s="41" t="b">
        <v>0</v>
      </c>
      <c r="E474" s="36" t="s">
        <v>33</v>
      </c>
      <c r="F474" s="37" t="s">
        <v>3</v>
      </c>
      <c r="G474" s="37" t="s">
        <v>13</v>
      </c>
      <c r="H474" s="37" t="s">
        <v>14</v>
      </c>
      <c r="I474" s="37" t="s">
        <v>15</v>
      </c>
      <c r="J474" s="36" t="s">
        <v>7</v>
      </c>
      <c r="K474" s="39" t="s">
        <v>530</v>
      </c>
      <c r="L474" s="40">
        <v>46107.763387395833</v>
      </c>
      <c r="M474" s="19" t="b">
        <v>0</v>
      </c>
      <c r="N474" s="9" t="s">
        <v>660</v>
      </c>
    </row>
    <row r="475" spans="1:14" ht="408.95" customHeight="1" x14ac:dyDescent="0.25">
      <c r="A475" s="29">
        <v>3</v>
      </c>
      <c r="B475" s="30" t="s">
        <v>103</v>
      </c>
      <c r="C475" s="31" t="s">
        <v>104</v>
      </c>
      <c r="D475" s="42" t="b">
        <v>0</v>
      </c>
      <c r="E475" s="30" t="s">
        <v>33</v>
      </c>
      <c r="F475" s="31" t="s">
        <v>3</v>
      </c>
      <c r="G475" s="31" t="s">
        <v>17</v>
      </c>
      <c r="H475" s="31" t="s">
        <v>18</v>
      </c>
      <c r="I475" s="31" t="s">
        <v>19</v>
      </c>
      <c r="J475" s="30" t="s">
        <v>7</v>
      </c>
      <c r="K475" s="33" t="s">
        <v>531</v>
      </c>
      <c r="L475" s="34">
        <v>46107.763498807872</v>
      </c>
      <c r="M475" s="16" t="b">
        <v>1</v>
      </c>
      <c r="N475" s="12" t="s">
        <v>661</v>
      </c>
    </row>
    <row r="476" spans="1:14" ht="408.95" customHeight="1" x14ac:dyDescent="0.25">
      <c r="A476" s="35">
        <v>3</v>
      </c>
      <c r="B476" s="36" t="s">
        <v>103</v>
      </c>
      <c r="C476" s="37" t="s">
        <v>104</v>
      </c>
      <c r="D476" s="41" t="b">
        <v>0</v>
      </c>
      <c r="E476" s="36" t="s">
        <v>33</v>
      </c>
      <c r="F476" s="37" t="s">
        <v>3</v>
      </c>
      <c r="G476" s="37" t="s">
        <v>21</v>
      </c>
      <c r="H476" s="37" t="s">
        <v>22</v>
      </c>
      <c r="I476" s="37" t="s">
        <v>23</v>
      </c>
      <c r="J476" s="36" t="s">
        <v>7</v>
      </c>
      <c r="K476" s="39" t="s">
        <v>532</v>
      </c>
      <c r="L476" s="40">
        <v>46107.763834270831</v>
      </c>
      <c r="M476" s="19" t="b">
        <v>0</v>
      </c>
      <c r="N476" s="9" t="s">
        <v>660</v>
      </c>
    </row>
    <row r="477" spans="1:14" ht="408.95" customHeight="1" x14ac:dyDescent="0.25">
      <c r="A477" s="29">
        <v>3</v>
      </c>
      <c r="B477" s="30" t="s">
        <v>103</v>
      </c>
      <c r="C477" s="31" t="s">
        <v>104</v>
      </c>
      <c r="D477" s="42" t="b">
        <v>0</v>
      </c>
      <c r="E477" s="30" t="s">
        <v>33</v>
      </c>
      <c r="F477" s="31" t="s">
        <v>25</v>
      </c>
      <c r="G477" s="31" t="s">
        <v>4</v>
      </c>
      <c r="H477" s="31" t="s">
        <v>5</v>
      </c>
      <c r="I477" s="31" t="s">
        <v>6</v>
      </c>
      <c r="J477" s="30" t="s">
        <v>7</v>
      </c>
      <c r="K477" s="33" t="s">
        <v>533</v>
      </c>
      <c r="L477" s="34">
        <v>46107.763952824076</v>
      </c>
      <c r="M477" s="17" t="b">
        <v>0</v>
      </c>
      <c r="N477" s="10" t="s">
        <v>660</v>
      </c>
    </row>
    <row r="478" spans="1:14" ht="408.95" customHeight="1" x14ac:dyDescent="0.25">
      <c r="A478" s="35">
        <v>3</v>
      </c>
      <c r="B478" s="36" t="s">
        <v>103</v>
      </c>
      <c r="C478" s="37" t="s">
        <v>104</v>
      </c>
      <c r="D478" s="41" t="b">
        <v>0</v>
      </c>
      <c r="E478" s="36" t="s">
        <v>33</v>
      </c>
      <c r="F478" s="37" t="s">
        <v>25</v>
      </c>
      <c r="G478" s="37" t="s">
        <v>9</v>
      </c>
      <c r="H478" s="37" t="s">
        <v>10</v>
      </c>
      <c r="I478" s="37" t="s">
        <v>11</v>
      </c>
      <c r="J478" s="36" t="s">
        <v>7</v>
      </c>
      <c r="K478" s="39" t="s">
        <v>534</v>
      </c>
      <c r="L478" s="40">
        <v>46107.764084224538</v>
      </c>
      <c r="M478" s="18" t="b">
        <v>1</v>
      </c>
      <c r="N478" s="13" t="s">
        <v>661</v>
      </c>
    </row>
    <row r="479" spans="1:14" ht="408.95" customHeight="1" x14ac:dyDescent="0.25">
      <c r="A479" s="29">
        <v>3</v>
      </c>
      <c r="B479" s="30" t="s">
        <v>103</v>
      </c>
      <c r="C479" s="31" t="s">
        <v>104</v>
      </c>
      <c r="D479" s="42" t="b">
        <v>0</v>
      </c>
      <c r="E479" s="30" t="s">
        <v>33</v>
      </c>
      <c r="F479" s="31" t="s">
        <v>25</v>
      </c>
      <c r="G479" s="31" t="s">
        <v>13</v>
      </c>
      <c r="H479" s="31" t="s">
        <v>14</v>
      </c>
      <c r="I479" s="31" t="s">
        <v>15</v>
      </c>
      <c r="J479" s="30" t="s">
        <v>7</v>
      </c>
      <c r="K479" s="33" t="s">
        <v>535</v>
      </c>
      <c r="L479" s="34">
        <v>46107.764261307871</v>
      </c>
      <c r="M479" s="17" t="b">
        <v>0</v>
      </c>
      <c r="N479" s="10" t="s">
        <v>660</v>
      </c>
    </row>
    <row r="480" spans="1:14" ht="408.95" customHeight="1" x14ac:dyDescent="0.25">
      <c r="A480" s="35">
        <v>3</v>
      </c>
      <c r="B480" s="36" t="s">
        <v>103</v>
      </c>
      <c r="C480" s="37" t="s">
        <v>104</v>
      </c>
      <c r="D480" s="41" t="b">
        <v>0</v>
      </c>
      <c r="E480" s="36" t="s">
        <v>33</v>
      </c>
      <c r="F480" s="37" t="s">
        <v>25</v>
      </c>
      <c r="G480" s="37" t="s">
        <v>17</v>
      </c>
      <c r="H480" s="37" t="s">
        <v>18</v>
      </c>
      <c r="I480" s="37" t="s">
        <v>19</v>
      </c>
      <c r="J480" s="36" t="s">
        <v>7</v>
      </c>
      <c r="K480" s="39" t="s">
        <v>536</v>
      </c>
      <c r="L480" s="40">
        <v>46107.764318437497</v>
      </c>
      <c r="M480" s="19" t="b">
        <v>0</v>
      </c>
      <c r="N480" s="9" t="s">
        <v>660</v>
      </c>
    </row>
    <row r="481" spans="1:14" ht="408.95" customHeight="1" x14ac:dyDescent="0.25">
      <c r="A481" s="29">
        <v>3</v>
      </c>
      <c r="B481" s="30" t="s">
        <v>103</v>
      </c>
      <c r="C481" s="31" t="s">
        <v>104</v>
      </c>
      <c r="D481" s="42" t="b">
        <v>0</v>
      </c>
      <c r="E481" s="30" t="s">
        <v>33</v>
      </c>
      <c r="F481" s="31" t="s">
        <v>25</v>
      </c>
      <c r="G481" s="31" t="s">
        <v>21</v>
      </c>
      <c r="H481" s="31" t="s">
        <v>22</v>
      </c>
      <c r="I481" s="31" t="s">
        <v>23</v>
      </c>
      <c r="J481" s="30" t="s">
        <v>7</v>
      </c>
      <c r="K481" s="33" t="s">
        <v>537</v>
      </c>
      <c r="L481" s="34">
        <v>46107.764439571758</v>
      </c>
      <c r="M481" s="17" t="b">
        <v>0</v>
      </c>
      <c r="N481" s="10" t="s">
        <v>660</v>
      </c>
    </row>
    <row r="482" spans="1:14" ht="408.95" customHeight="1" x14ac:dyDescent="0.25">
      <c r="A482" s="35">
        <v>3</v>
      </c>
      <c r="B482" s="36" t="s">
        <v>115</v>
      </c>
      <c r="C482" s="37" t="s">
        <v>92</v>
      </c>
      <c r="D482" s="38" t="b">
        <v>1</v>
      </c>
      <c r="E482" s="36" t="s">
        <v>68</v>
      </c>
      <c r="F482" s="37" t="s">
        <v>3</v>
      </c>
      <c r="G482" s="37" t="s">
        <v>4</v>
      </c>
      <c r="H482" s="37" t="s">
        <v>5</v>
      </c>
      <c r="I482" s="37" t="s">
        <v>6</v>
      </c>
      <c r="J482" s="36" t="s">
        <v>7</v>
      </c>
      <c r="K482" s="39" t="s">
        <v>538</v>
      </c>
      <c r="L482" s="40">
        <v>46107.76461982639</v>
      </c>
      <c r="M482" s="18" t="b">
        <v>1</v>
      </c>
      <c r="N482" s="7" t="s">
        <v>659</v>
      </c>
    </row>
    <row r="483" spans="1:14" ht="408.95" customHeight="1" x14ac:dyDescent="0.25">
      <c r="A483" s="29">
        <v>3</v>
      </c>
      <c r="B483" s="30" t="s">
        <v>115</v>
      </c>
      <c r="C483" s="31" t="s">
        <v>92</v>
      </c>
      <c r="D483" s="32" t="b">
        <v>1</v>
      </c>
      <c r="E483" s="30" t="s">
        <v>68</v>
      </c>
      <c r="F483" s="31" t="s">
        <v>3</v>
      </c>
      <c r="G483" s="31" t="s">
        <v>9</v>
      </c>
      <c r="H483" s="31" t="s">
        <v>10</v>
      </c>
      <c r="I483" s="31" t="s">
        <v>11</v>
      </c>
      <c r="J483" s="30" t="s">
        <v>7</v>
      </c>
      <c r="K483" s="33" t="s">
        <v>539</v>
      </c>
      <c r="L483" s="34">
        <v>46107.764836018519</v>
      </c>
      <c r="M483" s="17" t="b">
        <v>0</v>
      </c>
      <c r="N483" s="6" t="s">
        <v>658</v>
      </c>
    </row>
    <row r="484" spans="1:14" ht="408.95" customHeight="1" x14ac:dyDescent="0.25">
      <c r="A484" s="35">
        <v>3</v>
      </c>
      <c r="B484" s="36" t="s">
        <v>115</v>
      </c>
      <c r="C484" s="37" t="s">
        <v>92</v>
      </c>
      <c r="D484" s="38" t="b">
        <v>1</v>
      </c>
      <c r="E484" s="36" t="s">
        <v>68</v>
      </c>
      <c r="F484" s="37" t="s">
        <v>3</v>
      </c>
      <c r="G484" s="37" t="s">
        <v>13</v>
      </c>
      <c r="H484" s="37" t="s">
        <v>14</v>
      </c>
      <c r="I484" s="37" t="s">
        <v>15</v>
      </c>
      <c r="J484" s="36" t="s">
        <v>7</v>
      </c>
      <c r="K484" s="39" t="s">
        <v>540</v>
      </c>
      <c r="L484" s="40">
        <v>46107.765106550927</v>
      </c>
      <c r="M484" s="18" t="b">
        <v>1</v>
      </c>
      <c r="N484" s="7" t="s">
        <v>659</v>
      </c>
    </row>
    <row r="485" spans="1:14" ht="408.95" customHeight="1" x14ac:dyDescent="0.25">
      <c r="A485" s="29">
        <v>3</v>
      </c>
      <c r="B485" s="30" t="s">
        <v>115</v>
      </c>
      <c r="C485" s="31" t="s">
        <v>92</v>
      </c>
      <c r="D485" s="32" t="b">
        <v>1</v>
      </c>
      <c r="E485" s="30" t="s">
        <v>68</v>
      </c>
      <c r="F485" s="31" t="s">
        <v>3</v>
      </c>
      <c r="G485" s="31" t="s">
        <v>17</v>
      </c>
      <c r="H485" s="31" t="s">
        <v>18</v>
      </c>
      <c r="I485" s="31" t="s">
        <v>19</v>
      </c>
      <c r="J485" s="30" t="s">
        <v>7</v>
      </c>
      <c r="K485" s="33" t="s">
        <v>541</v>
      </c>
      <c r="L485" s="34">
        <v>46107.765206689815</v>
      </c>
      <c r="M485" s="16" t="b">
        <v>1</v>
      </c>
      <c r="N485" s="8" t="s">
        <v>659</v>
      </c>
    </row>
    <row r="486" spans="1:14" ht="408.95" customHeight="1" x14ac:dyDescent="0.25">
      <c r="A486" s="35">
        <v>3</v>
      </c>
      <c r="B486" s="36" t="s">
        <v>115</v>
      </c>
      <c r="C486" s="37" t="s">
        <v>92</v>
      </c>
      <c r="D486" s="38" t="b">
        <v>1</v>
      </c>
      <c r="E486" s="36" t="s">
        <v>68</v>
      </c>
      <c r="F486" s="37" t="s">
        <v>3</v>
      </c>
      <c r="G486" s="37" t="s">
        <v>21</v>
      </c>
      <c r="H486" s="37" t="s">
        <v>22</v>
      </c>
      <c r="I486" s="37" t="s">
        <v>23</v>
      </c>
      <c r="J486" s="36" t="s">
        <v>7</v>
      </c>
      <c r="K486" s="39" t="s">
        <v>542</v>
      </c>
      <c r="L486" s="40">
        <v>46107.765472164348</v>
      </c>
      <c r="M486" s="18" t="b">
        <v>1</v>
      </c>
      <c r="N486" s="7" t="s">
        <v>659</v>
      </c>
    </row>
    <row r="487" spans="1:14" ht="408.95" customHeight="1" x14ac:dyDescent="0.25">
      <c r="A487" s="29">
        <v>3</v>
      </c>
      <c r="B487" s="30" t="s">
        <v>115</v>
      </c>
      <c r="C487" s="31" t="s">
        <v>92</v>
      </c>
      <c r="D487" s="32" t="b">
        <v>1</v>
      </c>
      <c r="E487" s="30" t="s">
        <v>68</v>
      </c>
      <c r="F487" s="31" t="s">
        <v>25</v>
      </c>
      <c r="G487" s="31" t="s">
        <v>4</v>
      </c>
      <c r="H487" s="31" t="s">
        <v>5</v>
      </c>
      <c r="I487" s="31" t="s">
        <v>6</v>
      </c>
      <c r="J487" s="30" t="s">
        <v>7</v>
      </c>
      <c r="K487" s="33" t="s">
        <v>543</v>
      </c>
      <c r="L487" s="34">
        <v>46107.765659942132</v>
      </c>
      <c r="M487" s="16" t="b">
        <v>1</v>
      </c>
      <c r="N487" s="8" t="s">
        <v>659</v>
      </c>
    </row>
    <row r="488" spans="1:14" ht="408.95" customHeight="1" x14ac:dyDescent="0.25">
      <c r="A488" s="35">
        <v>3</v>
      </c>
      <c r="B488" s="36" t="s">
        <v>115</v>
      </c>
      <c r="C488" s="37" t="s">
        <v>92</v>
      </c>
      <c r="D488" s="38" t="b">
        <v>1</v>
      </c>
      <c r="E488" s="36" t="s">
        <v>68</v>
      </c>
      <c r="F488" s="37" t="s">
        <v>25</v>
      </c>
      <c r="G488" s="37" t="s">
        <v>9</v>
      </c>
      <c r="H488" s="37" t="s">
        <v>10</v>
      </c>
      <c r="I488" s="37" t="s">
        <v>11</v>
      </c>
      <c r="J488" s="36" t="s">
        <v>7</v>
      </c>
      <c r="K488" s="39" t="s">
        <v>544</v>
      </c>
      <c r="L488" s="40">
        <v>46107.765830983793</v>
      </c>
      <c r="M488" s="18" t="b">
        <v>1</v>
      </c>
      <c r="N488" s="7" t="s">
        <v>659</v>
      </c>
    </row>
    <row r="489" spans="1:14" ht="408.95" customHeight="1" x14ac:dyDescent="0.25">
      <c r="A489" s="29">
        <v>3</v>
      </c>
      <c r="B489" s="30" t="s">
        <v>115</v>
      </c>
      <c r="C489" s="31" t="s">
        <v>92</v>
      </c>
      <c r="D489" s="32" t="b">
        <v>1</v>
      </c>
      <c r="E489" s="30" t="s">
        <v>68</v>
      </c>
      <c r="F489" s="31" t="s">
        <v>25</v>
      </c>
      <c r="G489" s="31" t="s">
        <v>13</v>
      </c>
      <c r="H489" s="31" t="s">
        <v>14</v>
      </c>
      <c r="I489" s="31" t="s">
        <v>15</v>
      </c>
      <c r="J489" s="30" t="s">
        <v>7</v>
      </c>
      <c r="K489" s="33" t="s">
        <v>545</v>
      </c>
      <c r="L489" s="34">
        <v>46107.766056354165</v>
      </c>
      <c r="M489" s="16" t="b">
        <v>1</v>
      </c>
      <c r="N489" s="8" t="s">
        <v>659</v>
      </c>
    </row>
    <row r="490" spans="1:14" ht="408.95" customHeight="1" x14ac:dyDescent="0.25">
      <c r="A490" s="35">
        <v>3</v>
      </c>
      <c r="B490" s="36" t="s">
        <v>115</v>
      </c>
      <c r="C490" s="37" t="s">
        <v>92</v>
      </c>
      <c r="D490" s="38" t="b">
        <v>1</v>
      </c>
      <c r="E490" s="36" t="s">
        <v>68</v>
      </c>
      <c r="F490" s="37" t="s">
        <v>25</v>
      </c>
      <c r="G490" s="37" t="s">
        <v>17</v>
      </c>
      <c r="H490" s="37" t="s">
        <v>18</v>
      </c>
      <c r="I490" s="37" t="s">
        <v>19</v>
      </c>
      <c r="J490" s="36" t="s">
        <v>7</v>
      </c>
      <c r="K490" s="39" t="s">
        <v>546</v>
      </c>
      <c r="L490" s="40">
        <v>46107.766132291668</v>
      </c>
      <c r="M490" s="18" t="b">
        <v>1</v>
      </c>
      <c r="N490" s="7" t="s">
        <v>659</v>
      </c>
    </row>
    <row r="491" spans="1:14" ht="408.95" customHeight="1" x14ac:dyDescent="0.25">
      <c r="A491" s="29">
        <v>3</v>
      </c>
      <c r="B491" s="30" t="s">
        <v>115</v>
      </c>
      <c r="C491" s="31" t="s">
        <v>92</v>
      </c>
      <c r="D491" s="32" t="b">
        <v>1</v>
      </c>
      <c r="E491" s="30" t="s">
        <v>68</v>
      </c>
      <c r="F491" s="31" t="s">
        <v>25</v>
      </c>
      <c r="G491" s="31" t="s">
        <v>21</v>
      </c>
      <c r="H491" s="31" t="s">
        <v>22</v>
      </c>
      <c r="I491" s="31" t="s">
        <v>23</v>
      </c>
      <c r="J491" s="30" t="s">
        <v>7</v>
      </c>
      <c r="K491" s="33" t="s">
        <v>547</v>
      </c>
      <c r="L491" s="34">
        <v>46107.766262557867</v>
      </c>
      <c r="M491" s="16" t="b">
        <v>1</v>
      </c>
      <c r="N491" s="8" t="s">
        <v>659</v>
      </c>
    </row>
    <row r="492" spans="1:14" ht="408.95" customHeight="1" x14ac:dyDescent="0.25">
      <c r="A492" s="35">
        <v>3</v>
      </c>
      <c r="B492" s="36" t="s">
        <v>126</v>
      </c>
      <c r="C492" s="37" t="s">
        <v>104</v>
      </c>
      <c r="D492" s="41" t="b">
        <v>0</v>
      </c>
      <c r="E492" s="36" t="s">
        <v>33</v>
      </c>
      <c r="F492" s="37" t="s">
        <v>3</v>
      </c>
      <c r="G492" s="37" t="s">
        <v>4</v>
      </c>
      <c r="H492" s="37" t="s">
        <v>5</v>
      </c>
      <c r="I492" s="37" t="s">
        <v>6</v>
      </c>
      <c r="J492" s="36" t="s">
        <v>7</v>
      </c>
      <c r="K492" s="39" t="s">
        <v>548</v>
      </c>
      <c r="L492" s="40">
        <v>46107.766504143518</v>
      </c>
      <c r="M492" s="19" t="b">
        <v>0</v>
      </c>
      <c r="N492" s="9" t="s">
        <v>660</v>
      </c>
    </row>
    <row r="493" spans="1:14" ht="408.95" customHeight="1" x14ac:dyDescent="0.25">
      <c r="A493" s="29">
        <v>3</v>
      </c>
      <c r="B493" s="30" t="s">
        <v>126</v>
      </c>
      <c r="C493" s="31" t="s">
        <v>104</v>
      </c>
      <c r="D493" s="42" t="b">
        <v>0</v>
      </c>
      <c r="E493" s="30" t="s">
        <v>33</v>
      </c>
      <c r="F493" s="31" t="s">
        <v>3</v>
      </c>
      <c r="G493" s="31" t="s">
        <v>9</v>
      </c>
      <c r="H493" s="31" t="s">
        <v>10</v>
      </c>
      <c r="I493" s="31" t="s">
        <v>11</v>
      </c>
      <c r="J493" s="30" t="s">
        <v>7</v>
      </c>
      <c r="K493" s="33" t="s">
        <v>549</v>
      </c>
      <c r="L493" s="34">
        <v>46107.766745335648</v>
      </c>
      <c r="M493" s="17" t="b">
        <v>0</v>
      </c>
      <c r="N493" s="10" t="s">
        <v>660</v>
      </c>
    </row>
    <row r="494" spans="1:14" ht="408.95" customHeight="1" x14ac:dyDescent="0.25">
      <c r="A494" s="35">
        <v>3</v>
      </c>
      <c r="B494" s="36" t="s">
        <v>126</v>
      </c>
      <c r="C494" s="37" t="s">
        <v>104</v>
      </c>
      <c r="D494" s="41" t="b">
        <v>0</v>
      </c>
      <c r="E494" s="36" t="s">
        <v>33</v>
      </c>
      <c r="F494" s="37" t="s">
        <v>3</v>
      </c>
      <c r="G494" s="37" t="s">
        <v>13</v>
      </c>
      <c r="H494" s="37" t="s">
        <v>14</v>
      </c>
      <c r="I494" s="37" t="s">
        <v>15</v>
      </c>
      <c r="J494" s="36" t="s">
        <v>7</v>
      </c>
      <c r="K494" s="39" t="s">
        <v>550</v>
      </c>
      <c r="L494" s="40">
        <v>46107.767034004632</v>
      </c>
      <c r="M494" s="19" t="b">
        <v>0</v>
      </c>
      <c r="N494" s="9" t="s">
        <v>660</v>
      </c>
    </row>
    <row r="495" spans="1:14" ht="408.95" customHeight="1" x14ac:dyDescent="0.25">
      <c r="A495" s="29">
        <v>3</v>
      </c>
      <c r="B495" s="30" t="s">
        <v>126</v>
      </c>
      <c r="C495" s="31" t="s">
        <v>104</v>
      </c>
      <c r="D495" s="42" t="b">
        <v>0</v>
      </c>
      <c r="E495" s="30" t="s">
        <v>33</v>
      </c>
      <c r="F495" s="31" t="s">
        <v>3</v>
      </c>
      <c r="G495" s="31" t="s">
        <v>17</v>
      </c>
      <c r="H495" s="31" t="s">
        <v>18</v>
      </c>
      <c r="I495" s="31" t="s">
        <v>19</v>
      </c>
      <c r="J495" s="30" t="s">
        <v>7</v>
      </c>
      <c r="K495" s="33" t="s">
        <v>551</v>
      </c>
      <c r="L495" s="34">
        <v>46107.767149652776</v>
      </c>
      <c r="M495" s="16" t="b">
        <v>1</v>
      </c>
      <c r="N495" s="12" t="s">
        <v>661</v>
      </c>
    </row>
    <row r="496" spans="1:14" ht="408.95" customHeight="1" x14ac:dyDescent="0.25">
      <c r="A496" s="35">
        <v>3</v>
      </c>
      <c r="B496" s="36" t="s">
        <v>126</v>
      </c>
      <c r="C496" s="37" t="s">
        <v>104</v>
      </c>
      <c r="D496" s="41" t="b">
        <v>0</v>
      </c>
      <c r="E496" s="36" t="s">
        <v>33</v>
      </c>
      <c r="F496" s="37" t="s">
        <v>3</v>
      </c>
      <c r="G496" s="37" t="s">
        <v>21</v>
      </c>
      <c r="H496" s="37" t="s">
        <v>22</v>
      </c>
      <c r="I496" s="37" t="s">
        <v>23</v>
      </c>
      <c r="J496" s="36" t="s">
        <v>7</v>
      </c>
      <c r="K496" s="39" t="s">
        <v>552</v>
      </c>
      <c r="L496" s="40">
        <v>46107.767424768521</v>
      </c>
      <c r="M496" s="19" t="b">
        <v>0</v>
      </c>
      <c r="N496" s="9" t="s">
        <v>660</v>
      </c>
    </row>
    <row r="497" spans="1:14" ht="408.95" customHeight="1" x14ac:dyDescent="0.25">
      <c r="A497" s="29">
        <v>3</v>
      </c>
      <c r="B497" s="30" t="s">
        <v>126</v>
      </c>
      <c r="C497" s="31" t="s">
        <v>104</v>
      </c>
      <c r="D497" s="42" t="b">
        <v>0</v>
      </c>
      <c r="E497" s="30" t="s">
        <v>33</v>
      </c>
      <c r="F497" s="31" t="s">
        <v>25</v>
      </c>
      <c r="G497" s="31" t="s">
        <v>4</v>
      </c>
      <c r="H497" s="31" t="s">
        <v>5</v>
      </c>
      <c r="I497" s="31" t="s">
        <v>6</v>
      </c>
      <c r="J497" s="30" t="s">
        <v>7</v>
      </c>
      <c r="K497" s="33" t="s">
        <v>553</v>
      </c>
      <c r="L497" s="34">
        <v>46107.767553078702</v>
      </c>
      <c r="M497" s="17" t="b">
        <v>0</v>
      </c>
      <c r="N497" s="10" t="s">
        <v>660</v>
      </c>
    </row>
    <row r="498" spans="1:14" ht="408.95" customHeight="1" x14ac:dyDescent="0.25">
      <c r="A498" s="35">
        <v>3</v>
      </c>
      <c r="B498" s="36" t="s">
        <v>126</v>
      </c>
      <c r="C498" s="37" t="s">
        <v>104</v>
      </c>
      <c r="D498" s="41" t="b">
        <v>0</v>
      </c>
      <c r="E498" s="36" t="s">
        <v>33</v>
      </c>
      <c r="F498" s="37" t="s">
        <v>25</v>
      </c>
      <c r="G498" s="37" t="s">
        <v>9</v>
      </c>
      <c r="H498" s="37" t="s">
        <v>10</v>
      </c>
      <c r="I498" s="37" t="s">
        <v>11</v>
      </c>
      <c r="J498" s="36" t="s">
        <v>7</v>
      </c>
      <c r="K498" s="39" t="s">
        <v>554</v>
      </c>
      <c r="L498" s="40">
        <v>46107.767658414348</v>
      </c>
      <c r="M498" s="19" t="b">
        <v>0</v>
      </c>
      <c r="N498" s="9" t="s">
        <v>660</v>
      </c>
    </row>
    <row r="499" spans="1:14" ht="408.95" customHeight="1" x14ac:dyDescent="0.25">
      <c r="A499" s="29">
        <v>3</v>
      </c>
      <c r="B499" s="30" t="s">
        <v>126</v>
      </c>
      <c r="C499" s="31" t="s">
        <v>104</v>
      </c>
      <c r="D499" s="42" t="b">
        <v>0</v>
      </c>
      <c r="E499" s="30" t="s">
        <v>33</v>
      </c>
      <c r="F499" s="31" t="s">
        <v>25</v>
      </c>
      <c r="G499" s="31" t="s">
        <v>13</v>
      </c>
      <c r="H499" s="31" t="s">
        <v>14</v>
      </c>
      <c r="I499" s="31" t="s">
        <v>15</v>
      </c>
      <c r="J499" s="30" t="s">
        <v>7</v>
      </c>
      <c r="K499" s="33" t="s">
        <v>555</v>
      </c>
      <c r="L499" s="34">
        <v>46107.767801527778</v>
      </c>
      <c r="M499" s="17" t="b">
        <v>0</v>
      </c>
      <c r="N499" s="10" t="s">
        <v>660</v>
      </c>
    </row>
    <row r="500" spans="1:14" ht="408.95" customHeight="1" x14ac:dyDescent="0.25">
      <c r="A500" s="35">
        <v>3</v>
      </c>
      <c r="B500" s="36" t="s">
        <v>126</v>
      </c>
      <c r="C500" s="37" t="s">
        <v>104</v>
      </c>
      <c r="D500" s="41" t="b">
        <v>0</v>
      </c>
      <c r="E500" s="36" t="s">
        <v>33</v>
      </c>
      <c r="F500" s="37" t="s">
        <v>25</v>
      </c>
      <c r="G500" s="37" t="s">
        <v>17</v>
      </c>
      <c r="H500" s="37" t="s">
        <v>18</v>
      </c>
      <c r="I500" s="37" t="s">
        <v>19</v>
      </c>
      <c r="J500" s="36" t="s">
        <v>7</v>
      </c>
      <c r="K500" s="39" t="s">
        <v>556</v>
      </c>
      <c r="L500" s="40">
        <v>46107.767863425928</v>
      </c>
      <c r="M500" s="19" t="b">
        <v>0</v>
      </c>
      <c r="N500" s="9" t="s">
        <v>660</v>
      </c>
    </row>
    <row r="501" spans="1:14" ht="408.95" customHeight="1" x14ac:dyDescent="0.25">
      <c r="A501" s="29">
        <v>3</v>
      </c>
      <c r="B501" s="30" t="s">
        <v>126</v>
      </c>
      <c r="C501" s="31" t="s">
        <v>104</v>
      </c>
      <c r="D501" s="42" t="b">
        <v>0</v>
      </c>
      <c r="E501" s="30" t="s">
        <v>33</v>
      </c>
      <c r="F501" s="31" t="s">
        <v>25</v>
      </c>
      <c r="G501" s="31" t="s">
        <v>21</v>
      </c>
      <c r="H501" s="31" t="s">
        <v>22</v>
      </c>
      <c r="I501" s="31" t="s">
        <v>23</v>
      </c>
      <c r="J501" s="30" t="s">
        <v>7</v>
      </c>
      <c r="K501" s="33" t="s">
        <v>557</v>
      </c>
      <c r="L501" s="34">
        <v>46107.767998101852</v>
      </c>
      <c r="M501" s="17" t="b">
        <v>0</v>
      </c>
      <c r="N501" s="10" t="s">
        <v>660</v>
      </c>
    </row>
    <row r="502" spans="1:14" ht="408.95" customHeight="1" x14ac:dyDescent="0.25">
      <c r="A502" s="35">
        <v>3</v>
      </c>
      <c r="B502" s="36" t="s">
        <v>137</v>
      </c>
      <c r="C502" s="37" t="s">
        <v>138</v>
      </c>
      <c r="D502" s="38" t="b">
        <v>1</v>
      </c>
      <c r="E502" s="36" t="s">
        <v>139</v>
      </c>
      <c r="F502" s="37" t="s">
        <v>3</v>
      </c>
      <c r="G502" s="37" t="s">
        <v>4</v>
      </c>
      <c r="H502" s="37" t="s">
        <v>5</v>
      </c>
      <c r="I502" s="37" t="s">
        <v>6</v>
      </c>
      <c r="J502" s="36" t="s">
        <v>7</v>
      </c>
      <c r="K502" s="39" t="s">
        <v>558</v>
      </c>
      <c r="L502" s="40">
        <v>46107.76831605324</v>
      </c>
      <c r="M502" s="19" t="b">
        <v>0</v>
      </c>
      <c r="N502" s="11" t="s">
        <v>658</v>
      </c>
    </row>
    <row r="503" spans="1:14" ht="408.95" customHeight="1" x14ac:dyDescent="0.25">
      <c r="A503" s="29">
        <v>3</v>
      </c>
      <c r="B503" s="30" t="s">
        <v>137</v>
      </c>
      <c r="C503" s="31" t="s">
        <v>138</v>
      </c>
      <c r="D503" s="32" t="b">
        <v>1</v>
      </c>
      <c r="E503" s="30" t="s">
        <v>139</v>
      </c>
      <c r="F503" s="31" t="s">
        <v>3</v>
      </c>
      <c r="G503" s="31" t="s">
        <v>9</v>
      </c>
      <c r="H503" s="31" t="s">
        <v>10</v>
      </c>
      <c r="I503" s="31" t="s">
        <v>11</v>
      </c>
      <c r="J503" s="30" t="s">
        <v>7</v>
      </c>
      <c r="K503" s="33" t="s">
        <v>559</v>
      </c>
      <c r="L503" s="34">
        <v>46107.768477581019</v>
      </c>
      <c r="M503" s="17" t="b">
        <v>0</v>
      </c>
      <c r="N503" s="6" t="s">
        <v>658</v>
      </c>
    </row>
    <row r="504" spans="1:14" ht="408.95" customHeight="1" x14ac:dyDescent="0.25">
      <c r="A504" s="35">
        <v>3</v>
      </c>
      <c r="B504" s="36" t="s">
        <v>137</v>
      </c>
      <c r="C504" s="37" t="s">
        <v>138</v>
      </c>
      <c r="D504" s="38" t="b">
        <v>1</v>
      </c>
      <c r="E504" s="36" t="s">
        <v>139</v>
      </c>
      <c r="F504" s="37" t="s">
        <v>3</v>
      </c>
      <c r="G504" s="37" t="s">
        <v>13</v>
      </c>
      <c r="H504" s="37" t="s">
        <v>14</v>
      </c>
      <c r="I504" s="37" t="s">
        <v>15</v>
      </c>
      <c r="J504" s="36" t="s">
        <v>7</v>
      </c>
      <c r="K504" s="39" t="s">
        <v>560</v>
      </c>
      <c r="L504" s="40">
        <v>46107.768785879627</v>
      </c>
      <c r="M504" s="18" t="b">
        <v>1</v>
      </c>
      <c r="N504" s="7" t="s">
        <v>659</v>
      </c>
    </row>
    <row r="505" spans="1:14" ht="408.95" customHeight="1" x14ac:dyDescent="0.25">
      <c r="A505" s="29">
        <v>3</v>
      </c>
      <c r="B505" s="30" t="s">
        <v>137</v>
      </c>
      <c r="C505" s="31" t="s">
        <v>138</v>
      </c>
      <c r="D505" s="32" t="b">
        <v>1</v>
      </c>
      <c r="E505" s="30" t="s">
        <v>139</v>
      </c>
      <c r="F505" s="31" t="s">
        <v>3</v>
      </c>
      <c r="G505" s="31" t="s">
        <v>17</v>
      </c>
      <c r="H505" s="31" t="s">
        <v>18</v>
      </c>
      <c r="I505" s="31" t="s">
        <v>19</v>
      </c>
      <c r="J505" s="30" t="s">
        <v>7</v>
      </c>
      <c r="K505" s="33" t="s">
        <v>561</v>
      </c>
      <c r="L505" s="34">
        <v>46107.768883715275</v>
      </c>
      <c r="M505" s="16" t="b">
        <v>1</v>
      </c>
      <c r="N505" s="8" t="s">
        <v>659</v>
      </c>
    </row>
    <row r="506" spans="1:14" ht="408.95" customHeight="1" x14ac:dyDescent="0.25">
      <c r="A506" s="35">
        <v>3</v>
      </c>
      <c r="B506" s="36" t="s">
        <v>137</v>
      </c>
      <c r="C506" s="37" t="s">
        <v>138</v>
      </c>
      <c r="D506" s="38" t="b">
        <v>1</v>
      </c>
      <c r="E506" s="36" t="s">
        <v>139</v>
      </c>
      <c r="F506" s="37" t="s">
        <v>3</v>
      </c>
      <c r="G506" s="37" t="s">
        <v>21</v>
      </c>
      <c r="H506" s="37" t="s">
        <v>22</v>
      </c>
      <c r="I506" s="37" t="s">
        <v>23</v>
      </c>
      <c r="J506" s="36" t="s">
        <v>7</v>
      </c>
      <c r="K506" s="39" t="s">
        <v>562</v>
      </c>
      <c r="L506" s="40">
        <v>46107.76915078704</v>
      </c>
      <c r="M506" s="18" t="b">
        <v>1</v>
      </c>
      <c r="N506" s="7" t="s">
        <v>659</v>
      </c>
    </row>
    <row r="507" spans="1:14" ht="408.95" customHeight="1" x14ac:dyDescent="0.25">
      <c r="A507" s="29">
        <v>3</v>
      </c>
      <c r="B507" s="30" t="s">
        <v>137</v>
      </c>
      <c r="C507" s="31" t="s">
        <v>138</v>
      </c>
      <c r="D507" s="32" t="b">
        <v>1</v>
      </c>
      <c r="E507" s="30" t="s">
        <v>139</v>
      </c>
      <c r="F507" s="31" t="s">
        <v>25</v>
      </c>
      <c r="G507" s="31" t="s">
        <v>4</v>
      </c>
      <c r="H507" s="31" t="s">
        <v>5</v>
      </c>
      <c r="I507" s="31" t="s">
        <v>6</v>
      </c>
      <c r="J507" s="30" t="s">
        <v>7</v>
      </c>
      <c r="K507" s="33" t="s">
        <v>563</v>
      </c>
      <c r="L507" s="34">
        <v>46107.769348692127</v>
      </c>
      <c r="M507" s="16" t="b">
        <v>1</v>
      </c>
      <c r="N507" s="8" t="s">
        <v>659</v>
      </c>
    </row>
    <row r="508" spans="1:14" ht="408.95" customHeight="1" x14ac:dyDescent="0.25">
      <c r="A508" s="35">
        <v>3</v>
      </c>
      <c r="B508" s="36" t="s">
        <v>137</v>
      </c>
      <c r="C508" s="37" t="s">
        <v>138</v>
      </c>
      <c r="D508" s="38" t="b">
        <v>1</v>
      </c>
      <c r="E508" s="36" t="s">
        <v>139</v>
      </c>
      <c r="F508" s="37" t="s">
        <v>25</v>
      </c>
      <c r="G508" s="37" t="s">
        <v>9</v>
      </c>
      <c r="H508" s="37" t="s">
        <v>10</v>
      </c>
      <c r="I508" s="37" t="s">
        <v>11</v>
      </c>
      <c r="J508" s="36" t="s">
        <v>7</v>
      </c>
      <c r="K508" s="39" t="s">
        <v>564</v>
      </c>
      <c r="L508" s="40">
        <v>46107.769431539353</v>
      </c>
      <c r="M508" s="18" t="b">
        <v>1</v>
      </c>
      <c r="N508" s="7" t="s">
        <v>659</v>
      </c>
    </row>
    <row r="509" spans="1:14" ht="408.95" customHeight="1" x14ac:dyDescent="0.25">
      <c r="A509" s="29">
        <v>3</v>
      </c>
      <c r="B509" s="30" t="s">
        <v>137</v>
      </c>
      <c r="C509" s="31" t="s">
        <v>138</v>
      </c>
      <c r="D509" s="32" t="b">
        <v>1</v>
      </c>
      <c r="E509" s="30" t="s">
        <v>139</v>
      </c>
      <c r="F509" s="31" t="s">
        <v>25</v>
      </c>
      <c r="G509" s="31" t="s">
        <v>13</v>
      </c>
      <c r="H509" s="31" t="s">
        <v>14</v>
      </c>
      <c r="I509" s="31" t="s">
        <v>15</v>
      </c>
      <c r="J509" s="30" t="s">
        <v>7</v>
      </c>
      <c r="K509" s="33" t="s">
        <v>565</v>
      </c>
      <c r="L509" s="34">
        <v>46107.769618865743</v>
      </c>
      <c r="M509" s="16" t="b">
        <v>1</v>
      </c>
      <c r="N509" s="8" t="s">
        <v>659</v>
      </c>
    </row>
    <row r="510" spans="1:14" ht="408.95" customHeight="1" x14ac:dyDescent="0.25">
      <c r="A510" s="35">
        <v>3</v>
      </c>
      <c r="B510" s="36" t="s">
        <v>137</v>
      </c>
      <c r="C510" s="37" t="s">
        <v>138</v>
      </c>
      <c r="D510" s="38" t="b">
        <v>1</v>
      </c>
      <c r="E510" s="36" t="s">
        <v>139</v>
      </c>
      <c r="F510" s="37" t="s">
        <v>25</v>
      </c>
      <c r="G510" s="37" t="s">
        <v>17</v>
      </c>
      <c r="H510" s="37" t="s">
        <v>18</v>
      </c>
      <c r="I510" s="37" t="s">
        <v>19</v>
      </c>
      <c r="J510" s="36" t="s">
        <v>7</v>
      </c>
      <c r="K510" s="39" t="s">
        <v>566</v>
      </c>
      <c r="L510" s="40">
        <v>46107.769682939812</v>
      </c>
      <c r="M510" s="18" t="b">
        <v>1</v>
      </c>
      <c r="N510" s="7" t="s">
        <v>659</v>
      </c>
    </row>
    <row r="511" spans="1:14" ht="408.95" customHeight="1" x14ac:dyDescent="0.25">
      <c r="A511" s="29">
        <v>3</v>
      </c>
      <c r="B511" s="30" t="s">
        <v>137</v>
      </c>
      <c r="C511" s="31" t="s">
        <v>138</v>
      </c>
      <c r="D511" s="32" t="b">
        <v>1</v>
      </c>
      <c r="E511" s="30" t="s">
        <v>139</v>
      </c>
      <c r="F511" s="31" t="s">
        <v>25</v>
      </c>
      <c r="G511" s="31" t="s">
        <v>21</v>
      </c>
      <c r="H511" s="31" t="s">
        <v>22</v>
      </c>
      <c r="I511" s="31" t="s">
        <v>23</v>
      </c>
      <c r="J511" s="30" t="s">
        <v>7</v>
      </c>
      <c r="K511" s="33" t="s">
        <v>567</v>
      </c>
      <c r="L511" s="34">
        <v>46107.769828101853</v>
      </c>
      <c r="M511" s="16" t="b">
        <v>1</v>
      </c>
      <c r="N511" s="8" t="s">
        <v>659</v>
      </c>
    </row>
    <row r="512" spans="1:14" ht="408.95" customHeight="1" x14ac:dyDescent="0.25">
      <c r="A512" s="35">
        <v>3</v>
      </c>
      <c r="B512" s="36" t="s">
        <v>150</v>
      </c>
      <c r="C512" s="37" t="s">
        <v>151</v>
      </c>
      <c r="D512" s="41" t="b">
        <v>0</v>
      </c>
      <c r="E512" s="36" t="s">
        <v>33</v>
      </c>
      <c r="F512" s="37" t="s">
        <v>3</v>
      </c>
      <c r="G512" s="37" t="s">
        <v>4</v>
      </c>
      <c r="H512" s="37" t="s">
        <v>5</v>
      </c>
      <c r="I512" s="37" t="s">
        <v>6</v>
      </c>
      <c r="J512" s="36" t="s">
        <v>7</v>
      </c>
      <c r="K512" s="39" t="s">
        <v>568</v>
      </c>
      <c r="L512" s="40">
        <v>46107.770035162037</v>
      </c>
      <c r="M512" s="19" t="b">
        <v>0</v>
      </c>
      <c r="N512" s="9" t="s">
        <v>660</v>
      </c>
    </row>
    <row r="513" spans="1:14" ht="408.95" customHeight="1" x14ac:dyDescent="0.25">
      <c r="A513" s="29">
        <v>3</v>
      </c>
      <c r="B513" s="30" t="s">
        <v>150</v>
      </c>
      <c r="C513" s="31" t="s">
        <v>151</v>
      </c>
      <c r="D513" s="42" t="b">
        <v>0</v>
      </c>
      <c r="E513" s="30" t="s">
        <v>33</v>
      </c>
      <c r="F513" s="31" t="s">
        <v>3</v>
      </c>
      <c r="G513" s="31" t="s">
        <v>9</v>
      </c>
      <c r="H513" s="31" t="s">
        <v>10</v>
      </c>
      <c r="I513" s="31" t="s">
        <v>11</v>
      </c>
      <c r="J513" s="30" t="s">
        <v>7</v>
      </c>
      <c r="K513" s="33" t="s">
        <v>569</v>
      </c>
      <c r="L513" s="34">
        <v>46107.770248530091</v>
      </c>
      <c r="M513" s="17" t="b">
        <v>0</v>
      </c>
      <c r="N513" s="10" t="s">
        <v>660</v>
      </c>
    </row>
    <row r="514" spans="1:14" ht="408.95" customHeight="1" x14ac:dyDescent="0.25">
      <c r="A514" s="35">
        <v>3</v>
      </c>
      <c r="B514" s="36" t="s">
        <v>150</v>
      </c>
      <c r="C514" s="37" t="s">
        <v>151</v>
      </c>
      <c r="D514" s="41" t="b">
        <v>0</v>
      </c>
      <c r="E514" s="36" t="s">
        <v>33</v>
      </c>
      <c r="F514" s="37" t="s">
        <v>3</v>
      </c>
      <c r="G514" s="37" t="s">
        <v>13</v>
      </c>
      <c r="H514" s="37" t="s">
        <v>14</v>
      </c>
      <c r="I514" s="37" t="s">
        <v>15</v>
      </c>
      <c r="J514" s="36" t="s">
        <v>7</v>
      </c>
      <c r="K514" s="39" t="s">
        <v>570</v>
      </c>
      <c r="L514" s="40">
        <v>46107.770486724534</v>
      </c>
      <c r="M514" s="19" t="b">
        <v>0</v>
      </c>
      <c r="N514" s="9" t="s">
        <v>660</v>
      </c>
    </row>
    <row r="515" spans="1:14" ht="408.95" customHeight="1" x14ac:dyDescent="0.25">
      <c r="A515" s="29">
        <v>3</v>
      </c>
      <c r="B515" s="30" t="s">
        <v>150</v>
      </c>
      <c r="C515" s="31" t="s">
        <v>151</v>
      </c>
      <c r="D515" s="42" t="b">
        <v>0</v>
      </c>
      <c r="E515" s="30" t="s">
        <v>33</v>
      </c>
      <c r="F515" s="31" t="s">
        <v>3</v>
      </c>
      <c r="G515" s="31" t="s">
        <v>17</v>
      </c>
      <c r="H515" s="31" t="s">
        <v>18</v>
      </c>
      <c r="I515" s="31" t="s">
        <v>19</v>
      </c>
      <c r="J515" s="30" t="s">
        <v>7</v>
      </c>
      <c r="K515" s="33" t="s">
        <v>571</v>
      </c>
      <c r="L515" s="34">
        <v>46107.770604780089</v>
      </c>
      <c r="M515" s="17" t="b">
        <v>0</v>
      </c>
      <c r="N515" s="10" t="s">
        <v>660</v>
      </c>
    </row>
    <row r="516" spans="1:14" ht="408.95" customHeight="1" x14ac:dyDescent="0.25">
      <c r="A516" s="35">
        <v>3</v>
      </c>
      <c r="B516" s="36" t="s">
        <v>150</v>
      </c>
      <c r="C516" s="37" t="s">
        <v>151</v>
      </c>
      <c r="D516" s="41" t="b">
        <v>0</v>
      </c>
      <c r="E516" s="36" t="s">
        <v>33</v>
      </c>
      <c r="F516" s="37" t="s">
        <v>3</v>
      </c>
      <c r="G516" s="37" t="s">
        <v>21</v>
      </c>
      <c r="H516" s="37" t="s">
        <v>22</v>
      </c>
      <c r="I516" s="37" t="s">
        <v>23</v>
      </c>
      <c r="J516" s="36" t="s">
        <v>7</v>
      </c>
      <c r="K516" s="39" t="s">
        <v>572</v>
      </c>
      <c r="L516" s="40">
        <v>46107.770840081015</v>
      </c>
      <c r="M516" s="19" t="b">
        <v>0</v>
      </c>
      <c r="N516" s="9" t="s">
        <v>660</v>
      </c>
    </row>
    <row r="517" spans="1:14" ht="408.95" customHeight="1" x14ac:dyDescent="0.25">
      <c r="A517" s="29">
        <v>3</v>
      </c>
      <c r="B517" s="30" t="s">
        <v>150</v>
      </c>
      <c r="C517" s="31" t="s">
        <v>151</v>
      </c>
      <c r="D517" s="42" t="b">
        <v>0</v>
      </c>
      <c r="E517" s="30" t="s">
        <v>33</v>
      </c>
      <c r="F517" s="31" t="s">
        <v>25</v>
      </c>
      <c r="G517" s="31" t="s">
        <v>4</v>
      </c>
      <c r="H517" s="31" t="s">
        <v>5</v>
      </c>
      <c r="I517" s="31" t="s">
        <v>6</v>
      </c>
      <c r="J517" s="30" t="s">
        <v>7</v>
      </c>
      <c r="K517" s="33" t="s">
        <v>573</v>
      </c>
      <c r="L517" s="34">
        <v>46107.771026319446</v>
      </c>
      <c r="M517" s="17" t="b">
        <v>0</v>
      </c>
      <c r="N517" s="10" t="s">
        <v>660</v>
      </c>
    </row>
    <row r="518" spans="1:14" ht="408.95" customHeight="1" x14ac:dyDescent="0.25">
      <c r="A518" s="35">
        <v>3</v>
      </c>
      <c r="B518" s="36" t="s">
        <v>150</v>
      </c>
      <c r="C518" s="37" t="s">
        <v>151</v>
      </c>
      <c r="D518" s="41" t="b">
        <v>0</v>
      </c>
      <c r="E518" s="36" t="s">
        <v>33</v>
      </c>
      <c r="F518" s="37" t="s">
        <v>25</v>
      </c>
      <c r="G518" s="37" t="s">
        <v>9</v>
      </c>
      <c r="H518" s="37" t="s">
        <v>10</v>
      </c>
      <c r="I518" s="37" t="s">
        <v>11</v>
      </c>
      <c r="J518" s="36" t="s">
        <v>7</v>
      </c>
      <c r="K518" s="39" t="s">
        <v>574</v>
      </c>
      <c r="L518" s="40">
        <v>46107.77113645833</v>
      </c>
      <c r="M518" s="19" t="b">
        <v>0</v>
      </c>
      <c r="N518" s="9" t="s">
        <v>660</v>
      </c>
    </row>
    <row r="519" spans="1:14" ht="408.95" customHeight="1" x14ac:dyDescent="0.25">
      <c r="A519" s="29">
        <v>3</v>
      </c>
      <c r="B519" s="30" t="s">
        <v>150</v>
      </c>
      <c r="C519" s="31" t="s">
        <v>151</v>
      </c>
      <c r="D519" s="42" t="b">
        <v>0</v>
      </c>
      <c r="E519" s="30" t="s">
        <v>33</v>
      </c>
      <c r="F519" s="31" t="s">
        <v>25</v>
      </c>
      <c r="G519" s="31" t="s">
        <v>13</v>
      </c>
      <c r="H519" s="31" t="s">
        <v>14</v>
      </c>
      <c r="I519" s="31" t="s">
        <v>15</v>
      </c>
      <c r="J519" s="30" t="s">
        <v>7</v>
      </c>
      <c r="K519" s="33" t="s">
        <v>575</v>
      </c>
      <c r="L519" s="34">
        <v>46107.771369236114</v>
      </c>
      <c r="M519" s="17" t="b">
        <v>0</v>
      </c>
      <c r="N519" s="10" t="s">
        <v>660</v>
      </c>
    </row>
    <row r="520" spans="1:14" ht="408.95" customHeight="1" x14ac:dyDescent="0.25">
      <c r="A520" s="35">
        <v>3</v>
      </c>
      <c r="B520" s="36" t="s">
        <v>150</v>
      </c>
      <c r="C520" s="37" t="s">
        <v>151</v>
      </c>
      <c r="D520" s="41" t="b">
        <v>0</v>
      </c>
      <c r="E520" s="36" t="s">
        <v>33</v>
      </c>
      <c r="F520" s="37" t="s">
        <v>25</v>
      </c>
      <c r="G520" s="37" t="s">
        <v>17</v>
      </c>
      <c r="H520" s="37" t="s">
        <v>18</v>
      </c>
      <c r="I520" s="37" t="s">
        <v>19</v>
      </c>
      <c r="J520" s="36" t="s">
        <v>7</v>
      </c>
      <c r="K520" s="39" t="s">
        <v>576</v>
      </c>
      <c r="L520" s="40">
        <v>46107.771425150466</v>
      </c>
      <c r="M520" s="19" t="b">
        <v>0</v>
      </c>
      <c r="N520" s="9" t="s">
        <v>660</v>
      </c>
    </row>
    <row r="521" spans="1:14" ht="408.95" customHeight="1" x14ac:dyDescent="0.25">
      <c r="A521" s="29">
        <v>3</v>
      </c>
      <c r="B521" s="30" t="s">
        <v>150</v>
      </c>
      <c r="C521" s="31" t="s">
        <v>151</v>
      </c>
      <c r="D521" s="42" t="b">
        <v>0</v>
      </c>
      <c r="E521" s="30" t="s">
        <v>33</v>
      </c>
      <c r="F521" s="31" t="s">
        <v>25</v>
      </c>
      <c r="G521" s="31" t="s">
        <v>21</v>
      </c>
      <c r="H521" s="31" t="s">
        <v>22</v>
      </c>
      <c r="I521" s="31" t="s">
        <v>23</v>
      </c>
      <c r="J521" s="30" t="s">
        <v>7</v>
      </c>
      <c r="K521" s="33" t="s">
        <v>577</v>
      </c>
      <c r="L521" s="34">
        <v>46107.771537187502</v>
      </c>
      <c r="M521" s="17" t="b">
        <v>0</v>
      </c>
      <c r="N521" s="10" t="s">
        <v>660</v>
      </c>
    </row>
    <row r="522" spans="1:14" ht="408.95" customHeight="1" x14ac:dyDescent="0.25">
      <c r="A522" s="35">
        <v>3</v>
      </c>
      <c r="B522" s="36" t="s">
        <v>162</v>
      </c>
      <c r="C522" s="37" t="s">
        <v>163</v>
      </c>
      <c r="D522" s="38" t="b">
        <v>1</v>
      </c>
      <c r="E522" s="36" t="s">
        <v>164</v>
      </c>
      <c r="F522" s="37" t="s">
        <v>3</v>
      </c>
      <c r="G522" s="37" t="s">
        <v>4</v>
      </c>
      <c r="H522" s="37" t="s">
        <v>5</v>
      </c>
      <c r="I522" s="37" t="s">
        <v>6</v>
      </c>
      <c r="J522" s="36" t="s">
        <v>7</v>
      </c>
      <c r="K522" s="39" t="s">
        <v>578</v>
      </c>
      <c r="L522" s="40">
        <v>46107.771717164353</v>
      </c>
      <c r="M522" s="19" t="b">
        <v>0</v>
      </c>
      <c r="N522" s="11" t="s">
        <v>658</v>
      </c>
    </row>
    <row r="523" spans="1:14" ht="408.95" customHeight="1" x14ac:dyDescent="0.25">
      <c r="A523" s="29">
        <v>3</v>
      </c>
      <c r="B523" s="30" t="s">
        <v>162</v>
      </c>
      <c r="C523" s="31" t="s">
        <v>163</v>
      </c>
      <c r="D523" s="32" t="b">
        <v>1</v>
      </c>
      <c r="E523" s="30" t="s">
        <v>164</v>
      </c>
      <c r="F523" s="31" t="s">
        <v>3</v>
      </c>
      <c r="G523" s="31" t="s">
        <v>9</v>
      </c>
      <c r="H523" s="31" t="s">
        <v>10</v>
      </c>
      <c r="I523" s="31" t="s">
        <v>11</v>
      </c>
      <c r="J523" s="30" t="s">
        <v>7</v>
      </c>
      <c r="K523" s="33" t="s">
        <v>579</v>
      </c>
      <c r="L523" s="34">
        <v>46107.771934166667</v>
      </c>
      <c r="M523" s="16" t="b">
        <v>1</v>
      </c>
      <c r="N523" s="8" t="s">
        <v>659</v>
      </c>
    </row>
    <row r="524" spans="1:14" ht="408.95" customHeight="1" x14ac:dyDescent="0.25">
      <c r="A524" s="35">
        <v>3</v>
      </c>
      <c r="B524" s="36" t="s">
        <v>162</v>
      </c>
      <c r="C524" s="37" t="s">
        <v>163</v>
      </c>
      <c r="D524" s="38" t="b">
        <v>1</v>
      </c>
      <c r="E524" s="36" t="s">
        <v>164</v>
      </c>
      <c r="F524" s="37" t="s">
        <v>3</v>
      </c>
      <c r="G524" s="37" t="s">
        <v>13</v>
      </c>
      <c r="H524" s="37" t="s">
        <v>14</v>
      </c>
      <c r="I524" s="37" t="s">
        <v>15</v>
      </c>
      <c r="J524" s="36" t="s">
        <v>7</v>
      </c>
      <c r="K524" s="39" t="s">
        <v>580</v>
      </c>
      <c r="L524" s="40">
        <v>46107.772251527778</v>
      </c>
      <c r="M524" s="18" t="b">
        <v>1</v>
      </c>
      <c r="N524" s="7" t="s">
        <v>659</v>
      </c>
    </row>
    <row r="525" spans="1:14" ht="408.95" customHeight="1" x14ac:dyDescent="0.25">
      <c r="A525" s="29">
        <v>3</v>
      </c>
      <c r="B525" s="30" t="s">
        <v>162</v>
      </c>
      <c r="C525" s="31" t="s">
        <v>163</v>
      </c>
      <c r="D525" s="32" t="b">
        <v>1</v>
      </c>
      <c r="E525" s="30" t="s">
        <v>164</v>
      </c>
      <c r="F525" s="31" t="s">
        <v>3</v>
      </c>
      <c r="G525" s="31" t="s">
        <v>17</v>
      </c>
      <c r="H525" s="31" t="s">
        <v>18</v>
      </c>
      <c r="I525" s="31" t="s">
        <v>19</v>
      </c>
      <c r="J525" s="30" t="s">
        <v>7</v>
      </c>
      <c r="K525" s="33" t="s">
        <v>581</v>
      </c>
      <c r="L525" s="34">
        <v>46107.772356053239</v>
      </c>
      <c r="M525" s="16" t="b">
        <v>1</v>
      </c>
      <c r="N525" s="8" t="s">
        <v>659</v>
      </c>
    </row>
    <row r="526" spans="1:14" ht="408.95" customHeight="1" x14ac:dyDescent="0.25">
      <c r="A526" s="35">
        <v>3</v>
      </c>
      <c r="B526" s="36" t="s">
        <v>162</v>
      </c>
      <c r="C526" s="37" t="s">
        <v>163</v>
      </c>
      <c r="D526" s="38" t="b">
        <v>1</v>
      </c>
      <c r="E526" s="36" t="s">
        <v>164</v>
      </c>
      <c r="F526" s="37" t="s">
        <v>3</v>
      </c>
      <c r="G526" s="37" t="s">
        <v>21</v>
      </c>
      <c r="H526" s="37" t="s">
        <v>22</v>
      </c>
      <c r="I526" s="37" t="s">
        <v>23</v>
      </c>
      <c r="J526" s="36" t="s">
        <v>7</v>
      </c>
      <c r="K526" s="39" t="s">
        <v>582</v>
      </c>
      <c r="L526" s="40">
        <v>46107.772669872684</v>
      </c>
      <c r="M526" s="18" t="b">
        <v>1</v>
      </c>
      <c r="N526" s="7" t="s">
        <v>659</v>
      </c>
    </row>
    <row r="527" spans="1:14" ht="408.95" customHeight="1" x14ac:dyDescent="0.25">
      <c r="A527" s="29">
        <v>3</v>
      </c>
      <c r="B527" s="30" t="s">
        <v>162</v>
      </c>
      <c r="C527" s="31" t="s">
        <v>163</v>
      </c>
      <c r="D527" s="32" t="b">
        <v>1</v>
      </c>
      <c r="E527" s="30" t="s">
        <v>164</v>
      </c>
      <c r="F527" s="31" t="s">
        <v>25</v>
      </c>
      <c r="G527" s="31" t="s">
        <v>4</v>
      </c>
      <c r="H527" s="31" t="s">
        <v>5</v>
      </c>
      <c r="I527" s="31" t="s">
        <v>6</v>
      </c>
      <c r="J527" s="30" t="s">
        <v>7</v>
      </c>
      <c r="K527" s="33" t="s">
        <v>583</v>
      </c>
      <c r="L527" s="34">
        <v>46107.772855289353</v>
      </c>
      <c r="M527" s="16" t="b">
        <v>1</v>
      </c>
      <c r="N527" s="8" t="s">
        <v>659</v>
      </c>
    </row>
    <row r="528" spans="1:14" ht="408.95" customHeight="1" x14ac:dyDescent="0.25">
      <c r="A528" s="35">
        <v>3</v>
      </c>
      <c r="B528" s="36" t="s">
        <v>162</v>
      </c>
      <c r="C528" s="37" t="s">
        <v>163</v>
      </c>
      <c r="D528" s="38" t="b">
        <v>1</v>
      </c>
      <c r="E528" s="36" t="s">
        <v>164</v>
      </c>
      <c r="F528" s="37" t="s">
        <v>25</v>
      </c>
      <c r="G528" s="37" t="s">
        <v>9</v>
      </c>
      <c r="H528" s="37" t="s">
        <v>10</v>
      </c>
      <c r="I528" s="37" t="s">
        <v>11</v>
      </c>
      <c r="J528" s="36" t="s">
        <v>7</v>
      </c>
      <c r="K528" s="39" t="s">
        <v>584</v>
      </c>
      <c r="L528" s="40">
        <v>46107.77299208333</v>
      </c>
      <c r="M528" s="18" t="b">
        <v>1</v>
      </c>
      <c r="N528" s="7" t="s">
        <v>659</v>
      </c>
    </row>
    <row r="529" spans="1:14" ht="408.95" customHeight="1" x14ac:dyDescent="0.25">
      <c r="A529" s="29">
        <v>3</v>
      </c>
      <c r="B529" s="30" t="s">
        <v>162</v>
      </c>
      <c r="C529" s="31" t="s">
        <v>163</v>
      </c>
      <c r="D529" s="32" t="b">
        <v>1</v>
      </c>
      <c r="E529" s="30" t="s">
        <v>164</v>
      </c>
      <c r="F529" s="31" t="s">
        <v>25</v>
      </c>
      <c r="G529" s="31" t="s">
        <v>13</v>
      </c>
      <c r="H529" s="31" t="s">
        <v>14</v>
      </c>
      <c r="I529" s="31" t="s">
        <v>15</v>
      </c>
      <c r="J529" s="30" t="s">
        <v>7</v>
      </c>
      <c r="K529" s="33" t="s">
        <v>585</v>
      </c>
      <c r="L529" s="34">
        <v>46107.773197141207</v>
      </c>
      <c r="M529" s="16" t="b">
        <v>1</v>
      </c>
      <c r="N529" s="8" t="s">
        <v>659</v>
      </c>
    </row>
    <row r="530" spans="1:14" ht="408.95" customHeight="1" x14ac:dyDescent="0.25">
      <c r="A530" s="35">
        <v>3</v>
      </c>
      <c r="B530" s="36" t="s">
        <v>162</v>
      </c>
      <c r="C530" s="37" t="s">
        <v>163</v>
      </c>
      <c r="D530" s="38" t="b">
        <v>1</v>
      </c>
      <c r="E530" s="36" t="s">
        <v>164</v>
      </c>
      <c r="F530" s="37" t="s">
        <v>25</v>
      </c>
      <c r="G530" s="37" t="s">
        <v>17</v>
      </c>
      <c r="H530" s="37" t="s">
        <v>18</v>
      </c>
      <c r="I530" s="37" t="s">
        <v>19</v>
      </c>
      <c r="J530" s="36" t="s">
        <v>7</v>
      </c>
      <c r="K530" s="39" t="s">
        <v>586</v>
      </c>
      <c r="L530" s="40">
        <v>46107.773262743052</v>
      </c>
      <c r="M530" s="18" t="b">
        <v>1</v>
      </c>
      <c r="N530" s="7" t="s">
        <v>659</v>
      </c>
    </row>
    <row r="531" spans="1:14" ht="408.95" customHeight="1" x14ac:dyDescent="0.25">
      <c r="A531" s="29">
        <v>3</v>
      </c>
      <c r="B531" s="30" t="s">
        <v>162</v>
      </c>
      <c r="C531" s="31" t="s">
        <v>163</v>
      </c>
      <c r="D531" s="32" t="b">
        <v>1</v>
      </c>
      <c r="E531" s="30" t="s">
        <v>164</v>
      </c>
      <c r="F531" s="31" t="s">
        <v>25</v>
      </c>
      <c r="G531" s="31" t="s">
        <v>21</v>
      </c>
      <c r="H531" s="31" t="s">
        <v>22</v>
      </c>
      <c r="I531" s="31" t="s">
        <v>23</v>
      </c>
      <c r="J531" s="30" t="s">
        <v>7</v>
      </c>
      <c r="K531" s="33" t="s">
        <v>587</v>
      </c>
      <c r="L531" s="34">
        <v>46107.773411261573</v>
      </c>
      <c r="M531" s="16" t="b">
        <v>1</v>
      </c>
      <c r="N531" s="8" t="s">
        <v>659</v>
      </c>
    </row>
    <row r="532" spans="1:14" ht="408.95" customHeight="1" x14ac:dyDescent="0.25">
      <c r="A532" s="35">
        <v>3</v>
      </c>
      <c r="B532" s="36" t="s">
        <v>175</v>
      </c>
      <c r="C532" s="37" t="s">
        <v>176</v>
      </c>
      <c r="D532" s="41" t="b">
        <v>0</v>
      </c>
      <c r="E532" s="36" t="s">
        <v>33</v>
      </c>
      <c r="F532" s="37" t="s">
        <v>3</v>
      </c>
      <c r="G532" s="37" t="s">
        <v>4</v>
      </c>
      <c r="H532" s="37" t="s">
        <v>5</v>
      </c>
      <c r="I532" s="37" t="s">
        <v>6</v>
      </c>
      <c r="J532" s="36" t="s">
        <v>7</v>
      </c>
      <c r="K532" s="39" t="s">
        <v>588</v>
      </c>
      <c r="L532" s="40">
        <v>46107.773591516205</v>
      </c>
      <c r="M532" s="19" t="b">
        <v>0</v>
      </c>
      <c r="N532" s="9" t="s">
        <v>660</v>
      </c>
    </row>
    <row r="533" spans="1:14" ht="408.95" customHeight="1" x14ac:dyDescent="0.25">
      <c r="A533" s="29">
        <v>3</v>
      </c>
      <c r="B533" s="30" t="s">
        <v>175</v>
      </c>
      <c r="C533" s="31" t="s">
        <v>176</v>
      </c>
      <c r="D533" s="42" t="b">
        <v>0</v>
      </c>
      <c r="E533" s="30" t="s">
        <v>33</v>
      </c>
      <c r="F533" s="31" t="s">
        <v>3</v>
      </c>
      <c r="G533" s="31" t="s">
        <v>9</v>
      </c>
      <c r="H533" s="31" t="s">
        <v>10</v>
      </c>
      <c r="I533" s="31" t="s">
        <v>11</v>
      </c>
      <c r="J533" s="30" t="s">
        <v>7</v>
      </c>
      <c r="K533" s="33" t="s">
        <v>589</v>
      </c>
      <c r="L533" s="34">
        <v>46107.773760231481</v>
      </c>
      <c r="M533" s="17" t="b">
        <v>0</v>
      </c>
      <c r="N533" s="10" t="s">
        <v>660</v>
      </c>
    </row>
    <row r="534" spans="1:14" ht="408.95" customHeight="1" x14ac:dyDescent="0.25">
      <c r="A534" s="35">
        <v>3</v>
      </c>
      <c r="B534" s="36" t="s">
        <v>175</v>
      </c>
      <c r="C534" s="37" t="s">
        <v>176</v>
      </c>
      <c r="D534" s="41" t="b">
        <v>0</v>
      </c>
      <c r="E534" s="36" t="s">
        <v>33</v>
      </c>
      <c r="F534" s="37" t="s">
        <v>3</v>
      </c>
      <c r="G534" s="37" t="s">
        <v>13</v>
      </c>
      <c r="H534" s="37" t="s">
        <v>14</v>
      </c>
      <c r="I534" s="37" t="s">
        <v>15</v>
      </c>
      <c r="J534" s="36" t="s">
        <v>7</v>
      </c>
      <c r="K534" s="39" t="s">
        <v>590</v>
      </c>
      <c r="L534" s="40">
        <v>46107.774100277777</v>
      </c>
      <c r="M534" s="19" t="b">
        <v>0</v>
      </c>
      <c r="N534" s="9" t="s">
        <v>660</v>
      </c>
    </row>
    <row r="535" spans="1:14" ht="408.95" customHeight="1" x14ac:dyDescent="0.25">
      <c r="A535" s="29">
        <v>3</v>
      </c>
      <c r="B535" s="30" t="s">
        <v>175</v>
      </c>
      <c r="C535" s="31" t="s">
        <v>176</v>
      </c>
      <c r="D535" s="42" t="b">
        <v>0</v>
      </c>
      <c r="E535" s="30" t="s">
        <v>33</v>
      </c>
      <c r="F535" s="31" t="s">
        <v>3</v>
      </c>
      <c r="G535" s="31" t="s">
        <v>17</v>
      </c>
      <c r="H535" s="31" t="s">
        <v>18</v>
      </c>
      <c r="I535" s="31" t="s">
        <v>19</v>
      </c>
      <c r="J535" s="30" t="s">
        <v>7</v>
      </c>
      <c r="K535" s="33" t="s">
        <v>591</v>
      </c>
      <c r="L535" s="34">
        <v>46107.774223472225</v>
      </c>
      <c r="M535" s="17" t="b">
        <v>0</v>
      </c>
      <c r="N535" s="10" t="s">
        <v>660</v>
      </c>
    </row>
    <row r="536" spans="1:14" ht="408.95" customHeight="1" x14ac:dyDescent="0.25">
      <c r="A536" s="35">
        <v>3</v>
      </c>
      <c r="B536" s="36" t="s">
        <v>175</v>
      </c>
      <c r="C536" s="37" t="s">
        <v>176</v>
      </c>
      <c r="D536" s="41" t="b">
        <v>0</v>
      </c>
      <c r="E536" s="36" t="s">
        <v>33</v>
      </c>
      <c r="F536" s="37" t="s">
        <v>3</v>
      </c>
      <c r="G536" s="37" t="s">
        <v>21</v>
      </c>
      <c r="H536" s="37" t="s">
        <v>22</v>
      </c>
      <c r="I536" s="37" t="s">
        <v>23</v>
      </c>
      <c r="J536" s="36" t="s">
        <v>7</v>
      </c>
      <c r="K536" s="39" t="s">
        <v>592</v>
      </c>
      <c r="L536" s="40">
        <v>46107.774533009258</v>
      </c>
      <c r="M536" s="19" t="b">
        <v>0</v>
      </c>
      <c r="N536" s="9" t="s">
        <v>660</v>
      </c>
    </row>
    <row r="537" spans="1:14" ht="408.95" customHeight="1" x14ac:dyDescent="0.25">
      <c r="A537" s="29">
        <v>3</v>
      </c>
      <c r="B537" s="30" t="s">
        <v>175</v>
      </c>
      <c r="C537" s="31" t="s">
        <v>176</v>
      </c>
      <c r="D537" s="42" t="b">
        <v>0</v>
      </c>
      <c r="E537" s="30" t="s">
        <v>33</v>
      </c>
      <c r="F537" s="31" t="s">
        <v>25</v>
      </c>
      <c r="G537" s="31" t="s">
        <v>4</v>
      </c>
      <c r="H537" s="31" t="s">
        <v>5</v>
      </c>
      <c r="I537" s="31" t="s">
        <v>6</v>
      </c>
      <c r="J537" s="30" t="s">
        <v>7</v>
      </c>
      <c r="K537" s="33" t="s">
        <v>593</v>
      </c>
      <c r="L537" s="34">
        <v>46107.774740219909</v>
      </c>
      <c r="M537" s="17" t="b">
        <v>0</v>
      </c>
      <c r="N537" s="10" t="s">
        <v>660</v>
      </c>
    </row>
    <row r="538" spans="1:14" ht="408.95" customHeight="1" x14ac:dyDescent="0.25">
      <c r="A538" s="35">
        <v>3</v>
      </c>
      <c r="B538" s="36" t="s">
        <v>175</v>
      </c>
      <c r="C538" s="37" t="s">
        <v>176</v>
      </c>
      <c r="D538" s="41" t="b">
        <v>0</v>
      </c>
      <c r="E538" s="36" t="s">
        <v>33</v>
      </c>
      <c r="F538" s="37" t="s">
        <v>25</v>
      </c>
      <c r="G538" s="37" t="s">
        <v>9</v>
      </c>
      <c r="H538" s="37" t="s">
        <v>10</v>
      </c>
      <c r="I538" s="37" t="s">
        <v>11</v>
      </c>
      <c r="J538" s="36" t="s">
        <v>7</v>
      </c>
      <c r="K538" s="39" t="s">
        <v>594</v>
      </c>
      <c r="L538" s="40">
        <v>46107.774823842592</v>
      </c>
      <c r="M538" s="19" t="b">
        <v>0</v>
      </c>
      <c r="N538" s="9" t="s">
        <v>660</v>
      </c>
    </row>
    <row r="539" spans="1:14" ht="408.95" customHeight="1" x14ac:dyDescent="0.25">
      <c r="A539" s="29">
        <v>3</v>
      </c>
      <c r="B539" s="30" t="s">
        <v>175</v>
      </c>
      <c r="C539" s="31" t="s">
        <v>176</v>
      </c>
      <c r="D539" s="42" t="b">
        <v>0</v>
      </c>
      <c r="E539" s="30" t="s">
        <v>33</v>
      </c>
      <c r="F539" s="31" t="s">
        <v>25</v>
      </c>
      <c r="G539" s="31" t="s">
        <v>13</v>
      </c>
      <c r="H539" s="31" t="s">
        <v>14</v>
      </c>
      <c r="I539" s="31" t="s">
        <v>15</v>
      </c>
      <c r="J539" s="30" t="s">
        <v>7</v>
      </c>
      <c r="K539" s="33" t="s">
        <v>595</v>
      </c>
      <c r="L539" s="34">
        <v>46107.775007083335</v>
      </c>
      <c r="M539" s="17" t="b">
        <v>0</v>
      </c>
      <c r="N539" s="10" t="s">
        <v>660</v>
      </c>
    </row>
    <row r="540" spans="1:14" ht="408.95" customHeight="1" x14ac:dyDescent="0.25">
      <c r="A540" s="35">
        <v>3</v>
      </c>
      <c r="B540" s="36" t="s">
        <v>175</v>
      </c>
      <c r="C540" s="37" t="s">
        <v>176</v>
      </c>
      <c r="D540" s="41" t="b">
        <v>0</v>
      </c>
      <c r="E540" s="36" t="s">
        <v>33</v>
      </c>
      <c r="F540" s="37" t="s">
        <v>25</v>
      </c>
      <c r="G540" s="37" t="s">
        <v>17</v>
      </c>
      <c r="H540" s="37" t="s">
        <v>18</v>
      </c>
      <c r="I540" s="37" t="s">
        <v>19</v>
      </c>
      <c r="J540" s="36" t="s">
        <v>7</v>
      </c>
      <c r="K540" s="39" t="s">
        <v>596</v>
      </c>
      <c r="L540" s="40">
        <v>46107.775075011574</v>
      </c>
      <c r="M540" s="19" t="b">
        <v>0</v>
      </c>
      <c r="N540" s="9" t="s">
        <v>660</v>
      </c>
    </row>
    <row r="541" spans="1:14" ht="408.95" customHeight="1" x14ac:dyDescent="0.25">
      <c r="A541" s="29">
        <v>3</v>
      </c>
      <c r="B541" s="30" t="s">
        <v>175</v>
      </c>
      <c r="C541" s="31" t="s">
        <v>176</v>
      </c>
      <c r="D541" s="42" t="b">
        <v>0</v>
      </c>
      <c r="E541" s="30" t="s">
        <v>33</v>
      </c>
      <c r="F541" s="31" t="s">
        <v>25</v>
      </c>
      <c r="G541" s="31" t="s">
        <v>21</v>
      </c>
      <c r="H541" s="31" t="s">
        <v>22</v>
      </c>
      <c r="I541" s="31" t="s">
        <v>23</v>
      </c>
      <c r="J541" s="30" t="s">
        <v>7</v>
      </c>
      <c r="K541" s="33" t="s">
        <v>597</v>
      </c>
      <c r="L541" s="34">
        <v>46107.775211180553</v>
      </c>
      <c r="M541" s="17" t="b">
        <v>0</v>
      </c>
      <c r="N541" s="10" t="s">
        <v>660</v>
      </c>
    </row>
    <row r="542" spans="1:14" ht="408.95" customHeight="1" x14ac:dyDescent="0.25">
      <c r="A542" s="35">
        <v>3</v>
      </c>
      <c r="B542" s="36" t="s">
        <v>187</v>
      </c>
      <c r="C542" s="37" t="s">
        <v>188</v>
      </c>
      <c r="D542" s="38" t="b">
        <v>1</v>
      </c>
      <c r="E542" s="36" t="s">
        <v>164</v>
      </c>
      <c r="F542" s="37" t="s">
        <v>3</v>
      </c>
      <c r="G542" s="37" t="s">
        <v>4</v>
      </c>
      <c r="H542" s="37" t="s">
        <v>5</v>
      </c>
      <c r="I542" s="37" t="s">
        <v>6</v>
      </c>
      <c r="J542" s="36" t="s">
        <v>7</v>
      </c>
      <c r="K542" s="39" t="s">
        <v>598</v>
      </c>
      <c r="L542" s="40">
        <v>46107.77541224537</v>
      </c>
      <c r="M542" s="18" t="b">
        <v>1</v>
      </c>
      <c r="N542" s="7" t="s">
        <v>659</v>
      </c>
    </row>
    <row r="543" spans="1:14" ht="408.95" customHeight="1" x14ac:dyDescent="0.25">
      <c r="A543" s="29">
        <v>3</v>
      </c>
      <c r="B543" s="30" t="s">
        <v>187</v>
      </c>
      <c r="C543" s="31" t="s">
        <v>188</v>
      </c>
      <c r="D543" s="32" t="b">
        <v>1</v>
      </c>
      <c r="E543" s="30" t="s">
        <v>164</v>
      </c>
      <c r="F543" s="31" t="s">
        <v>3</v>
      </c>
      <c r="G543" s="31" t="s">
        <v>9</v>
      </c>
      <c r="H543" s="31" t="s">
        <v>10</v>
      </c>
      <c r="I543" s="31" t="s">
        <v>11</v>
      </c>
      <c r="J543" s="30" t="s">
        <v>7</v>
      </c>
      <c r="K543" s="33" t="s">
        <v>599</v>
      </c>
      <c r="L543" s="34">
        <v>46107.775560601855</v>
      </c>
      <c r="M543" s="17" t="b">
        <v>0</v>
      </c>
      <c r="N543" s="6" t="s">
        <v>658</v>
      </c>
    </row>
    <row r="544" spans="1:14" ht="408.95" customHeight="1" x14ac:dyDescent="0.25">
      <c r="A544" s="35">
        <v>3</v>
      </c>
      <c r="B544" s="36" t="s">
        <v>187</v>
      </c>
      <c r="C544" s="37" t="s">
        <v>188</v>
      </c>
      <c r="D544" s="38" t="b">
        <v>1</v>
      </c>
      <c r="E544" s="36" t="s">
        <v>164</v>
      </c>
      <c r="F544" s="37" t="s">
        <v>3</v>
      </c>
      <c r="G544" s="37" t="s">
        <v>13</v>
      </c>
      <c r="H544" s="37" t="s">
        <v>14</v>
      </c>
      <c r="I544" s="37" t="s">
        <v>15</v>
      </c>
      <c r="J544" s="36" t="s">
        <v>7</v>
      </c>
      <c r="K544" s="39" t="s">
        <v>600</v>
      </c>
      <c r="L544" s="40">
        <v>46107.77591611111</v>
      </c>
      <c r="M544" s="18" t="b">
        <v>1</v>
      </c>
      <c r="N544" s="7" t="s">
        <v>659</v>
      </c>
    </row>
    <row r="545" spans="1:14" ht="408.95" customHeight="1" x14ac:dyDescent="0.25">
      <c r="A545" s="29">
        <v>3</v>
      </c>
      <c r="B545" s="30" t="s">
        <v>187</v>
      </c>
      <c r="C545" s="31" t="s">
        <v>188</v>
      </c>
      <c r="D545" s="32" t="b">
        <v>1</v>
      </c>
      <c r="E545" s="30" t="s">
        <v>164</v>
      </c>
      <c r="F545" s="31" t="s">
        <v>3</v>
      </c>
      <c r="G545" s="31" t="s">
        <v>17</v>
      </c>
      <c r="H545" s="31" t="s">
        <v>18</v>
      </c>
      <c r="I545" s="31" t="s">
        <v>19</v>
      </c>
      <c r="J545" s="30" t="s">
        <v>7</v>
      </c>
      <c r="K545" s="33" t="s">
        <v>601</v>
      </c>
      <c r="L545" s="34">
        <v>46107.776038379627</v>
      </c>
      <c r="M545" s="16" t="b">
        <v>1</v>
      </c>
      <c r="N545" s="8" t="s">
        <v>659</v>
      </c>
    </row>
    <row r="546" spans="1:14" ht="408.95" customHeight="1" x14ac:dyDescent="0.25">
      <c r="A546" s="35">
        <v>3</v>
      </c>
      <c r="B546" s="36" t="s">
        <v>187</v>
      </c>
      <c r="C546" s="37" t="s">
        <v>188</v>
      </c>
      <c r="D546" s="38" t="b">
        <v>1</v>
      </c>
      <c r="E546" s="36" t="s">
        <v>164</v>
      </c>
      <c r="F546" s="37" t="s">
        <v>3</v>
      </c>
      <c r="G546" s="37" t="s">
        <v>21</v>
      </c>
      <c r="H546" s="37" t="s">
        <v>22</v>
      </c>
      <c r="I546" s="37" t="s">
        <v>23</v>
      </c>
      <c r="J546" s="36" t="s">
        <v>7</v>
      </c>
      <c r="K546" s="39" t="s">
        <v>602</v>
      </c>
      <c r="L546" s="40">
        <v>46107.776250462965</v>
      </c>
      <c r="M546" s="18" t="b">
        <v>1</v>
      </c>
      <c r="N546" s="7" t="s">
        <v>659</v>
      </c>
    </row>
    <row r="547" spans="1:14" ht="408.95" customHeight="1" x14ac:dyDescent="0.25">
      <c r="A547" s="29">
        <v>3</v>
      </c>
      <c r="B547" s="30" t="s">
        <v>187</v>
      </c>
      <c r="C547" s="31" t="s">
        <v>188</v>
      </c>
      <c r="D547" s="32" t="b">
        <v>1</v>
      </c>
      <c r="E547" s="30" t="s">
        <v>164</v>
      </c>
      <c r="F547" s="31" t="s">
        <v>25</v>
      </c>
      <c r="G547" s="31" t="s">
        <v>4</v>
      </c>
      <c r="H547" s="31" t="s">
        <v>5</v>
      </c>
      <c r="I547" s="31" t="s">
        <v>6</v>
      </c>
      <c r="J547" s="30" t="s">
        <v>7</v>
      </c>
      <c r="K547" s="33" t="s">
        <v>603</v>
      </c>
      <c r="L547" s="34">
        <v>46107.776544594904</v>
      </c>
      <c r="M547" s="16" t="b">
        <v>1</v>
      </c>
      <c r="N547" s="8" t="s">
        <v>659</v>
      </c>
    </row>
    <row r="548" spans="1:14" ht="408.95" customHeight="1" x14ac:dyDescent="0.25">
      <c r="A548" s="35">
        <v>3</v>
      </c>
      <c r="B548" s="36" t="s">
        <v>187</v>
      </c>
      <c r="C548" s="37" t="s">
        <v>188</v>
      </c>
      <c r="D548" s="38" t="b">
        <v>1</v>
      </c>
      <c r="E548" s="36" t="s">
        <v>164</v>
      </c>
      <c r="F548" s="37" t="s">
        <v>25</v>
      </c>
      <c r="G548" s="37" t="s">
        <v>9</v>
      </c>
      <c r="H548" s="37" t="s">
        <v>10</v>
      </c>
      <c r="I548" s="37" t="s">
        <v>11</v>
      </c>
      <c r="J548" s="36" t="s">
        <v>7</v>
      </c>
      <c r="K548" s="39" t="s">
        <v>604</v>
      </c>
      <c r="L548" s="40">
        <v>46107.776680428244</v>
      </c>
      <c r="M548" s="18" t="b">
        <v>1</v>
      </c>
      <c r="N548" s="7" t="s">
        <v>659</v>
      </c>
    </row>
    <row r="549" spans="1:14" ht="408.95" customHeight="1" x14ac:dyDescent="0.25">
      <c r="A549" s="29">
        <v>3</v>
      </c>
      <c r="B549" s="30" t="s">
        <v>187</v>
      </c>
      <c r="C549" s="31" t="s">
        <v>188</v>
      </c>
      <c r="D549" s="32" t="b">
        <v>1</v>
      </c>
      <c r="E549" s="30" t="s">
        <v>164</v>
      </c>
      <c r="F549" s="31" t="s">
        <v>25</v>
      </c>
      <c r="G549" s="31" t="s">
        <v>13</v>
      </c>
      <c r="H549" s="31" t="s">
        <v>14</v>
      </c>
      <c r="I549" s="31" t="s">
        <v>15</v>
      </c>
      <c r="J549" s="30" t="s">
        <v>7</v>
      </c>
      <c r="K549" s="33" t="s">
        <v>605</v>
      </c>
      <c r="L549" s="34">
        <v>46107.776935324073</v>
      </c>
      <c r="M549" s="16" t="b">
        <v>1</v>
      </c>
      <c r="N549" s="8" t="s">
        <v>659</v>
      </c>
    </row>
    <row r="550" spans="1:14" ht="408.95" customHeight="1" x14ac:dyDescent="0.25">
      <c r="A550" s="35">
        <v>3</v>
      </c>
      <c r="B550" s="36" t="s">
        <v>187</v>
      </c>
      <c r="C550" s="37" t="s">
        <v>188</v>
      </c>
      <c r="D550" s="38" t="b">
        <v>1</v>
      </c>
      <c r="E550" s="36" t="s">
        <v>164</v>
      </c>
      <c r="F550" s="37" t="s">
        <v>25</v>
      </c>
      <c r="G550" s="37" t="s">
        <v>17</v>
      </c>
      <c r="H550" s="37" t="s">
        <v>18</v>
      </c>
      <c r="I550" s="37" t="s">
        <v>19</v>
      </c>
      <c r="J550" s="36" t="s">
        <v>7</v>
      </c>
      <c r="K550" s="39" t="s">
        <v>606</v>
      </c>
      <c r="L550" s="40">
        <v>46107.77701690972</v>
      </c>
      <c r="M550" s="18" t="b">
        <v>1</v>
      </c>
      <c r="N550" s="7" t="s">
        <v>659</v>
      </c>
    </row>
    <row r="551" spans="1:14" ht="408.95" customHeight="1" x14ac:dyDescent="0.25">
      <c r="A551" s="29">
        <v>3</v>
      </c>
      <c r="B551" s="30" t="s">
        <v>187</v>
      </c>
      <c r="C551" s="31" t="s">
        <v>188</v>
      </c>
      <c r="D551" s="32" t="b">
        <v>1</v>
      </c>
      <c r="E551" s="30" t="s">
        <v>164</v>
      </c>
      <c r="F551" s="31" t="s">
        <v>25</v>
      </c>
      <c r="G551" s="31" t="s">
        <v>21</v>
      </c>
      <c r="H551" s="31" t="s">
        <v>22</v>
      </c>
      <c r="I551" s="31" t="s">
        <v>23</v>
      </c>
      <c r="J551" s="30" t="s">
        <v>7</v>
      </c>
      <c r="K551" s="33" t="s">
        <v>607</v>
      </c>
      <c r="L551" s="34">
        <v>46107.777176134259</v>
      </c>
      <c r="M551" s="16" t="b">
        <v>1</v>
      </c>
      <c r="N551" s="8" t="s">
        <v>659</v>
      </c>
    </row>
    <row r="552" spans="1:14" ht="408.95" customHeight="1" x14ac:dyDescent="0.25">
      <c r="A552" s="35">
        <v>3</v>
      </c>
      <c r="B552" s="36" t="s">
        <v>199</v>
      </c>
      <c r="C552" s="37" t="s">
        <v>200</v>
      </c>
      <c r="D552" s="41" t="b">
        <v>0</v>
      </c>
      <c r="E552" s="36" t="s">
        <v>33</v>
      </c>
      <c r="F552" s="37" t="s">
        <v>3</v>
      </c>
      <c r="G552" s="37" t="s">
        <v>4</v>
      </c>
      <c r="H552" s="37" t="s">
        <v>5</v>
      </c>
      <c r="I552" s="37" t="s">
        <v>6</v>
      </c>
      <c r="J552" s="36" t="s">
        <v>7</v>
      </c>
      <c r="K552" s="39" t="s">
        <v>608</v>
      </c>
      <c r="L552" s="40">
        <v>46107.777427685185</v>
      </c>
      <c r="M552" s="19" t="b">
        <v>0</v>
      </c>
      <c r="N552" s="9" t="s">
        <v>660</v>
      </c>
    </row>
    <row r="553" spans="1:14" ht="408.95" customHeight="1" x14ac:dyDescent="0.25">
      <c r="A553" s="29">
        <v>3</v>
      </c>
      <c r="B553" s="30" t="s">
        <v>199</v>
      </c>
      <c r="C553" s="31" t="s">
        <v>200</v>
      </c>
      <c r="D553" s="42" t="b">
        <v>0</v>
      </c>
      <c r="E553" s="30" t="s">
        <v>33</v>
      </c>
      <c r="F553" s="31" t="s">
        <v>3</v>
      </c>
      <c r="G553" s="31" t="s">
        <v>9</v>
      </c>
      <c r="H553" s="31" t="s">
        <v>10</v>
      </c>
      <c r="I553" s="31" t="s">
        <v>11</v>
      </c>
      <c r="J553" s="30" t="s">
        <v>7</v>
      </c>
      <c r="K553" s="33" t="s">
        <v>609</v>
      </c>
      <c r="L553" s="34">
        <v>46107.777638333333</v>
      </c>
      <c r="M553" s="17" t="b">
        <v>0</v>
      </c>
      <c r="N553" s="10" t="s">
        <v>660</v>
      </c>
    </row>
    <row r="554" spans="1:14" ht="408.95" customHeight="1" x14ac:dyDescent="0.25">
      <c r="A554" s="35">
        <v>3</v>
      </c>
      <c r="B554" s="36" t="s">
        <v>199</v>
      </c>
      <c r="C554" s="37" t="s">
        <v>200</v>
      </c>
      <c r="D554" s="41" t="b">
        <v>0</v>
      </c>
      <c r="E554" s="36" t="s">
        <v>33</v>
      </c>
      <c r="F554" s="37" t="s">
        <v>3</v>
      </c>
      <c r="G554" s="37" t="s">
        <v>13</v>
      </c>
      <c r="H554" s="37" t="s">
        <v>14</v>
      </c>
      <c r="I554" s="37" t="s">
        <v>15</v>
      </c>
      <c r="J554" s="36" t="s">
        <v>7</v>
      </c>
      <c r="K554" s="39" t="s">
        <v>610</v>
      </c>
      <c r="L554" s="40">
        <v>46107.777940972221</v>
      </c>
      <c r="M554" s="19" t="b">
        <v>0</v>
      </c>
      <c r="N554" s="9" t="s">
        <v>660</v>
      </c>
    </row>
    <row r="555" spans="1:14" ht="408.95" customHeight="1" x14ac:dyDescent="0.25">
      <c r="A555" s="29">
        <v>3</v>
      </c>
      <c r="B555" s="30" t="s">
        <v>199</v>
      </c>
      <c r="C555" s="31" t="s">
        <v>200</v>
      </c>
      <c r="D555" s="42" t="b">
        <v>0</v>
      </c>
      <c r="E555" s="30" t="s">
        <v>33</v>
      </c>
      <c r="F555" s="31" t="s">
        <v>3</v>
      </c>
      <c r="G555" s="31" t="s">
        <v>17</v>
      </c>
      <c r="H555" s="31" t="s">
        <v>18</v>
      </c>
      <c r="I555" s="31" t="s">
        <v>19</v>
      </c>
      <c r="J555" s="30" t="s">
        <v>7</v>
      </c>
      <c r="K555" s="33" t="s">
        <v>611</v>
      </c>
      <c r="L555" s="34">
        <v>46107.778073437497</v>
      </c>
      <c r="M555" s="17" t="b">
        <v>0</v>
      </c>
      <c r="N555" s="10" t="s">
        <v>660</v>
      </c>
    </row>
    <row r="556" spans="1:14" ht="408.95" customHeight="1" x14ac:dyDescent="0.25">
      <c r="A556" s="35">
        <v>3</v>
      </c>
      <c r="B556" s="36" t="s">
        <v>199</v>
      </c>
      <c r="C556" s="37" t="s">
        <v>200</v>
      </c>
      <c r="D556" s="41" t="b">
        <v>0</v>
      </c>
      <c r="E556" s="36" t="s">
        <v>33</v>
      </c>
      <c r="F556" s="37" t="s">
        <v>3</v>
      </c>
      <c r="G556" s="37" t="s">
        <v>21</v>
      </c>
      <c r="H556" s="37" t="s">
        <v>22</v>
      </c>
      <c r="I556" s="37" t="s">
        <v>23</v>
      </c>
      <c r="J556" s="36" t="s">
        <v>7</v>
      </c>
      <c r="K556" s="39" t="s">
        <v>612</v>
      </c>
      <c r="L556" s="40">
        <v>46107.778408113423</v>
      </c>
      <c r="M556" s="19" t="b">
        <v>0</v>
      </c>
      <c r="N556" s="9" t="s">
        <v>660</v>
      </c>
    </row>
    <row r="557" spans="1:14" ht="408.95" customHeight="1" x14ac:dyDescent="0.25">
      <c r="A557" s="29">
        <v>3</v>
      </c>
      <c r="B557" s="30" t="s">
        <v>199</v>
      </c>
      <c r="C557" s="31" t="s">
        <v>200</v>
      </c>
      <c r="D557" s="42" t="b">
        <v>0</v>
      </c>
      <c r="E557" s="30" t="s">
        <v>33</v>
      </c>
      <c r="F557" s="31" t="s">
        <v>25</v>
      </c>
      <c r="G557" s="31" t="s">
        <v>4</v>
      </c>
      <c r="H557" s="31" t="s">
        <v>5</v>
      </c>
      <c r="I557" s="31" t="s">
        <v>6</v>
      </c>
      <c r="J557" s="30" t="s">
        <v>7</v>
      </c>
      <c r="K557" s="33" t="s">
        <v>613</v>
      </c>
      <c r="L557" s="34">
        <v>46107.778556273151</v>
      </c>
      <c r="M557" s="17" t="b">
        <v>0</v>
      </c>
      <c r="N557" s="10" t="s">
        <v>660</v>
      </c>
    </row>
    <row r="558" spans="1:14" ht="408.95" customHeight="1" x14ac:dyDescent="0.25">
      <c r="A558" s="35">
        <v>3</v>
      </c>
      <c r="B558" s="36" t="s">
        <v>199</v>
      </c>
      <c r="C558" s="37" t="s">
        <v>200</v>
      </c>
      <c r="D558" s="41" t="b">
        <v>0</v>
      </c>
      <c r="E558" s="36" t="s">
        <v>33</v>
      </c>
      <c r="F558" s="37" t="s">
        <v>25</v>
      </c>
      <c r="G558" s="37" t="s">
        <v>9</v>
      </c>
      <c r="H558" s="37" t="s">
        <v>10</v>
      </c>
      <c r="I558" s="37" t="s">
        <v>11</v>
      </c>
      <c r="J558" s="36" t="s">
        <v>7</v>
      </c>
      <c r="K558" s="39" t="s">
        <v>614</v>
      </c>
      <c r="L558" s="40">
        <v>46107.778667488426</v>
      </c>
      <c r="M558" s="19" t="b">
        <v>0</v>
      </c>
      <c r="N558" s="9" t="s">
        <v>660</v>
      </c>
    </row>
    <row r="559" spans="1:14" ht="408.95" customHeight="1" x14ac:dyDescent="0.25">
      <c r="A559" s="29">
        <v>3</v>
      </c>
      <c r="B559" s="30" t="s">
        <v>199</v>
      </c>
      <c r="C559" s="31" t="s">
        <v>200</v>
      </c>
      <c r="D559" s="42" t="b">
        <v>0</v>
      </c>
      <c r="E559" s="30" t="s">
        <v>33</v>
      </c>
      <c r="F559" s="31" t="s">
        <v>25</v>
      </c>
      <c r="G559" s="31" t="s">
        <v>13</v>
      </c>
      <c r="H559" s="31" t="s">
        <v>14</v>
      </c>
      <c r="I559" s="31" t="s">
        <v>15</v>
      </c>
      <c r="J559" s="30" t="s">
        <v>7</v>
      </c>
      <c r="K559" s="33" t="s">
        <v>615</v>
      </c>
      <c r="L559" s="34">
        <v>46107.778963252313</v>
      </c>
      <c r="M559" s="16" t="b">
        <v>0</v>
      </c>
      <c r="N559" s="12" t="s">
        <v>660</v>
      </c>
    </row>
    <row r="560" spans="1:14" ht="408.95" customHeight="1" x14ac:dyDescent="0.25">
      <c r="A560" s="35">
        <v>3</v>
      </c>
      <c r="B560" s="36" t="s">
        <v>199</v>
      </c>
      <c r="C560" s="37" t="s">
        <v>200</v>
      </c>
      <c r="D560" s="41" t="b">
        <v>0</v>
      </c>
      <c r="E560" s="36" t="s">
        <v>33</v>
      </c>
      <c r="F560" s="37" t="s">
        <v>25</v>
      </c>
      <c r="G560" s="37" t="s">
        <v>17</v>
      </c>
      <c r="H560" s="37" t="s">
        <v>18</v>
      </c>
      <c r="I560" s="37" t="s">
        <v>19</v>
      </c>
      <c r="J560" s="36" t="s">
        <v>7</v>
      </c>
      <c r="K560" s="39" t="s">
        <v>616</v>
      </c>
      <c r="L560" s="40">
        <v>46107.779035752312</v>
      </c>
      <c r="M560" s="18" t="b">
        <v>1</v>
      </c>
      <c r="N560" s="13" t="s">
        <v>661</v>
      </c>
    </row>
    <row r="561" spans="1:14" ht="408.95" customHeight="1" x14ac:dyDescent="0.25">
      <c r="A561" s="29">
        <v>3</v>
      </c>
      <c r="B561" s="30" t="s">
        <v>199</v>
      </c>
      <c r="C561" s="31" t="s">
        <v>200</v>
      </c>
      <c r="D561" s="42" t="b">
        <v>0</v>
      </c>
      <c r="E561" s="30" t="s">
        <v>33</v>
      </c>
      <c r="F561" s="31" t="s">
        <v>25</v>
      </c>
      <c r="G561" s="31" t="s">
        <v>21</v>
      </c>
      <c r="H561" s="31" t="s">
        <v>22</v>
      </c>
      <c r="I561" s="31" t="s">
        <v>23</v>
      </c>
      <c r="J561" s="30" t="s">
        <v>7</v>
      </c>
      <c r="K561" s="33" t="s">
        <v>617</v>
      </c>
      <c r="L561" s="34">
        <v>46107.779275960645</v>
      </c>
      <c r="M561" s="17" t="b">
        <v>0</v>
      </c>
      <c r="N561" s="10" t="s">
        <v>660</v>
      </c>
    </row>
    <row r="562" spans="1:14" ht="408.95" customHeight="1" x14ac:dyDescent="0.25">
      <c r="A562" s="35">
        <v>3</v>
      </c>
      <c r="B562" s="36" t="s">
        <v>211</v>
      </c>
      <c r="C562" s="37" t="s">
        <v>212</v>
      </c>
      <c r="D562" s="38" t="b">
        <v>1</v>
      </c>
      <c r="E562" s="36" t="s">
        <v>213</v>
      </c>
      <c r="F562" s="37" t="s">
        <v>3</v>
      </c>
      <c r="G562" s="37" t="s">
        <v>4</v>
      </c>
      <c r="H562" s="37" t="s">
        <v>5</v>
      </c>
      <c r="I562" s="37" t="s">
        <v>6</v>
      </c>
      <c r="J562" s="36" t="s">
        <v>7</v>
      </c>
      <c r="K562" s="39" t="s">
        <v>618</v>
      </c>
      <c r="L562" s="40">
        <v>46107.779436481484</v>
      </c>
      <c r="M562" s="19" t="b">
        <v>0</v>
      </c>
      <c r="N562" s="11" t="s">
        <v>658</v>
      </c>
    </row>
    <row r="563" spans="1:14" ht="408.95" customHeight="1" x14ac:dyDescent="0.25">
      <c r="A563" s="29">
        <v>3</v>
      </c>
      <c r="B563" s="30" t="s">
        <v>211</v>
      </c>
      <c r="C563" s="31" t="s">
        <v>212</v>
      </c>
      <c r="D563" s="32" t="b">
        <v>1</v>
      </c>
      <c r="E563" s="30" t="s">
        <v>213</v>
      </c>
      <c r="F563" s="31" t="s">
        <v>3</v>
      </c>
      <c r="G563" s="31" t="s">
        <v>9</v>
      </c>
      <c r="H563" s="31" t="s">
        <v>10</v>
      </c>
      <c r="I563" s="31" t="s">
        <v>11</v>
      </c>
      <c r="J563" s="30" t="s">
        <v>7</v>
      </c>
      <c r="K563" s="33" t="s">
        <v>619</v>
      </c>
      <c r="L563" s="34">
        <v>46107.779732407405</v>
      </c>
      <c r="M563" s="17" t="b">
        <v>0</v>
      </c>
      <c r="N563" s="6" t="s">
        <v>658</v>
      </c>
    </row>
    <row r="564" spans="1:14" ht="408.95" customHeight="1" x14ac:dyDescent="0.25">
      <c r="A564" s="35">
        <v>3</v>
      </c>
      <c r="B564" s="36" t="s">
        <v>211</v>
      </c>
      <c r="C564" s="37" t="s">
        <v>212</v>
      </c>
      <c r="D564" s="38" t="b">
        <v>1</v>
      </c>
      <c r="E564" s="36" t="s">
        <v>213</v>
      </c>
      <c r="F564" s="37" t="s">
        <v>3</v>
      </c>
      <c r="G564" s="37" t="s">
        <v>13</v>
      </c>
      <c r="H564" s="37" t="s">
        <v>14</v>
      </c>
      <c r="I564" s="37" t="s">
        <v>15</v>
      </c>
      <c r="J564" s="36" t="s">
        <v>7</v>
      </c>
      <c r="K564" s="39" t="s">
        <v>620</v>
      </c>
      <c r="L564" s="40">
        <v>46107.78011832176</v>
      </c>
      <c r="M564" s="18" t="b">
        <v>1</v>
      </c>
      <c r="N564" s="7" t="s">
        <v>659</v>
      </c>
    </row>
    <row r="565" spans="1:14" ht="408.95" customHeight="1" x14ac:dyDescent="0.25">
      <c r="A565" s="29">
        <v>3</v>
      </c>
      <c r="B565" s="30" t="s">
        <v>211</v>
      </c>
      <c r="C565" s="31" t="s">
        <v>212</v>
      </c>
      <c r="D565" s="32" t="b">
        <v>1</v>
      </c>
      <c r="E565" s="30" t="s">
        <v>213</v>
      </c>
      <c r="F565" s="31" t="s">
        <v>3</v>
      </c>
      <c r="G565" s="31" t="s">
        <v>17</v>
      </c>
      <c r="H565" s="31" t="s">
        <v>18</v>
      </c>
      <c r="I565" s="31" t="s">
        <v>19</v>
      </c>
      <c r="J565" s="30" t="s">
        <v>7</v>
      </c>
      <c r="K565" s="33" t="s">
        <v>621</v>
      </c>
      <c r="L565" s="34">
        <v>46107.780229942131</v>
      </c>
      <c r="M565" s="17" t="b">
        <v>0</v>
      </c>
      <c r="N565" s="6" t="s">
        <v>658</v>
      </c>
    </row>
    <row r="566" spans="1:14" ht="408.95" customHeight="1" x14ac:dyDescent="0.25">
      <c r="A566" s="35">
        <v>3</v>
      </c>
      <c r="B566" s="36" t="s">
        <v>211</v>
      </c>
      <c r="C566" s="37" t="s">
        <v>212</v>
      </c>
      <c r="D566" s="38" t="b">
        <v>1</v>
      </c>
      <c r="E566" s="36" t="s">
        <v>213</v>
      </c>
      <c r="F566" s="37" t="s">
        <v>3</v>
      </c>
      <c r="G566" s="37" t="s">
        <v>21</v>
      </c>
      <c r="H566" s="37" t="s">
        <v>22</v>
      </c>
      <c r="I566" s="37" t="s">
        <v>23</v>
      </c>
      <c r="J566" s="36" t="s">
        <v>7</v>
      </c>
      <c r="K566" s="39" t="s">
        <v>622</v>
      </c>
      <c r="L566" s="40">
        <v>46107.780445590281</v>
      </c>
      <c r="M566" s="19" t="b">
        <v>0</v>
      </c>
      <c r="N566" s="11" t="s">
        <v>658</v>
      </c>
    </row>
    <row r="567" spans="1:14" ht="408.95" customHeight="1" x14ac:dyDescent="0.25">
      <c r="A567" s="29">
        <v>3</v>
      </c>
      <c r="B567" s="30" t="s">
        <v>211</v>
      </c>
      <c r="C567" s="31" t="s">
        <v>212</v>
      </c>
      <c r="D567" s="32" t="b">
        <v>1</v>
      </c>
      <c r="E567" s="30" t="s">
        <v>213</v>
      </c>
      <c r="F567" s="31" t="s">
        <v>25</v>
      </c>
      <c r="G567" s="31" t="s">
        <v>4</v>
      </c>
      <c r="H567" s="31" t="s">
        <v>5</v>
      </c>
      <c r="I567" s="31" t="s">
        <v>6</v>
      </c>
      <c r="J567" s="30" t="s">
        <v>7</v>
      </c>
      <c r="K567" s="33" t="s">
        <v>623</v>
      </c>
      <c r="L567" s="34">
        <v>46107.780604780091</v>
      </c>
      <c r="M567" s="16" t="b">
        <v>1</v>
      </c>
      <c r="N567" s="8" t="s">
        <v>659</v>
      </c>
    </row>
    <row r="568" spans="1:14" ht="408.95" customHeight="1" x14ac:dyDescent="0.25">
      <c r="A568" s="35">
        <v>3</v>
      </c>
      <c r="B568" s="36" t="s">
        <v>211</v>
      </c>
      <c r="C568" s="37" t="s">
        <v>212</v>
      </c>
      <c r="D568" s="38" t="b">
        <v>1</v>
      </c>
      <c r="E568" s="36" t="s">
        <v>213</v>
      </c>
      <c r="F568" s="37" t="s">
        <v>25</v>
      </c>
      <c r="G568" s="37" t="s">
        <v>9</v>
      </c>
      <c r="H568" s="37" t="s">
        <v>10</v>
      </c>
      <c r="I568" s="37" t="s">
        <v>11</v>
      </c>
      <c r="J568" s="36" t="s">
        <v>7</v>
      </c>
      <c r="K568" s="39" t="s">
        <v>624</v>
      </c>
      <c r="L568" s="40">
        <v>46107.780687372688</v>
      </c>
      <c r="M568" s="18" t="b">
        <v>1</v>
      </c>
      <c r="N568" s="7" t="s">
        <v>659</v>
      </c>
    </row>
    <row r="569" spans="1:14" ht="408.95" customHeight="1" x14ac:dyDescent="0.25">
      <c r="A569" s="29">
        <v>3</v>
      </c>
      <c r="B569" s="30" t="s">
        <v>211</v>
      </c>
      <c r="C569" s="31" t="s">
        <v>212</v>
      </c>
      <c r="D569" s="32" t="b">
        <v>1</v>
      </c>
      <c r="E569" s="30" t="s">
        <v>213</v>
      </c>
      <c r="F569" s="31" t="s">
        <v>25</v>
      </c>
      <c r="G569" s="31" t="s">
        <v>13</v>
      </c>
      <c r="H569" s="31" t="s">
        <v>14</v>
      </c>
      <c r="I569" s="31" t="s">
        <v>15</v>
      </c>
      <c r="J569" s="30" t="s">
        <v>7</v>
      </c>
      <c r="K569" s="33" t="s">
        <v>625</v>
      </c>
      <c r="L569" s="34">
        <v>46107.780920185185</v>
      </c>
      <c r="M569" s="16" t="b">
        <v>1</v>
      </c>
      <c r="N569" s="8" t="s">
        <v>659</v>
      </c>
    </row>
    <row r="570" spans="1:14" ht="408.95" customHeight="1" x14ac:dyDescent="0.25">
      <c r="A570" s="35">
        <v>3</v>
      </c>
      <c r="B570" s="36" t="s">
        <v>211</v>
      </c>
      <c r="C570" s="37" t="s">
        <v>212</v>
      </c>
      <c r="D570" s="38" t="b">
        <v>1</v>
      </c>
      <c r="E570" s="36" t="s">
        <v>213</v>
      </c>
      <c r="F570" s="37" t="s">
        <v>25</v>
      </c>
      <c r="G570" s="37" t="s">
        <v>17</v>
      </c>
      <c r="H570" s="37" t="s">
        <v>18</v>
      </c>
      <c r="I570" s="37" t="s">
        <v>19</v>
      </c>
      <c r="J570" s="36" t="s">
        <v>7</v>
      </c>
      <c r="K570" s="39" t="s">
        <v>626</v>
      </c>
      <c r="L570" s="40">
        <v>46107.780986261576</v>
      </c>
      <c r="M570" s="18" t="b">
        <v>1</v>
      </c>
      <c r="N570" s="7" t="s">
        <v>659</v>
      </c>
    </row>
    <row r="571" spans="1:14" ht="408.95" customHeight="1" x14ac:dyDescent="0.25">
      <c r="A571" s="29">
        <v>3</v>
      </c>
      <c r="B571" s="30" t="s">
        <v>211</v>
      </c>
      <c r="C571" s="31" t="s">
        <v>212</v>
      </c>
      <c r="D571" s="32" t="b">
        <v>1</v>
      </c>
      <c r="E571" s="30" t="s">
        <v>213</v>
      </c>
      <c r="F571" s="31" t="s">
        <v>25</v>
      </c>
      <c r="G571" s="31" t="s">
        <v>21</v>
      </c>
      <c r="H571" s="31" t="s">
        <v>22</v>
      </c>
      <c r="I571" s="31" t="s">
        <v>23</v>
      </c>
      <c r="J571" s="30" t="s">
        <v>7</v>
      </c>
      <c r="K571" s="33" t="s">
        <v>627</v>
      </c>
      <c r="L571" s="34">
        <v>46107.781124363428</v>
      </c>
      <c r="M571" s="16" t="b">
        <v>1</v>
      </c>
      <c r="N571" s="8" t="s">
        <v>659</v>
      </c>
    </row>
    <row r="572" spans="1:14" ht="408.95" customHeight="1" x14ac:dyDescent="0.25">
      <c r="A572" s="35">
        <v>3</v>
      </c>
      <c r="B572" s="36" t="s">
        <v>224</v>
      </c>
      <c r="C572" s="37" t="s">
        <v>225</v>
      </c>
      <c r="D572" s="41" t="b">
        <v>0</v>
      </c>
      <c r="E572" s="36" t="s">
        <v>33</v>
      </c>
      <c r="F572" s="37" t="s">
        <v>3</v>
      </c>
      <c r="G572" s="37" t="s">
        <v>4</v>
      </c>
      <c r="H572" s="37" t="s">
        <v>5</v>
      </c>
      <c r="I572" s="37" t="s">
        <v>6</v>
      </c>
      <c r="J572" s="36" t="s">
        <v>7</v>
      </c>
      <c r="K572" s="39" t="s">
        <v>628</v>
      </c>
      <c r="L572" s="40">
        <v>46107.781312824074</v>
      </c>
      <c r="M572" s="19" t="b">
        <v>0</v>
      </c>
      <c r="N572" s="9" t="s">
        <v>660</v>
      </c>
    </row>
    <row r="573" spans="1:14" ht="408.95" customHeight="1" x14ac:dyDescent="0.25">
      <c r="A573" s="29">
        <v>3</v>
      </c>
      <c r="B573" s="30" t="s">
        <v>224</v>
      </c>
      <c r="C573" s="31" t="s">
        <v>225</v>
      </c>
      <c r="D573" s="42" t="b">
        <v>0</v>
      </c>
      <c r="E573" s="30" t="s">
        <v>33</v>
      </c>
      <c r="F573" s="31" t="s">
        <v>3</v>
      </c>
      <c r="G573" s="31" t="s">
        <v>9</v>
      </c>
      <c r="H573" s="31" t="s">
        <v>10</v>
      </c>
      <c r="I573" s="31" t="s">
        <v>11</v>
      </c>
      <c r="J573" s="30" t="s">
        <v>7</v>
      </c>
      <c r="K573" s="33" t="s">
        <v>629</v>
      </c>
      <c r="L573" s="34">
        <v>46107.781534745372</v>
      </c>
      <c r="M573" s="17" t="b">
        <v>0</v>
      </c>
      <c r="N573" s="10" t="s">
        <v>660</v>
      </c>
    </row>
    <row r="574" spans="1:14" ht="408.95" customHeight="1" x14ac:dyDescent="0.25">
      <c r="A574" s="35">
        <v>3</v>
      </c>
      <c r="B574" s="36" t="s">
        <v>224</v>
      </c>
      <c r="C574" s="37" t="s">
        <v>225</v>
      </c>
      <c r="D574" s="41" t="b">
        <v>0</v>
      </c>
      <c r="E574" s="36" t="s">
        <v>33</v>
      </c>
      <c r="F574" s="37" t="s">
        <v>3</v>
      </c>
      <c r="G574" s="37" t="s">
        <v>13</v>
      </c>
      <c r="H574" s="37" t="s">
        <v>14</v>
      </c>
      <c r="I574" s="37" t="s">
        <v>15</v>
      </c>
      <c r="J574" s="36" t="s">
        <v>7</v>
      </c>
      <c r="K574" s="39" t="s">
        <v>630</v>
      </c>
      <c r="L574" s="40">
        <v>46107.781898518515</v>
      </c>
      <c r="M574" s="19" t="b">
        <v>0</v>
      </c>
      <c r="N574" s="9" t="s">
        <v>660</v>
      </c>
    </row>
    <row r="575" spans="1:14" ht="408.95" customHeight="1" x14ac:dyDescent="0.25">
      <c r="A575" s="29">
        <v>3</v>
      </c>
      <c r="B575" s="30" t="s">
        <v>224</v>
      </c>
      <c r="C575" s="31" t="s">
        <v>225</v>
      </c>
      <c r="D575" s="42" t="b">
        <v>0</v>
      </c>
      <c r="E575" s="30" t="s">
        <v>33</v>
      </c>
      <c r="F575" s="31" t="s">
        <v>3</v>
      </c>
      <c r="G575" s="31" t="s">
        <v>17</v>
      </c>
      <c r="H575" s="31" t="s">
        <v>18</v>
      </c>
      <c r="I575" s="31" t="s">
        <v>19</v>
      </c>
      <c r="J575" s="30" t="s">
        <v>7</v>
      </c>
      <c r="K575" s="33" t="s">
        <v>631</v>
      </c>
      <c r="L575" s="34">
        <v>46107.782039155092</v>
      </c>
      <c r="M575" s="17" t="b">
        <v>0</v>
      </c>
      <c r="N575" s="10" t="s">
        <v>660</v>
      </c>
    </row>
    <row r="576" spans="1:14" ht="408.95" customHeight="1" x14ac:dyDescent="0.25">
      <c r="A576" s="35">
        <v>3</v>
      </c>
      <c r="B576" s="36" t="s">
        <v>224</v>
      </c>
      <c r="C576" s="37" t="s">
        <v>225</v>
      </c>
      <c r="D576" s="41" t="b">
        <v>0</v>
      </c>
      <c r="E576" s="36" t="s">
        <v>33</v>
      </c>
      <c r="F576" s="37" t="s">
        <v>3</v>
      </c>
      <c r="G576" s="37" t="s">
        <v>21</v>
      </c>
      <c r="H576" s="37" t="s">
        <v>22</v>
      </c>
      <c r="I576" s="37" t="s">
        <v>23</v>
      </c>
      <c r="J576" s="36" t="s">
        <v>7</v>
      </c>
      <c r="K576" s="39" t="s">
        <v>632</v>
      </c>
      <c r="L576" s="40">
        <v>46107.782262789355</v>
      </c>
      <c r="M576" s="19" t="b">
        <v>0</v>
      </c>
      <c r="N576" s="9" t="s">
        <v>660</v>
      </c>
    </row>
    <row r="577" spans="1:14" ht="408.95" customHeight="1" x14ac:dyDescent="0.25">
      <c r="A577" s="29">
        <v>3</v>
      </c>
      <c r="B577" s="30" t="s">
        <v>224</v>
      </c>
      <c r="C577" s="31" t="s">
        <v>225</v>
      </c>
      <c r="D577" s="42" t="b">
        <v>0</v>
      </c>
      <c r="E577" s="30" t="s">
        <v>33</v>
      </c>
      <c r="F577" s="31" t="s">
        <v>25</v>
      </c>
      <c r="G577" s="31" t="s">
        <v>4</v>
      </c>
      <c r="H577" s="31" t="s">
        <v>5</v>
      </c>
      <c r="I577" s="31" t="s">
        <v>6</v>
      </c>
      <c r="J577" s="30" t="s">
        <v>7</v>
      </c>
      <c r="K577" s="33" t="s">
        <v>633</v>
      </c>
      <c r="L577" s="34">
        <v>46107.782456250003</v>
      </c>
      <c r="M577" s="17" t="b">
        <v>0</v>
      </c>
      <c r="N577" s="10" t="s">
        <v>660</v>
      </c>
    </row>
    <row r="578" spans="1:14" ht="408.95" customHeight="1" x14ac:dyDescent="0.25">
      <c r="A578" s="35">
        <v>3</v>
      </c>
      <c r="B578" s="36" t="s">
        <v>224</v>
      </c>
      <c r="C578" s="37" t="s">
        <v>225</v>
      </c>
      <c r="D578" s="41" t="b">
        <v>0</v>
      </c>
      <c r="E578" s="36" t="s">
        <v>33</v>
      </c>
      <c r="F578" s="37" t="s">
        <v>25</v>
      </c>
      <c r="G578" s="37" t="s">
        <v>9</v>
      </c>
      <c r="H578" s="37" t="s">
        <v>10</v>
      </c>
      <c r="I578" s="37" t="s">
        <v>11</v>
      </c>
      <c r="J578" s="36" t="s">
        <v>7</v>
      </c>
      <c r="K578" s="39" t="s">
        <v>634</v>
      </c>
      <c r="L578" s="40">
        <v>46107.782537106483</v>
      </c>
      <c r="M578" s="19" t="b">
        <v>0</v>
      </c>
      <c r="N578" s="9" t="s">
        <v>660</v>
      </c>
    </row>
    <row r="579" spans="1:14" ht="408.95" customHeight="1" x14ac:dyDescent="0.25">
      <c r="A579" s="29">
        <v>3</v>
      </c>
      <c r="B579" s="30" t="s">
        <v>224</v>
      </c>
      <c r="C579" s="31" t="s">
        <v>225</v>
      </c>
      <c r="D579" s="42" t="b">
        <v>0</v>
      </c>
      <c r="E579" s="30" t="s">
        <v>33</v>
      </c>
      <c r="F579" s="31" t="s">
        <v>25</v>
      </c>
      <c r="G579" s="31" t="s">
        <v>13</v>
      </c>
      <c r="H579" s="31" t="s">
        <v>14</v>
      </c>
      <c r="I579" s="31" t="s">
        <v>15</v>
      </c>
      <c r="J579" s="30" t="s">
        <v>7</v>
      </c>
      <c r="K579" s="33" t="s">
        <v>635</v>
      </c>
      <c r="L579" s="34">
        <v>46107.782700497686</v>
      </c>
      <c r="M579" s="17" t="b">
        <v>0</v>
      </c>
      <c r="N579" s="10" t="s">
        <v>660</v>
      </c>
    </row>
    <row r="580" spans="1:14" ht="408.95" customHeight="1" x14ac:dyDescent="0.25">
      <c r="A580" s="35">
        <v>3</v>
      </c>
      <c r="B580" s="36" t="s">
        <v>224</v>
      </c>
      <c r="C580" s="37" t="s">
        <v>225</v>
      </c>
      <c r="D580" s="41" t="b">
        <v>0</v>
      </c>
      <c r="E580" s="36" t="s">
        <v>33</v>
      </c>
      <c r="F580" s="37" t="s">
        <v>25</v>
      </c>
      <c r="G580" s="37" t="s">
        <v>17</v>
      </c>
      <c r="H580" s="37" t="s">
        <v>18</v>
      </c>
      <c r="I580" s="37" t="s">
        <v>19</v>
      </c>
      <c r="J580" s="36" t="s">
        <v>7</v>
      </c>
      <c r="K580" s="39" t="s">
        <v>636</v>
      </c>
      <c r="L580" s="40">
        <v>46107.782762442126</v>
      </c>
      <c r="M580" s="19" t="b">
        <v>0</v>
      </c>
      <c r="N580" s="9" t="s">
        <v>660</v>
      </c>
    </row>
    <row r="581" spans="1:14" ht="408.95" customHeight="1" x14ac:dyDescent="0.25">
      <c r="A581" s="29">
        <v>3</v>
      </c>
      <c r="B581" s="30" t="s">
        <v>224</v>
      </c>
      <c r="C581" s="31" t="s">
        <v>225</v>
      </c>
      <c r="D581" s="42" t="b">
        <v>0</v>
      </c>
      <c r="E581" s="30" t="s">
        <v>33</v>
      </c>
      <c r="F581" s="31" t="s">
        <v>25</v>
      </c>
      <c r="G581" s="31" t="s">
        <v>21</v>
      </c>
      <c r="H581" s="31" t="s">
        <v>22</v>
      </c>
      <c r="I581" s="31" t="s">
        <v>23</v>
      </c>
      <c r="J581" s="30" t="s">
        <v>7</v>
      </c>
      <c r="K581" s="33" t="s">
        <v>637</v>
      </c>
      <c r="L581" s="34">
        <v>46107.782887199071</v>
      </c>
      <c r="M581" s="17" t="b">
        <v>0</v>
      </c>
      <c r="N581" s="10" t="s">
        <v>660</v>
      </c>
    </row>
    <row r="582" spans="1:14" ht="408.95" customHeight="1" x14ac:dyDescent="0.25">
      <c r="A582" s="35">
        <v>3</v>
      </c>
      <c r="B582" s="36" t="s">
        <v>236</v>
      </c>
      <c r="C582" s="37" t="s">
        <v>212</v>
      </c>
      <c r="D582" s="38" t="b">
        <v>1</v>
      </c>
      <c r="E582" s="36" t="s">
        <v>213</v>
      </c>
      <c r="F582" s="37" t="s">
        <v>3</v>
      </c>
      <c r="G582" s="37" t="s">
        <v>4</v>
      </c>
      <c r="H582" s="37" t="s">
        <v>5</v>
      </c>
      <c r="I582" s="37" t="s">
        <v>6</v>
      </c>
      <c r="J582" s="36" t="s">
        <v>7</v>
      </c>
      <c r="K582" s="39" t="s">
        <v>638</v>
      </c>
      <c r="L582" s="40">
        <v>46107.783080196758</v>
      </c>
      <c r="M582" s="19" t="b">
        <v>0</v>
      </c>
      <c r="N582" s="11" t="s">
        <v>658</v>
      </c>
    </row>
    <row r="583" spans="1:14" ht="408.95" customHeight="1" x14ac:dyDescent="0.25">
      <c r="A583" s="29">
        <v>3</v>
      </c>
      <c r="B583" s="30" t="s">
        <v>236</v>
      </c>
      <c r="C583" s="31" t="s">
        <v>212</v>
      </c>
      <c r="D583" s="32" t="b">
        <v>1</v>
      </c>
      <c r="E583" s="30" t="s">
        <v>213</v>
      </c>
      <c r="F583" s="31" t="s">
        <v>3</v>
      </c>
      <c r="G583" s="31" t="s">
        <v>9</v>
      </c>
      <c r="H583" s="31" t="s">
        <v>10</v>
      </c>
      <c r="I583" s="31" t="s">
        <v>11</v>
      </c>
      <c r="J583" s="30" t="s">
        <v>7</v>
      </c>
      <c r="K583" s="33" t="s">
        <v>639</v>
      </c>
      <c r="L583" s="34">
        <v>46107.783298622686</v>
      </c>
      <c r="M583" s="17" t="b">
        <v>0</v>
      </c>
      <c r="N583" s="6" t="s">
        <v>658</v>
      </c>
    </row>
    <row r="584" spans="1:14" ht="408.95" customHeight="1" x14ac:dyDescent="0.25">
      <c r="A584" s="35">
        <v>3</v>
      </c>
      <c r="B584" s="36" t="s">
        <v>236</v>
      </c>
      <c r="C584" s="37" t="s">
        <v>212</v>
      </c>
      <c r="D584" s="38" t="b">
        <v>1</v>
      </c>
      <c r="E584" s="36" t="s">
        <v>213</v>
      </c>
      <c r="F584" s="37" t="s">
        <v>3</v>
      </c>
      <c r="G584" s="37" t="s">
        <v>13</v>
      </c>
      <c r="H584" s="37" t="s">
        <v>14</v>
      </c>
      <c r="I584" s="37" t="s">
        <v>15</v>
      </c>
      <c r="J584" s="36" t="s">
        <v>7</v>
      </c>
      <c r="K584" s="39" t="s">
        <v>640</v>
      </c>
      <c r="L584" s="40">
        <v>46107.783645347219</v>
      </c>
      <c r="M584" s="19" t="b">
        <v>0</v>
      </c>
      <c r="N584" s="11" t="s">
        <v>658</v>
      </c>
    </row>
    <row r="585" spans="1:14" ht="408.95" customHeight="1" x14ac:dyDescent="0.25">
      <c r="A585" s="29">
        <v>3</v>
      </c>
      <c r="B585" s="30" t="s">
        <v>236</v>
      </c>
      <c r="C585" s="31" t="s">
        <v>212</v>
      </c>
      <c r="D585" s="32" t="b">
        <v>1</v>
      </c>
      <c r="E585" s="30" t="s">
        <v>213</v>
      </c>
      <c r="F585" s="31" t="s">
        <v>3</v>
      </c>
      <c r="G585" s="31" t="s">
        <v>17</v>
      </c>
      <c r="H585" s="31" t="s">
        <v>18</v>
      </c>
      <c r="I585" s="31" t="s">
        <v>19</v>
      </c>
      <c r="J585" s="30" t="s">
        <v>7</v>
      </c>
      <c r="K585" s="33" t="s">
        <v>641</v>
      </c>
      <c r="L585" s="34">
        <v>46107.783766643515</v>
      </c>
      <c r="M585" s="17" t="b">
        <v>0</v>
      </c>
      <c r="N585" s="6" t="s">
        <v>658</v>
      </c>
    </row>
    <row r="586" spans="1:14" ht="408.95" customHeight="1" x14ac:dyDescent="0.25">
      <c r="A586" s="35">
        <v>3</v>
      </c>
      <c r="B586" s="36" t="s">
        <v>236</v>
      </c>
      <c r="C586" s="37" t="s">
        <v>212</v>
      </c>
      <c r="D586" s="38" t="b">
        <v>1</v>
      </c>
      <c r="E586" s="36" t="s">
        <v>213</v>
      </c>
      <c r="F586" s="37" t="s">
        <v>3</v>
      </c>
      <c r="G586" s="37" t="s">
        <v>21</v>
      </c>
      <c r="H586" s="37" t="s">
        <v>22</v>
      </c>
      <c r="I586" s="37" t="s">
        <v>23</v>
      </c>
      <c r="J586" s="36" t="s">
        <v>7</v>
      </c>
      <c r="K586" s="39" t="s">
        <v>642</v>
      </c>
      <c r="L586" s="40">
        <v>46107.784076574077</v>
      </c>
      <c r="M586" s="19" t="b">
        <v>0</v>
      </c>
      <c r="N586" s="11" t="s">
        <v>658</v>
      </c>
    </row>
    <row r="587" spans="1:14" ht="408.95" customHeight="1" x14ac:dyDescent="0.25">
      <c r="A587" s="29">
        <v>3</v>
      </c>
      <c r="B587" s="30" t="s">
        <v>236</v>
      </c>
      <c r="C587" s="31" t="s">
        <v>212</v>
      </c>
      <c r="D587" s="32" t="b">
        <v>1</v>
      </c>
      <c r="E587" s="30" t="s">
        <v>213</v>
      </c>
      <c r="F587" s="31" t="s">
        <v>25</v>
      </c>
      <c r="G587" s="31" t="s">
        <v>4</v>
      </c>
      <c r="H587" s="31" t="s">
        <v>5</v>
      </c>
      <c r="I587" s="31" t="s">
        <v>6</v>
      </c>
      <c r="J587" s="30" t="s">
        <v>7</v>
      </c>
      <c r="K587" s="33" t="s">
        <v>643</v>
      </c>
      <c r="L587" s="34">
        <v>46107.784271180557</v>
      </c>
      <c r="M587" s="16" t="b">
        <v>1</v>
      </c>
      <c r="N587" s="8" t="s">
        <v>659</v>
      </c>
    </row>
    <row r="588" spans="1:14" ht="408.95" customHeight="1" x14ac:dyDescent="0.25">
      <c r="A588" s="35">
        <v>3</v>
      </c>
      <c r="B588" s="36" t="s">
        <v>236</v>
      </c>
      <c r="C588" s="37" t="s">
        <v>212</v>
      </c>
      <c r="D588" s="38" t="b">
        <v>1</v>
      </c>
      <c r="E588" s="36" t="s">
        <v>213</v>
      </c>
      <c r="F588" s="37" t="s">
        <v>25</v>
      </c>
      <c r="G588" s="37" t="s">
        <v>9</v>
      </c>
      <c r="H588" s="37" t="s">
        <v>10</v>
      </c>
      <c r="I588" s="37" t="s">
        <v>11</v>
      </c>
      <c r="J588" s="36" t="s">
        <v>7</v>
      </c>
      <c r="K588" s="39" t="s">
        <v>644</v>
      </c>
      <c r="L588" s="40">
        <v>46107.784390821762</v>
      </c>
      <c r="M588" s="18" t="b">
        <v>1</v>
      </c>
      <c r="N588" s="7" t="s">
        <v>659</v>
      </c>
    </row>
    <row r="589" spans="1:14" ht="408.95" customHeight="1" x14ac:dyDescent="0.25">
      <c r="A589" s="29">
        <v>3</v>
      </c>
      <c r="B589" s="30" t="s">
        <v>236</v>
      </c>
      <c r="C589" s="31" t="s">
        <v>212</v>
      </c>
      <c r="D589" s="32" t="b">
        <v>1</v>
      </c>
      <c r="E589" s="30" t="s">
        <v>213</v>
      </c>
      <c r="F589" s="31" t="s">
        <v>25</v>
      </c>
      <c r="G589" s="31" t="s">
        <v>13</v>
      </c>
      <c r="H589" s="31" t="s">
        <v>14</v>
      </c>
      <c r="I589" s="31" t="s">
        <v>15</v>
      </c>
      <c r="J589" s="30" t="s">
        <v>7</v>
      </c>
      <c r="K589" s="33" t="s">
        <v>645</v>
      </c>
      <c r="L589" s="34">
        <v>46107.784679525466</v>
      </c>
      <c r="M589" s="16" t="b">
        <v>1</v>
      </c>
      <c r="N589" s="8" t="s">
        <v>659</v>
      </c>
    </row>
    <row r="590" spans="1:14" ht="408.95" customHeight="1" x14ac:dyDescent="0.25">
      <c r="A590" s="35">
        <v>3</v>
      </c>
      <c r="B590" s="36" t="s">
        <v>236</v>
      </c>
      <c r="C590" s="37" t="s">
        <v>212</v>
      </c>
      <c r="D590" s="38" t="b">
        <v>1</v>
      </c>
      <c r="E590" s="36" t="s">
        <v>213</v>
      </c>
      <c r="F590" s="37" t="s">
        <v>25</v>
      </c>
      <c r="G590" s="37" t="s">
        <v>17</v>
      </c>
      <c r="H590" s="37" t="s">
        <v>18</v>
      </c>
      <c r="I590" s="37" t="s">
        <v>19</v>
      </c>
      <c r="J590" s="36" t="s">
        <v>7</v>
      </c>
      <c r="K590" s="39" t="s">
        <v>646</v>
      </c>
      <c r="L590" s="40">
        <v>46107.784752326392</v>
      </c>
      <c r="M590" s="18" t="b">
        <v>1</v>
      </c>
      <c r="N590" s="7" t="s">
        <v>659</v>
      </c>
    </row>
    <row r="591" spans="1:14" ht="408.95" customHeight="1" x14ac:dyDescent="0.25">
      <c r="A591" s="29">
        <v>3</v>
      </c>
      <c r="B591" s="30" t="s">
        <v>236</v>
      </c>
      <c r="C591" s="31" t="s">
        <v>212</v>
      </c>
      <c r="D591" s="32" t="b">
        <v>1</v>
      </c>
      <c r="E591" s="30" t="s">
        <v>213</v>
      </c>
      <c r="F591" s="31" t="s">
        <v>25</v>
      </c>
      <c r="G591" s="31" t="s">
        <v>21</v>
      </c>
      <c r="H591" s="31" t="s">
        <v>22</v>
      </c>
      <c r="I591" s="31" t="s">
        <v>23</v>
      </c>
      <c r="J591" s="30" t="s">
        <v>7</v>
      </c>
      <c r="K591" s="33" t="s">
        <v>647</v>
      </c>
      <c r="L591" s="34">
        <v>46107.784946111111</v>
      </c>
      <c r="M591" s="16" t="b">
        <v>1</v>
      </c>
      <c r="N591" s="8" t="s">
        <v>659</v>
      </c>
    </row>
    <row r="592" spans="1:14" ht="408.95" customHeight="1" x14ac:dyDescent="0.25">
      <c r="A592" s="35">
        <v>3</v>
      </c>
      <c r="B592" s="36" t="s">
        <v>247</v>
      </c>
      <c r="C592" s="37" t="s">
        <v>225</v>
      </c>
      <c r="D592" s="41" t="b">
        <v>0</v>
      </c>
      <c r="E592" s="36" t="s">
        <v>33</v>
      </c>
      <c r="F592" s="37" t="s">
        <v>3</v>
      </c>
      <c r="G592" s="37" t="s">
        <v>4</v>
      </c>
      <c r="H592" s="37" t="s">
        <v>5</v>
      </c>
      <c r="I592" s="37" t="s">
        <v>6</v>
      </c>
      <c r="J592" s="36" t="s">
        <v>7</v>
      </c>
      <c r="K592" s="39" t="s">
        <v>648</v>
      </c>
      <c r="L592" s="40">
        <v>46107.785298113427</v>
      </c>
      <c r="M592" s="19" t="b">
        <v>0</v>
      </c>
      <c r="N592" s="9" t="s">
        <v>660</v>
      </c>
    </row>
    <row r="593" spans="1:14" ht="408.95" customHeight="1" x14ac:dyDescent="0.25">
      <c r="A593" s="29">
        <v>3</v>
      </c>
      <c r="B593" s="30" t="s">
        <v>247</v>
      </c>
      <c r="C593" s="31" t="s">
        <v>225</v>
      </c>
      <c r="D593" s="42" t="b">
        <v>0</v>
      </c>
      <c r="E593" s="30" t="s">
        <v>33</v>
      </c>
      <c r="F593" s="31" t="s">
        <v>3</v>
      </c>
      <c r="G593" s="31" t="s">
        <v>9</v>
      </c>
      <c r="H593" s="31" t="s">
        <v>10</v>
      </c>
      <c r="I593" s="31" t="s">
        <v>11</v>
      </c>
      <c r="J593" s="30" t="s">
        <v>7</v>
      </c>
      <c r="K593" s="33" t="s">
        <v>649</v>
      </c>
      <c r="L593" s="34">
        <v>46107.785532592592</v>
      </c>
      <c r="M593" s="17" t="b">
        <v>0</v>
      </c>
      <c r="N593" s="10" t="s">
        <v>660</v>
      </c>
    </row>
    <row r="594" spans="1:14" ht="408.95" customHeight="1" x14ac:dyDescent="0.25">
      <c r="A594" s="35">
        <v>3</v>
      </c>
      <c r="B594" s="36" t="s">
        <v>247</v>
      </c>
      <c r="C594" s="37" t="s">
        <v>225</v>
      </c>
      <c r="D594" s="41" t="b">
        <v>0</v>
      </c>
      <c r="E594" s="36" t="s">
        <v>33</v>
      </c>
      <c r="F594" s="37" t="s">
        <v>3</v>
      </c>
      <c r="G594" s="37" t="s">
        <v>13</v>
      </c>
      <c r="H594" s="37" t="s">
        <v>14</v>
      </c>
      <c r="I594" s="37" t="s">
        <v>15</v>
      </c>
      <c r="J594" s="36" t="s">
        <v>7</v>
      </c>
      <c r="K594" s="39" t="s">
        <v>650</v>
      </c>
      <c r="L594" s="40">
        <v>46107.785893101849</v>
      </c>
      <c r="M594" s="19" t="b">
        <v>0</v>
      </c>
      <c r="N594" s="9" t="s">
        <v>660</v>
      </c>
    </row>
    <row r="595" spans="1:14" ht="408.95" customHeight="1" x14ac:dyDescent="0.25">
      <c r="A595" s="29">
        <v>3</v>
      </c>
      <c r="B595" s="30" t="s">
        <v>247</v>
      </c>
      <c r="C595" s="31" t="s">
        <v>225</v>
      </c>
      <c r="D595" s="42" t="b">
        <v>0</v>
      </c>
      <c r="E595" s="30" t="s">
        <v>33</v>
      </c>
      <c r="F595" s="31" t="s">
        <v>3</v>
      </c>
      <c r="G595" s="31" t="s">
        <v>17</v>
      </c>
      <c r="H595" s="31" t="s">
        <v>18</v>
      </c>
      <c r="I595" s="31" t="s">
        <v>19</v>
      </c>
      <c r="J595" s="30" t="s">
        <v>7</v>
      </c>
      <c r="K595" s="33" t="s">
        <v>651</v>
      </c>
      <c r="L595" s="34">
        <v>46107.78603570602</v>
      </c>
      <c r="M595" s="17" t="b">
        <v>0</v>
      </c>
      <c r="N595" s="10" t="s">
        <v>660</v>
      </c>
    </row>
    <row r="596" spans="1:14" ht="408.95" customHeight="1" x14ac:dyDescent="0.25">
      <c r="A596" s="35">
        <v>3</v>
      </c>
      <c r="B596" s="36" t="s">
        <v>247</v>
      </c>
      <c r="C596" s="37" t="s">
        <v>225</v>
      </c>
      <c r="D596" s="41" t="b">
        <v>0</v>
      </c>
      <c r="E596" s="36" t="s">
        <v>33</v>
      </c>
      <c r="F596" s="37" t="s">
        <v>3</v>
      </c>
      <c r="G596" s="37" t="s">
        <v>21</v>
      </c>
      <c r="H596" s="37" t="s">
        <v>22</v>
      </c>
      <c r="I596" s="37" t="s">
        <v>23</v>
      </c>
      <c r="J596" s="36" t="s">
        <v>7</v>
      </c>
      <c r="K596" s="39" t="s">
        <v>652</v>
      </c>
      <c r="L596" s="40">
        <v>46107.786286875002</v>
      </c>
      <c r="M596" s="19" t="b">
        <v>0</v>
      </c>
      <c r="N596" s="9" t="s">
        <v>660</v>
      </c>
    </row>
    <row r="597" spans="1:14" ht="408.95" customHeight="1" x14ac:dyDescent="0.25">
      <c r="A597" s="29">
        <v>3</v>
      </c>
      <c r="B597" s="30" t="s">
        <v>247</v>
      </c>
      <c r="C597" s="31" t="s">
        <v>225</v>
      </c>
      <c r="D597" s="42" t="b">
        <v>0</v>
      </c>
      <c r="E597" s="30" t="s">
        <v>33</v>
      </c>
      <c r="F597" s="31" t="s">
        <v>25</v>
      </c>
      <c r="G597" s="31" t="s">
        <v>4</v>
      </c>
      <c r="H597" s="31" t="s">
        <v>5</v>
      </c>
      <c r="I597" s="31" t="s">
        <v>6</v>
      </c>
      <c r="J597" s="30" t="s">
        <v>7</v>
      </c>
      <c r="K597" s="33" t="s">
        <v>653</v>
      </c>
      <c r="L597" s="34">
        <v>46107.786389004628</v>
      </c>
      <c r="M597" s="17" t="b">
        <v>0</v>
      </c>
      <c r="N597" s="10" t="s">
        <v>660</v>
      </c>
    </row>
    <row r="598" spans="1:14" ht="408.95" customHeight="1" x14ac:dyDescent="0.25">
      <c r="A598" s="35">
        <v>3</v>
      </c>
      <c r="B598" s="36" t="s">
        <v>247</v>
      </c>
      <c r="C598" s="37" t="s">
        <v>225</v>
      </c>
      <c r="D598" s="41" t="b">
        <v>0</v>
      </c>
      <c r="E598" s="36" t="s">
        <v>33</v>
      </c>
      <c r="F598" s="37" t="s">
        <v>25</v>
      </c>
      <c r="G598" s="37" t="s">
        <v>9</v>
      </c>
      <c r="H598" s="37" t="s">
        <v>10</v>
      </c>
      <c r="I598" s="37" t="s">
        <v>11</v>
      </c>
      <c r="J598" s="36" t="s">
        <v>7</v>
      </c>
      <c r="K598" s="39" t="s">
        <v>654</v>
      </c>
      <c r="L598" s="40">
        <v>46107.786489467595</v>
      </c>
      <c r="M598" s="19" t="b">
        <v>0</v>
      </c>
      <c r="N598" s="9" t="s">
        <v>660</v>
      </c>
    </row>
    <row r="599" spans="1:14" ht="408.95" customHeight="1" x14ac:dyDescent="0.25">
      <c r="A599" s="29">
        <v>3</v>
      </c>
      <c r="B599" s="30" t="s">
        <v>247</v>
      </c>
      <c r="C599" s="31" t="s">
        <v>225</v>
      </c>
      <c r="D599" s="42" t="b">
        <v>0</v>
      </c>
      <c r="E599" s="30" t="s">
        <v>33</v>
      </c>
      <c r="F599" s="31" t="s">
        <v>25</v>
      </c>
      <c r="G599" s="31" t="s">
        <v>13</v>
      </c>
      <c r="H599" s="31" t="s">
        <v>14</v>
      </c>
      <c r="I599" s="31" t="s">
        <v>15</v>
      </c>
      <c r="J599" s="30" t="s">
        <v>7</v>
      </c>
      <c r="K599" s="33" t="s">
        <v>655</v>
      </c>
      <c r="L599" s="34">
        <v>46107.786672060189</v>
      </c>
      <c r="M599" s="17" t="b">
        <v>0</v>
      </c>
      <c r="N599" s="10" t="s">
        <v>660</v>
      </c>
    </row>
    <row r="600" spans="1:14" ht="408.95" customHeight="1" x14ac:dyDescent="0.25">
      <c r="A600" s="35">
        <v>3</v>
      </c>
      <c r="B600" s="36" t="s">
        <v>247</v>
      </c>
      <c r="C600" s="37" t="s">
        <v>225</v>
      </c>
      <c r="D600" s="41" t="b">
        <v>0</v>
      </c>
      <c r="E600" s="36" t="s">
        <v>33</v>
      </c>
      <c r="F600" s="37" t="s">
        <v>25</v>
      </c>
      <c r="G600" s="37" t="s">
        <v>17</v>
      </c>
      <c r="H600" s="37" t="s">
        <v>18</v>
      </c>
      <c r="I600" s="37" t="s">
        <v>19</v>
      </c>
      <c r="J600" s="36" t="s">
        <v>7</v>
      </c>
      <c r="K600" s="39" t="s">
        <v>656</v>
      </c>
      <c r="L600" s="40">
        <v>46107.78673634259</v>
      </c>
      <c r="M600" s="19" t="b">
        <v>0</v>
      </c>
      <c r="N600" s="9" t="s">
        <v>660</v>
      </c>
    </row>
    <row r="601" spans="1:14" ht="408.95" customHeight="1" thickBot="1" x14ac:dyDescent="0.3">
      <c r="A601" s="43">
        <v>3</v>
      </c>
      <c r="B601" s="44" t="s">
        <v>247</v>
      </c>
      <c r="C601" s="45" t="s">
        <v>225</v>
      </c>
      <c r="D601" s="46" t="b">
        <v>0</v>
      </c>
      <c r="E601" s="44" t="s">
        <v>33</v>
      </c>
      <c r="F601" s="45" t="s">
        <v>25</v>
      </c>
      <c r="G601" s="45" t="s">
        <v>21</v>
      </c>
      <c r="H601" s="45" t="s">
        <v>22</v>
      </c>
      <c r="I601" s="45" t="s">
        <v>23</v>
      </c>
      <c r="J601" s="44" t="s">
        <v>7</v>
      </c>
      <c r="K601" s="47" t="s">
        <v>657</v>
      </c>
      <c r="L601" s="48">
        <v>46107.786862337962</v>
      </c>
      <c r="M601" s="20" t="b">
        <v>0</v>
      </c>
      <c r="N601" s="14" t="s">
        <v>660</v>
      </c>
    </row>
  </sheetData>
  <pageMargins left="0.23622047244094491" right="0.23622047244094491" top="0.74803149606299213" bottom="0.74803149606299213" header="0.31496062992125984" footer="0.31496062992125984"/>
  <pageSetup paperSize="8" scale="45" fitToHeight="0" orientation="landscape"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1D9A1-8134-4703-9AC1-4094C66D9107}">
  <sheetPr>
    <pageSetUpPr fitToPage="1"/>
  </sheetPr>
  <dimension ref="A1:P100"/>
  <sheetViews>
    <sheetView zoomScale="130" zoomScaleNormal="130" workbookViewId="0">
      <pane ySplit="3" topLeftCell="A128" activePane="bottomLeft" state="frozen"/>
      <selection pane="bottomLeft" activeCell="D77" sqref="D77"/>
    </sheetView>
  </sheetViews>
  <sheetFormatPr defaultRowHeight="15" x14ac:dyDescent="0.25"/>
  <cols>
    <col min="1" max="1" width="26.7109375" customWidth="1"/>
    <col min="2" max="2" width="33.28515625" customWidth="1"/>
    <col min="3" max="6" width="17.140625" customWidth="1"/>
    <col min="7" max="8" width="18.140625" customWidth="1"/>
    <col min="9" max="9" width="17.140625" customWidth="1"/>
    <col min="10" max="10" width="19" customWidth="1"/>
    <col min="12" max="16" width="0" hidden="1" customWidth="1"/>
  </cols>
  <sheetData>
    <row r="1" spans="1:10" ht="32.1" customHeight="1" x14ac:dyDescent="0.25">
      <c r="A1" s="131" t="s">
        <v>695</v>
      </c>
      <c r="B1" s="132"/>
      <c r="C1" s="132"/>
      <c r="D1" s="132"/>
      <c r="E1" s="132"/>
      <c r="F1" s="132"/>
      <c r="G1" s="132"/>
      <c r="H1" s="132"/>
      <c r="I1" s="132"/>
      <c r="J1" s="132"/>
    </row>
    <row r="2" spans="1:10" ht="26.1" customHeight="1" x14ac:dyDescent="0.25">
      <c r="A2" s="133" t="s">
        <v>696</v>
      </c>
      <c r="B2" s="132"/>
      <c r="C2" s="132"/>
      <c r="D2" s="132"/>
      <c r="E2" s="132"/>
      <c r="F2" s="132"/>
      <c r="G2" s="132"/>
      <c r="H2" s="132"/>
      <c r="I2" s="132"/>
      <c r="J2" s="132"/>
    </row>
    <row r="3" spans="1:10" x14ac:dyDescent="0.25">
      <c r="A3" s="52"/>
      <c r="B3" s="52"/>
      <c r="C3" s="52"/>
      <c r="D3" s="52"/>
      <c r="E3" s="52"/>
      <c r="F3" s="52"/>
      <c r="G3" s="52"/>
      <c r="H3" s="52"/>
      <c r="I3" s="52"/>
      <c r="J3" s="52"/>
    </row>
    <row r="4" spans="1:10" ht="24" customHeight="1" x14ac:dyDescent="0.25">
      <c r="A4" s="130" t="s">
        <v>697</v>
      </c>
      <c r="B4" s="130"/>
      <c r="C4" s="130"/>
      <c r="D4" s="130"/>
      <c r="E4" s="130"/>
      <c r="F4" s="130"/>
      <c r="G4" s="130"/>
      <c r="H4" s="130"/>
      <c r="I4" s="130"/>
      <c r="J4" s="130"/>
    </row>
    <row r="5" spans="1:10" ht="30" customHeight="1" x14ac:dyDescent="0.25">
      <c r="A5" s="134" t="s">
        <v>698</v>
      </c>
      <c r="B5" s="134"/>
      <c r="C5" s="134"/>
      <c r="D5" s="134"/>
      <c r="E5" s="134"/>
      <c r="F5" s="134"/>
      <c r="G5" s="134"/>
      <c r="H5" s="134"/>
      <c r="I5" s="134"/>
      <c r="J5" s="134"/>
    </row>
    <row r="6" spans="1:10" ht="15.75" thickBot="1" x14ac:dyDescent="0.3">
      <c r="A6" s="52"/>
      <c r="B6" s="52"/>
      <c r="C6" s="52"/>
      <c r="D6" s="52"/>
      <c r="E6" s="52"/>
      <c r="F6" s="52"/>
      <c r="G6" s="52"/>
      <c r="H6" s="52"/>
      <c r="I6" s="52"/>
      <c r="J6" s="52"/>
    </row>
    <row r="7" spans="1:10" x14ac:dyDescent="0.25">
      <c r="A7" s="52"/>
      <c r="B7" s="52"/>
      <c r="C7" s="135" t="s">
        <v>699</v>
      </c>
      <c r="D7" s="136"/>
      <c r="E7" s="56"/>
      <c r="F7" s="52"/>
      <c r="G7" s="52"/>
      <c r="H7" s="52"/>
      <c r="I7" s="52"/>
      <c r="J7" s="52"/>
    </row>
    <row r="8" spans="1:10" x14ac:dyDescent="0.25">
      <c r="A8" s="52"/>
      <c r="B8" s="52"/>
      <c r="C8" s="57" t="s">
        <v>700</v>
      </c>
      <c r="D8" s="58" t="s">
        <v>701</v>
      </c>
      <c r="E8" s="59" t="s">
        <v>702</v>
      </c>
      <c r="F8" s="52"/>
      <c r="G8" s="52"/>
      <c r="H8" s="52"/>
      <c r="I8" s="52"/>
      <c r="J8" s="52"/>
    </row>
    <row r="9" spans="1:10" ht="30" customHeight="1" x14ac:dyDescent="0.25">
      <c r="A9" s="53" t="s">
        <v>703</v>
      </c>
      <c r="B9" s="54" t="s">
        <v>704</v>
      </c>
      <c r="C9" s="60">
        <v>246</v>
      </c>
      <c r="D9" s="61">
        <v>54</v>
      </c>
      <c r="E9" s="62">
        <v>300</v>
      </c>
      <c r="F9" s="52"/>
      <c r="G9" s="52"/>
      <c r="H9" s="52"/>
      <c r="I9" s="52"/>
      <c r="J9" s="52"/>
    </row>
    <row r="10" spans="1:10" ht="30" customHeight="1" x14ac:dyDescent="0.25">
      <c r="A10" s="52"/>
      <c r="B10" s="54" t="s">
        <v>705</v>
      </c>
      <c r="C10" s="63">
        <v>16</v>
      </c>
      <c r="D10" s="64">
        <v>284</v>
      </c>
      <c r="E10" s="62">
        <v>300</v>
      </c>
      <c r="F10" s="52"/>
      <c r="G10" s="52"/>
      <c r="H10" s="52"/>
      <c r="I10" s="52"/>
      <c r="J10" s="52"/>
    </row>
    <row r="11" spans="1:10" ht="30" customHeight="1" x14ac:dyDescent="0.25">
      <c r="A11" s="52"/>
      <c r="B11" s="54" t="s">
        <v>706</v>
      </c>
      <c r="C11" s="65">
        <v>262</v>
      </c>
      <c r="D11" s="66">
        <v>338</v>
      </c>
      <c r="E11" s="62">
        <v>600</v>
      </c>
      <c r="F11" s="52"/>
      <c r="G11" s="52"/>
      <c r="H11" s="52"/>
      <c r="I11" s="52"/>
      <c r="J11" s="52"/>
    </row>
    <row r="12" spans="1:10" ht="35.1" customHeight="1" x14ac:dyDescent="0.25">
      <c r="A12" s="52"/>
      <c r="B12" s="52"/>
      <c r="C12" s="67" t="s">
        <v>707</v>
      </c>
      <c r="D12" s="68" t="s">
        <v>708</v>
      </c>
      <c r="E12" s="69"/>
      <c r="F12" s="52"/>
      <c r="G12" s="52"/>
      <c r="H12" s="52"/>
      <c r="I12" s="52"/>
      <c r="J12" s="52"/>
    </row>
    <row r="13" spans="1:10" ht="35.1" customHeight="1" thickBot="1" x14ac:dyDescent="0.3">
      <c r="A13" s="52"/>
      <c r="B13" s="52"/>
      <c r="C13" s="70" t="s">
        <v>709</v>
      </c>
      <c r="D13" s="71" t="s">
        <v>710</v>
      </c>
      <c r="E13" s="72"/>
      <c r="F13" s="52"/>
      <c r="G13" s="52"/>
      <c r="H13" s="52"/>
      <c r="I13" s="52"/>
      <c r="J13" s="52"/>
    </row>
    <row r="14" spans="1:10" x14ac:dyDescent="0.25">
      <c r="A14" s="52"/>
      <c r="B14" s="52"/>
      <c r="C14" s="52"/>
      <c r="D14" s="52"/>
      <c r="E14" s="52"/>
      <c r="F14" s="52"/>
      <c r="G14" s="52"/>
      <c r="H14" s="52"/>
      <c r="I14" s="52"/>
      <c r="J14" s="52"/>
    </row>
    <row r="15" spans="1:10" x14ac:dyDescent="0.25">
      <c r="A15" s="52"/>
      <c r="B15" s="52"/>
      <c r="C15" s="52"/>
      <c r="D15" s="52"/>
      <c r="E15" s="52"/>
      <c r="F15" s="52"/>
      <c r="G15" s="52"/>
      <c r="H15" s="52"/>
      <c r="I15" s="52"/>
      <c r="J15" s="52"/>
    </row>
    <row r="16" spans="1:10" ht="24" customHeight="1" x14ac:dyDescent="0.25">
      <c r="A16" s="130" t="s">
        <v>711</v>
      </c>
      <c r="B16" s="130"/>
      <c r="C16" s="130"/>
      <c r="D16" s="130"/>
      <c r="E16" s="130"/>
      <c r="F16" s="130"/>
      <c r="G16" s="130"/>
      <c r="H16" s="130"/>
      <c r="I16" s="130"/>
      <c r="J16" s="130"/>
    </row>
    <row r="17" spans="1:16" ht="15.75" thickBot="1" x14ac:dyDescent="0.3">
      <c r="A17" s="52"/>
      <c r="B17" s="52"/>
      <c r="C17" s="52"/>
      <c r="D17" s="52"/>
      <c r="E17" s="52"/>
      <c r="F17" s="52"/>
      <c r="G17" s="52"/>
      <c r="H17" s="52"/>
      <c r="I17" s="52"/>
      <c r="J17" s="52"/>
    </row>
    <row r="18" spans="1:16" ht="39.950000000000003" customHeight="1" x14ac:dyDescent="0.25">
      <c r="A18" s="73" t="s">
        <v>712</v>
      </c>
      <c r="B18" s="74" t="s">
        <v>713</v>
      </c>
      <c r="C18" s="74" t="s">
        <v>714</v>
      </c>
      <c r="D18" s="74" t="s">
        <v>715</v>
      </c>
      <c r="E18" s="75" t="s">
        <v>716</v>
      </c>
      <c r="F18" s="55"/>
      <c r="G18" s="55"/>
      <c r="H18" s="55"/>
      <c r="I18" s="55"/>
      <c r="J18" s="55"/>
    </row>
    <row r="19" spans="1:16" ht="38.1" customHeight="1" x14ac:dyDescent="0.25">
      <c r="A19" s="76" t="s">
        <v>677</v>
      </c>
      <c r="B19" s="127" t="s">
        <v>796</v>
      </c>
      <c r="C19" s="77">
        <f>(246+284)/600</f>
        <v>0.8833333333333333</v>
      </c>
      <c r="D19" s="78" t="s">
        <v>717</v>
      </c>
      <c r="E19" s="79" t="s">
        <v>718</v>
      </c>
      <c r="F19" s="52"/>
      <c r="G19" s="52"/>
      <c r="H19" s="52"/>
      <c r="I19" s="52"/>
      <c r="J19" s="52"/>
    </row>
    <row r="20" spans="1:16" ht="38.1" customHeight="1" x14ac:dyDescent="0.25">
      <c r="A20" s="80" t="s">
        <v>678</v>
      </c>
      <c r="B20" s="128" t="s">
        <v>797</v>
      </c>
      <c r="C20" s="81">
        <f>246/(246+16)</f>
        <v>0.93893129770992367</v>
      </c>
      <c r="D20" s="82" t="s">
        <v>719</v>
      </c>
      <c r="E20" s="83" t="s">
        <v>720</v>
      </c>
      <c r="F20" s="52"/>
      <c r="G20" s="52"/>
      <c r="H20" s="52"/>
      <c r="I20" s="52"/>
      <c r="J20" s="52"/>
    </row>
    <row r="21" spans="1:16" ht="38.1" customHeight="1" x14ac:dyDescent="0.25">
      <c r="A21" s="76" t="s">
        <v>721</v>
      </c>
      <c r="B21" s="127" t="s">
        <v>798</v>
      </c>
      <c r="C21" s="77">
        <f>246/(246+54)</f>
        <v>0.82</v>
      </c>
      <c r="D21" s="78" t="s">
        <v>722</v>
      </c>
      <c r="E21" s="84" t="s">
        <v>723</v>
      </c>
      <c r="F21" s="52"/>
      <c r="G21" s="52"/>
      <c r="H21" s="52"/>
      <c r="I21" s="52"/>
      <c r="J21" s="52"/>
    </row>
    <row r="22" spans="1:16" ht="38.1" customHeight="1" x14ac:dyDescent="0.25">
      <c r="A22" s="80" t="s">
        <v>679</v>
      </c>
      <c r="B22" s="128" t="s">
        <v>799</v>
      </c>
      <c r="C22" s="81">
        <f>284/(284+16)</f>
        <v>0.94666666666666666</v>
      </c>
      <c r="D22" s="82" t="s">
        <v>724</v>
      </c>
      <c r="E22" s="83" t="s">
        <v>720</v>
      </c>
      <c r="F22" s="52"/>
      <c r="G22" s="52"/>
      <c r="H22" s="52"/>
      <c r="I22" s="52"/>
      <c r="J22" s="52"/>
    </row>
    <row r="23" spans="1:16" ht="38.1" customHeight="1" x14ac:dyDescent="0.25">
      <c r="A23" s="76" t="s">
        <v>680</v>
      </c>
      <c r="B23" s="127" t="s">
        <v>800</v>
      </c>
      <c r="C23" s="77">
        <f>2*(246/(246+16))*(246/(246+54))/((246/(246+16))+(246/(246+54)))</f>
        <v>0.87544483985765131</v>
      </c>
      <c r="D23" s="78" t="s">
        <v>859</v>
      </c>
      <c r="E23" s="79" t="s">
        <v>718</v>
      </c>
      <c r="F23" s="52"/>
      <c r="G23" s="52"/>
      <c r="H23" s="52"/>
      <c r="I23" s="52"/>
      <c r="J23" s="52"/>
    </row>
    <row r="24" spans="1:16" ht="38.1" customHeight="1" thickBot="1" x14ac:dyDescent="0.3">
      <c r="A24" s="85" t="s">
        <v>681</v>
      </c>
      <c r="B24" s="129" t="s">
        <v>801</v>
      </c>
      <c r="C24" s="86">
        <f>16/(16+284)</f>
        <v>5.3333333333333337E-2</v>
      </c>
      <c r="D24" s="87" t="s">
        <v>725</v>
      </c>
      <c r="E24" s="88" t="s">
        <v>726</v>
      </c>
      <c r="F24" s="52"/>
      <c r="G24" s="52"/>
      <c r="H24" s="52"/>
      <c r="I24" s="52"/>
      <c r="J24" s="52"/>
    </row>
    <row r="25" spans="1:16" x14ac:dyDescent="0.25">
      <c r="A25" s="52"/>
      <c r="B25" s="52"/>
      <c r="C25" s="52"/>
      <c r="D25" s="52"/>
      <c r="E25" s="52"/>
      <c r="F25" s="52"/>
      <c r="G25" s="52"/>
      <c r="H25" s="52"/>
      <c r="I25" s="52"/>
      <c r="J25" s="52"/>
    </row>
    <row r="26" spans="1:16" x14ac:dyDescent="0.25">
      <c r="A26" s="52"/>
      <c r="B26" s="52"/>
      <c r="C26" s="52"/>
      <c r="D26" s="52"/>
      <c r="E26" s="52"/>
      <c r="F26" s="52"/>
      <c r="G26" s="52"/>
      <c r="H26" s="52"/>
      <c r="I26" s="52"/>
      <c r="J26" s="52"/>
    </row>
    <row r="27" spans="1:16" ht="24" customHeight="1" x14ac:dyDescent="0.25">
      <c r="A27" s="130" t="s">
        <v>727</v>
      </c>
      <c r="B27" s="130"/>
      <c r="C27" s="130"/>
      <c r="D27" s="130"/>
      <c r="E27" s="130"/>
      <c r="F27" s="130"/>
      <c r="G27" s="130"/>
      <c r="H27" s="130"/>
      <c r="I27" s="130"/>
      <c r="J27" s="130"/>
    </row>
    <row r="28" spans="1:16" ht="30" customHeight="1" x14ac:dyDescent="0.25">
      <c r="A28" s="134" t="s">
        <v>728</v>
      </c>
      <c r="B28" s="134"/>
      <c r="C28" s="134"/>
      <c r="D28" s="134"/>
      <c r="E28" s="134"/>
      <c r="F28" s="134"/>
      <c r="G28" s="134"/>
      <c r="H28" s="134"/>
      <c r="I28" s="134"/>
      <c r="J28" s="134"/>
    </row>
    <row r="29" spans="1:16" ht="15.75" thickBot="1" x14ac:dyDescent="0.3">
      <c r="A29" s="52"/>
      <c r="B29" s="52"/>
      <c r="C29" s="52"/>
      <c r="D29" s="52"/>
      <c r="E29" s="52"/>
      <c r="F29" s="52"/>
      <c r="G29" s="52"/>
      <c r="H29" s="52"/>
      <c r="I29" s="52"/>
      <c r="J29" s="52"/>
    </row>
    <row r="30" spans="1:16" ht="39.950000000000003" customHeight="1" x14ac:dyDescent="0.25">
      <c r="A30" s="73" t="s">
        <v>682</v>
      </c>
      <c r="B30" s="74" t="s">
        <v>659</v>
      </c>
      <c r="C30" s="74" t="s">
        <v>660</v>
      </c>
      <c r="D30" s="74" t="s">
        <v>661</v>
      </c>
      <c r="E30" s="74" t="s">
        <v>658</v>
      </c>
      <c r="F30" s="74" t="s">
        <v>677</v>
      </c>
      <c r="G30" s="74" t="s">
        <v>729</v>
      </c>
      <c r="H30" s="74" t="s">
        <v>730</v>
      </c>
      <c r="I30" s="74" t="s">
        <v>731</v>
      </c>
      <c r="J30" s="75" t="s">
        <v>732</v>
      </c>
      <c r="L30" s="50" t="s">
        <v>682</v>
      </c>
      <c r="M30" s="50" t="s">
        <v>678</v>
      </c>
      <c r="N30" s="50" t="s">
        <v>683</v>
      </c>
      <c r="O30" s="50" t="s">
        <v>680</v>
      </c>
      <c r="P30" s="50" t="s">
        <v>679</v>
      </c>
    </row>
    <row r="31" spans="1:16" ht="18" customHeight="1" x14ac:dyDescent="0.25">
      <c r="A31" s="89" t="s">
        <v>5</v>
      </c>
      <c r="B31" s="90">
        <v>40</v>
      </c>
      <c r="C31" s="90">
        <v>59</v>
      </c>
      <c r="D31" s="90">
        <v>1</v>
      </c>
      <c r="E31" s="90">
        <v>20</v>
      </c>
      <c r="F31" s="91">
        <f>(B31+C31)/120</f>
        <v>0.82499999999999996</v>
      </c>
      <c r="G31" s="91">
        <f>IF((B31+D31)=0,"N/A",B31/(B31+D31))</f>
        <v>0.97560975609756095</v>
      </c>
      <c r="H31" s="112">
        <f>B31/(B31+E31)</f>
        <v>0.66666666666666663</v>
      </c>
      <c r="I31" s="91">
        <f>IF((G31+H31)=0,0,(2*G31*H31)/(G31+H31))</f>
        <v>0.79207920792079212</v>
      </c>
      <c r="J31" s="92">
        <f>C31/(C31+D31)</f>
        <v>0.98333333333333328</v>
      </c>
      <c r="L31" t="s">
        <v>5</v>
      </c>
      <c r="M31">
        <v>0.97560000000000002</v>
      </c>
      <c r="N31">
        <v>0.66669999999999996</v>
      </c>
      <c r="O31">
        <v>0.79210000000000003</v>
      </c>
      <c r="P31">
        <v>0.98329999999999995</v>
      </c>
    </row>
    <row r="32" spans="1:16" ht="18" customHeight="1" x14ac:dyDescent="0.25">
      <c r="A32" s="93" t="s">
        <v>10</v>
      </c>
      <c r="B32" s="94">
        <v>41</v>
      </c>
      <c r="C32" s="94">
        <v>58</v>
      </c>
      <c r="D32" s="94">
        <v>2</v>
      </c>
      <c r="E32" s="94">
        <v>19</v>
      </c>
      <c r="F32" s="95">
        <f>(B32+C32)/120</f>
        <v>0.82499999999999996</v>
      </c>
      <c r="G32" s="95">
        <f>IF((B32+D32)=0,"N/A",B32/(B32+D32))</f>
        <v>0.95348837209302328</v>
      </c>
      <c r="H32" s="112">
        <f>B32/(B32+E32)</f>
        <v>0.68333333333333335</v>
      </c>
      <c r="I32" s="95">
        <f>IF((G32+H32)=0,0,(2*G32*H32)/(G32+H32))</f>
        <v>0.7961165048543688</v>
      </c>
      <c r="J32" s="96">
        <f>C32/(C32+D32)</f>
        <v>0.96666666666666667</v>
      </c>
      <c r="L32" t="s">
        <v>10</v>
      </c>
      <c r="M32">
        <v>0.95350000000000001</v>
      </c>
      <c r="N32">
        <v>0.68330000000000002</v>
      </c>
      <c r="O32">
        <v>0.79610000000000003</v>
      </c>
      <c r="P32">
        <v>0.9667</v>
      </c>
    </row>
    <row r="33" spans="1:16" ht="18" customHeight="1" x14ac:dyDescent="0.25">
      <c r="A33" s="89" t="s">
        <v>14</v>
      </c>
      <c r="B33" s="90">
        <v>57</v>
      </c>
      <c r="C33" s="90">
        <v>60</v>
      </c>
      <c r="D33" s="114">
        <v>0</v>
      </c>
      <c r="E33" s="90">
        <v>3</v>
      </c>
      <c r="F33" s="91">
        <f>(B33+C33)/120</f>
        <v>0.97499999999999998</v>
      </c>
      <c r="G33" s="113">
        <f>IF((B33+D33)=0,"N/A",B33/(B33+D33))</f>
        <v>1</v>
      </c>
      <c r="H33" s="113">
        <f>B33/(B33+E33)</f>
        <v>0.95</v>
      </c>
      <c r="I33" s="91">
        <f>IF((G33+H33)=0,0,(2*G33*H33)/(G33+H33))</f>
        <v>0.97435897435897434</v>
      </c>
      <c r="J33" s="92">
        <f>C33/(C33+D33)</f>
        <v>1</v>
      </c>
      <c r="L33" t="s">
        <v>14</v>
      </c>
      <c r="M33">
        <v>1</v>
      </c>
      <c r="N33">
        <v>0.95</v>
      </c>
      <c r="O33">
        <v>0.97440000000000004</v>
      </c>
      <c r="P33">
        <v>1</v>
      </c>
    </row>
    <row r="34" spans="1:16" ht="18" customHeight="1" x14ac:dyDescent="0.25">
      <c r="A34" s="93" t="s">
        <v>18</v>
      </c>
      <c r="B34" s="94">
        <v>54</v>
      </c>
      <c r="C34" s="94">
        <v>47</v>
      </c>
      <c r="D34" s="116">
        <v>13</v>
      </c>
      <c r="E34" s="94">
        <v>6</v>
      </c>
      <c r="F34" s="95">
        <f>(B34+C34)/120</f>
        <v>0.84166666666666667</v>
      </c>
      <c r="G34" s="115">
        <f>IF((B34+D34)=0,"N/A",B34/(B34+D34))</f>
        <v>0.80597014925373134</v>
      </c>
      <c r="H34" s="113">
        <f>B34/(B34+E34)</f>
        <v>0.9</v>
      </c>
      <c r="I34" s="95">
        <f>IF((G34+H34)=0,0,(2*G34*H34)/(G34+H34))</f>
        <v>0.85039370078740162</v>
      </c>
      <c r="J34" s="96">
        <f>C34/(C34+D34)</f>
        <v>0.78333333333333333</v>
      </c>
      <c r="L34" t="s">
        <v>18</v>
      </c>
      <c r="M34">
        <v>0.80600000000000005</v>
      </c>
      <c r="N34">
        <v>0.9</v>
      </c>
      <c r="O34">
        <v>0.85040000000000004</v>
      </c>
      <c r="P34">
        <v>0.7833</v>
      </c>
    </row>
    <row r="35" spans="1:16" ht="18" customHeight="1" thickBot="1" x14ac:dyDescent="0.3">
      <c r="A35" s="97" t="s">
        <v>22</v>
      </c>
      <c r="B35" s="98">
        <v>54</v>
      </c>
      <c r="C35" s="98">
        <v>60</v>
      </c>
      <c r="D35" s="118">
        <v>0</v>
      </c>
      <c r="E35" s="98">
        <v>6</v>
      </c>
      <c r="F35" s="99">
        <f>(B35+C35)/120</f>
        <v>0.95</v>
      </c>
      <c r="G35" s="117">
        <f>IF((B35+D35)=0,"N/A",B35/(B35+D35))</f>
        <v>1</v>
      </c>
      <c r="H35" s="117">
        <f>B35/(B35+E35)</f>
        <v>0.9</v>
      </c>
      <c r="I35" s="99">
        <f>IF((G35+H35)=0,0,(2*G35*H35)/(G35+H35))</f>
        <v>0.94736842105263164</v>
      </c>
      <c r="J35" s="100">
        <f>C35/(C35+D35)</f>
        <v>1</v>
      </c>
      <c r="L35" t="s">
        <v>22</v>
      </c>
      <c r="M35">
        <v>1</v>
      </c>
      <c r="N35">
        <v>0.9</v>
      </c>
      <c r="O35">
        <v>0.94740000000000002</v>
      </c>
      <c r="P35">
        <v>1</v>
      </c>
    </row>
    <row r="36" spans="1:16" x14ac:dyDescent="0.25">
      <c r="A36" s="52"/>
      <c r="B36" s="52"/>
      <c r="C36" s="52"/>
      <c r="D36" s="52"/>
      <c r="E36" s="52"/>
      <c r="F36" s="52"/>
      <c r="G36" s="52"/>
      <c r="H36" s="52"/>
      <c r="I36" s="52"/>
      <c r="J36" s="52"/>
    </row>
    <row r="37" spans="1:16" x14ac:dyDescent="0.25">
      <c r="A37" s="52"/>
      <c r="B37" s="52"/>
      <c r="C37" s="52"/>
      <c r="D37" s="52"/>
      <c r="E37" s="52"/>
      <c r="F37" s="52"/>
      <c r="G37" s="52"/>
      <c r="H37" s="52"/>
      <c r="I37" s="52"/>
      <c r="J37" s="52"/>
    </row>
    <row r="38" spans="1:16" ht="24" customHeight="1" x14ac:dyDescent="0.25">
      <c r="A38" s="130" t="s">
        <v>733</v>
      </c>
      <c r="B38" s="130"/>
      <c r="C38" s="130"/>
      <c r="D38" s="130"/>
      <c r="E38" s="130"/>
      <c r="F38" s="130"/>
      <c r="G38" s="130"/>
      <c r="H38" s="130"/>
      <c r="I38" s="130"/>
      <c r="J38" s="130"/>
      <c r="L38" t="s">
        <v>667</v>
      </c>
      <c r="M38" t="s">
        <v>771</v>
      </c>
      <c r="N38" t="s">
        <v>678</v>
      </c>
    </row>
    <row r="39" spans="1:16" ht="30" customHeight="1" x14ac:dyDescent="0.25">
      <c r="A39" s="134" t="s">
        <v>734</v>
      </c>
      <c r="B39" s="134"/>
      <c r="C39" s="134"/>
      <c r="D39" s="134"/>
      <c r="E39" s="134"/>
      <c r="F39" s="134"/>
      <c r="G39" s="134"/>
      <c r="H39" s="134"/>
      <c r="I39" s="134"/>
      <c r="J39" s="134"/>
      <c r="L39" s="51" t="s">
        <v>772</v>
      </c>
      <c r="M39">
        <v>0.66</v>
      </c>
      <c r="N39">
        <v>0.9083</v>
      </c>
    </row>
    <row r="40" spans="1:16" ht="75.75" thickBot="1" x14ac:dyDescent="0.3">
      <c r="A40" s="52"/>
      <c r="B40" s="52"/>
      <c r="C40" s="52"/>
      <c r="D40" s="52"/>
      <c r="E40" s="52"/>
      <c r="F40" s="52"/>
      <c r="G40" s="52"/>
      <c r="H40" s="52"/>
      <c r="I40" s="52"/>
      <c r="J40" s="52"/>
      <c r="L40" s="51" t="s">
        <v>773</v>
      </c>
      <c r="M40">
        <v>0.98</v>
      </c>
      <c r="N40">
        <v>0.96079999999999999</v>
      </c>
    </row>
    <row r="41" spans="1:16" ht="39.950000000000003" customHeight="1" x14ac:dyDescent="0.25">
      <c r="A41" s="73" t="s">
        <v>667</v>
      </c>
      <c r="B41" s="74" t="s">
        <v>659</v>
      </c>
      <c r="C41" s="74" t="s">
        <v>660</v>
      </c>
      <c r="D41" s="74" t="s">
        <v>661</v>
      </c>
      <c r="E41" s="74" t="s">
        <v>658</v>
      </c>
      <c r="F41" s="74" t="s">
        <v>677</v>
      </c>
      <c r="G41" s="74" t="s">
        <v>678</v>
      </c>
      <c r="H41" s="74" t="s">
        <v>683</v>
      </c>
      <c r="I41" s="74" t="s">
        <v>680</v>
      </c>
      <c r="J41" s="75" t="s">
        <v>679</v>
      </c>
    </row>
    <row r="42" spans="1:16" ht="18" customHeight="1" x14ac:dyDescent="0.25">
      <c r="A42" s="93" t="s">
        <v>735</v>
      </c>
      <c r="B42" s="101">
        <v>99</v>
      </c>
      <c r="C42" s="101">
        <v>140</v>
      </c>
      <c r="D42" s="101">
        <v>10</v>
      </c>
      <c r="E42" s="101">
        <v>51</v>
      </c>
      <c r="F42" s="102">
        <f>(B42+C42)/300</f>
        <v>0.79666666666666663</v>
      </c>
      <c r="G42" s="102">
        <f>B42/(B42+D42)</f>
        <v>0.90825688073394495</v>
      </c>
      <c r="H42" s="126">
        <f>B42/(B42+E42)</f>
        <v>0.66</v>
      </c>
      <c r="I42" s="102">
        <f>(2*G42*H42)/(G42+H42)</f>
        <v>0.76447876447876439</v>
      </c>
      <c r="J42" s="103">
        <f>C42/(C42+D42)</f>
        <v>0.93333333333333335</v>
      </c>
    </row>
    <row r="43" spans="1:16" ht="18" customHeight="1" thickBot="1" x14ac:dyDescent="0.3">
      <c r="A43" s="97" t="s">
        <v>736</v>
      </c>
      <c r="B43" s="104">
        <v>147</v>
      </c>
      <c r="C43" s="104">
        <v>144</v>
      </c>
      <c r="D43" s="104">
        <v>6</v>
      </c>
      <c r="E43" s="104">
        <v>3</v>
      </c>
      <c r="F43" s="105">
        <f>(B43+C43)/300</f>
        <v>0.97</v>
      </c>
      <c r="G43" s="105">
        <f>B43/(B43+D43)</f>
        <v>0.96078431372549022</v>
      </c>
      <c r="H43" s="125">
        <f>B43/(B43+E43)</f>
        <v>0.98</v>
      </c>
      <c r="I43" s="105">
        <f>(2*G43*H43)/(G43+H43)</f>
        <v>0.97029702970297016</v>
      </c>
      <c r="J43" s="106">
        <f>C43/(C43+D43)</f>
        <v>0.96</v>
      </c>
    </row>
    <row r="44" spans="1:16" x14ac:dyDescent="0.25">
      <c r="A44" s="52"/>
      <c r="B44" s="52"/>
      <c r="C44" s="52"/>
      <c r="D44" s="52"/>
      <c r="E44" s="52"/>
      <c r="F44" s="52"/>
      <c r="G44" s="52"/>
      <c r="H44" s="52"/>
      <c r="I44" s="52"/>
      <c r="J44" s="52"/>
    </row>
    <row r="45" spans="1:16" x14ac:dyDescent="0.25">
      <c r="A45" s="52"/>
      <c r="B45" s="52"/>
      <c r="C45" s="52"/>
      <c r="D45" s="52"/>
      <c r="E45" s="52"/>
      <c r="F45" s="52"/>
      <c r="G45" s="52"/>
      <c r="H45" s="52"/>
      <c r="I45" s="52"/>
      <c r="J45" s="52"/>
    </row>
    <row r="46" spans="1:16" ht="24" customHeight="1" x14ac:dyDescent="0.25">
      <c r="A46" s="130" t="s">
        <v>737</v>
      </c>
      <c r="B46" s="130"/>
      <c r="C46" s="130"/>
      <c r="D46" s="130"/>
      <c r="E46" s="130"/>
      <c r="F46" s="130"/>
      <c r="G46" s="130"/>
      <c r="H46" s="130"/>
      <c r="I46" s="130"/>
      <c r="J46" s="130"/>
    </row>
    <row r="47" spans="1:16" ht="30" customHeight="1" x14ac:dyDescent="0.25">
      <c r="A47" s="134" t="s">
        <v>738</v>
      </c>
      <c r="B47" s="134"/>
      <c r="C47" s="134"/>
      <c r="D47" s="134"/>
      <c r="E47" s="134"/>
      <c r="F47" s="134"/>
      <c r="G47" s="134"/>
      <c r="H47" s="134"/>
      <c r="I47" s="134"/>
      <c r="J47" s="134"/>
    </row>
    <row r="48" spans="1:16" ht="15.75" thickBot="1" x14ac:dyDescent="0.3">
      <c r="A48" s="52"/>
      <c r="B48" s="52"/>
      <c r="C48" s="52"/>
      <c r="D48" s="52"/>
      <c r="E48" s="52"/>
      <c r="F48" s="52"/>
      <c r="G48" s="52"/>
      <c r="H48" s="52"/>
      <c r="I48" s="52"/>
      <c r="J48" s="52"/>
    </row>
    <row r="49" spans="1:13" ht="39.950000000000003" customHeight="1" x14ac:dyDescent="0.25">
      <c r="A49" s="73" t="s">
        <v>739</v>
      </c>
      <c r="B49" s="74" t="s">
        <v>740</v>
      </c>
      <c r="C49" s="74" t="s">
        <v>741</v>
      </c>
      <c r="D49" s="74" t="s">
        <v>742</v>
      </c>
      <c r="E49" s="75" t="s">
        <v>743</v>
      </c>
      <c r="F49" s="55"/>
      <c r="G49" s="55"/>
      <c r="H49" s="55"/>
      <c r="I49" s="55"/>
      <c r="J49" s="55"/>
      <c r="L49" t="s">
        <v>666</v>
      </c>
      <c r="M49" t="s">
        <v>690</v>
      </c>
    </row>
    <row r="50" spans="1:13" ht="18" customHeight="1" x14ac:dyDescent="0.25">
      <c r="A50" s="93" t="s">
        <v>684</v>
      </c>
      <c r="B50" s="101">
        <v>53</v>
      </c>
      <c r="C50" s="101">
        <v>7</v>
      </c>
      <c r="D50" s="101">
        <v>60</v>
      </c>
      <c r="E50" s="119">
        <f>B50/D50</f>
        <v>0.8833333333333333</v>
      </c>
      <c r="F50" s="52"/>
      <c r="G50" s="52"/>
      <c r="H50" s="52"/>
      <c r="I50" s="52"/>
      <c r="J50" s="52"/>
      <c r="L50" t="s">
        <v>684</v>
      </c>
      <c r="M50">
        <v>0.88300000000000001</v>
      </c>
    </row>
    <row r="51" spans="1:13" ht="18" customHeight="1" x14ac:dyDescent="0.25">
      <c r="A51" s="89" t="s">
        <v>685</v>
      </c>
      <c r="B51" s="107">
        <v>82</v>
      </c>
      <c r="C51" s="107">
        <v>8</v>
      </c>
      <c r="D51" s="107">
        <v>90</v>
      </c>
      <c r="E51" s="120">
        <f>B51/D51</f>
        <v>0.91111111111111109</v>
      </c>
      <c r="F51" s="52"/>
      <c r="G51" s="52"/>
      <c r="H51" s="52"/>
      <c r="I51" s="52"/>
      <c r="J51" s="52"/>
      <c r="L51" t="s">
        <v>685</v>
      </c>
      <c r="M51">
        <v>0.91100000000000003</v>
      </c>
    </row>
    <row r="52" spans="1:13" ht="18" customHeight="1" x14ac:dyDescent="0.25">
      <c r="A52" s="93" t="s">
        <v>686</v>
      </c>
      <c r="B52" s="101">
        <v>26</v>
      </c>
      <c r="C52" s="101">
        <v>4</v>
      </c>
      <c r="D52" s="101">
        <v>30</v>
      </c>
      <c r="E52" s="119">
        <f>B52/D52</f>
        <v>0.8666666666666667</v>
      </c>
      <c r="F52" s="52"/>
      <c r="G52" s="52"/>
      <c r="H52" s="52"/>
      <c r="I52" s="52"/>
      <c r="J52" s="52"/>
      <c r="L52" t="s">
        <v>686</v>
      </c>
      <c r="M52">
        <v>0.86699999999999999</v>
      </c>
    </row>
    <row r="53" spans="1:13" ht="18" customHeight="1" x14ac:dyDescent="0.25">
      <c r="A53" s="89" t="s">
        <v>687</v>
      </c>
      <c r="B53" s="107">
        <v>52</v>
      </c>
      <c r="C53" s="107">
        <v>8</v>
      </c>
      <c r="D53" s="107">
        <v>60</v>
      </c>
      <c r="E53" s="121">
        <f>B53/D53</f>
        <v>0.8666666666666667</v>
      </c>
      <c r="F53" s="52"/>
      <c r="G53" s="52"/>
      <c r="H53" s="52"/>
      <c r="I53" s="52"/>
      <c r="J53" s="52"/>
      <c r="L53" t="s">
        <v>687</v>
      </c>
      <c r="M53">
        <v>0.86699999999999999</v>
      </c>
    </row>
    <row r="54" spans="1:13" ht="18" customHeight="1" thickBot="1" x14ac:dyDescent="0.3">
      <c r="A54" s="109" t="s">
        <v>744</v>
      </c>
      <c r="B54" s="110">
        <v>33</v>
      </c>
      <c r="C54" s="110">
        <v>27</v>
      </c>
      <c r="D54" s="110">
        <v>60</v>
      </c>
      <c r="E54" s="122">
        <f>B54/D54</f>
        <v>0.55000000000000004</v>
      </c>
      <c r="F54" s="52"/>
      <c r="G54" s="52"/>
      <c r="H54" s="52"/>
      <c r="I54" s="52"/>
      <c r="J54" s="52"/>
      <c r="L54" t="s">
        <v>744</v>
      </c>
      <c r="M54">
        <v>0.55000000000000004</v>
      </c>
    </row>
    <row r="55" spans="1:13" x14ac:dyDescent="0.25">
      <c r="A55" s="52"/>
      <c r="B55" s="52"/>
      <c r="C55" s="52"/>
      <c r="D55" s="52"/>
      <c r="E55" s="52"/>
      <c r="F55" s="52"/>
      <c r="G55" s="52"/>
      <c r="H55" s="52"/>
      <c r="I55" s="52"/>
      <c r="J55" s="52"/>
    </row>
    <row r="56" spans="1:13" x14ac:dyDescent="0.25">
      <c r="A56" s="52"/>
      <c r="B56" s="52"/>
      <c r="C56" s="52"/>
      <c r="D56" s="52"/>
      <c r="E56" s="52"/>
      <c r="F56" s="52"/>
      <c r="G56" s="52"/>
      <c r="H56" s="52"/>
      <c r="I56" s="52"/>
      <c r="J56" s="52"/>
    </row>
    <row r="57" spans="1:13" ht="24" customHeight="1" x14ac:dyDescent="0.25">
      <c r="A57" s="130" t="s">
        <v>745</v>
      </c>
      <c r="B57" s="130"/>
      <c r="C57" s="130"/>
      <c r="D57" s="130"/>
      <c r="E57" s="130"/>
      <c r="F57" s="130"/>
      <c r="G57" s="130"/>
      <c r="H57" s="130"/>
      <c r="I57" s="130"/>
      <c r="J57" s="130"/>
    </row>
    <row r="58" spans="1:13" ht="30" customHeight="1" x14ac:dyDescent="0.25">
      <c r="A58" s="134" t="s">
        <v>746</v>
      </c>
      <c r="B58" s="134"/>
      <c r="C58" s="134"/>
      <c r="D58" s="134"/>
      <c r="E58" s="134"/>
      <c r="F58" s="134"/>
      <c r="G58" s="134"/>
      <c r="H58" s="134"/>
      <c r="I58" s="134"/>
      <c r="J58" s="134"/>
    </row>
    <row r="59" spans="1:13" ht="15.75" thickBot="1" x14ac:dyDescent="0.3">
      <c r="A59" s="52"/>
      <c r="B59" s="52"/>
      <c r="C59" s="52"/>
      <c r="D59" s="52"/>
      <c r="E59" s="52"/>
      <c r="F59" s="52"/>
      <c r="G59" s="52"/>
      <c r="H59" s="52"/>
      <c r="I59" s="52"/>
      <c r="J59" s="52"/>
    </row>
    <row r="60" spans="1:13" ht="39.950000000000003" customHeight="1" x14ac:dyDescent="0.25">
      <c r="A60" s="73" t="s">
        <v>689</v>
      </c>
      <c r="B60" s="74" t="s">
        <v>664</v>
      </c>
      <c r="C60" s="74" t="s">
        <v>666</v>
      </c>
      <c r="D60" s="74" t="s">
        <v>747</v>
      </c>
      <c r="E60" s="74" t="s">
        <v>748</v>
      </c>
      <c r="F60" s="75" t="s">
        <v>690</v>
      </c>
      <c r="G60" s="55"/>
      <c r="H60" s="55"/>
      <c r="I60" s="55"/>
      <c r="J60" s="55"/>
    </row>
    <row r="61" spans="1:13" ht="18" customHeight="1" x14ac:dyDescent="0.25">
      <c r="A61" s="89" t="s">
        <v>0</v>
      </c>
      <c r="B61" s="107" t="s">
        <v>749</v>
      </c>
      <c r="C61" s="107" t="s">
        <v>684</v>
      </c>
      <c r="D61" s="107">
        <v>26</v>
      </c>
      <c r="E61" s="107">
        <v>4</v>
      </c>
      <c r="F61" s="121">
        <f t="shared" ref="F61:F70" si="0">D61/(D61+E61)</f>
        <v>0.8666666666666667</v>
      </c>
      <c r="G61" s="52"/>
      <c r="H61" s="52"/>
      <c r="I61" s="52"/>
      <c r="J61" s="52"/>
      <c r="L61" t="s">
        <v>774</v>
      </c>
      <c r="M61" t="s">
        <v>690</v>
      </c>
    </row>
    <row r="62" spans="1:13" ht="18" customHeight="1" x14ac:dyDescent="0.25">
      <c r="A62" s="93" t="s">
        <v>44</v>
      </c>
      <c r="B62" s="101" t="s">
        <v>749</v>
      </c>
      <c r="C62" s="101" t="s">
        <v>684</v>
      </c>
      <c r="D62" s="101">
        <v>27</v>
      </c>
      <c r="E62" s="101">
        <v>3</v>
      </c>
      <c r="F62" s="120">
        <f t="shared" si="0"/>
        <v>0.9</v>
      </c>
      <c r="G62" s="52"/>
      <c r="H62" s="52"/>
      <c r="I62" s="52"/>
      <c r="J62" s="52"/>
      <c r="L62" t="s">
        <v>775</v>
      </c>
      <c r="M62">
        <v>0.86699999999999999</v>
      </c>
    </row>
    <row r="63" spans="1:13" ht="18" customHeight="1" x14ac:dyDescent="0.25">
      <c r="A63" s="89" t="s">
        <v>66</v>
      </c>
      <c r="B63" s="107" t="s">
        <v>750</v>
      </c>
      <c r="C63" s="107" t="s">
        <v>685</v>
      </c>
      <c r="D63" s="107">
        <v>27</v>
      </c>
      <c r="E63" s="107">
        <v>3</v>
      </c>
      <c r="F63" s="120">
        <f t="shared" si="0"/>
        <v>0.9</v>
      </c>
      <c r="G63" s="52"/>
      <c r="H63" s="52"/>
      <c r="I63" s="52"/>
      <c r="J63" s="52"/>
      <c r="L63" t="s">
        <v>776</v>
      </c>
      <c r="M63">
        <v>0.9</v>
      </c>
    </row>
    <row r="64" spans="1:13" ht="18" customHeight="1" x14ac:dyDescent="0.25">
      <c r="A64" s="93" t="s">
        <v>91</v>
      </c>
      <c r="B64" s="101" t="s">
        <v>751</v>
      </c>
      <c r="C64" s="101" t="s">
        <v>685</v>
      </c>
      <c r="D64" s="101">
        <v>27</v>
      </c>
      <c r="E64" s="101">
        <v>3</v>
      </c>
      <c r="F64" s="120">
        <f t="shared" si="0"/>
        <v>0.9</v>
      </c>
      <c r="G64" s="52"/>
      <c r="H64" s="52"/>
      <c r="I64" s="52"/>
      <c r="J64" s="52"/>
      <c r="L64" t="s">
        <v>777</v>
      </c>
      <c r="M64">
        <v>0.9</v>
      </c>
    </row>
    <row r="65" spans="1:13" ht="18" customHeight="1" x14ac:dyDescent="0.25">
      <c r="A65" s="89" t="s">
        <v>115</v>
      </c>
      <c r="B65" s="107" t="s">
        <v>751</v>
      </c>
      <c r="C65" s="107" t="s">
        <v>685</v>
      </c>
      <c r="D65" s="107">
        <v>28</v>
      </c>
      <c r="E65" s="107">
        <v>2</v>
      </c>
      <c r="F65" s="120">
        <f t="shared" si="0"/>
        <v>0.93333333333333335</v>
      </c>
      <c r="G65" s="52"/>
      <c r="H65" s="52"/>
      <c r="I65" s="52"/>
      <c r="J65" s="52"/>
      <c r="L65" t="s">
        <v>778</v>
      </c>
      <c r="M65">
        <v>0.9</v>
      </c>
    </row>
    <row r="66" spans="1:13" ht="18" customHeight="1" x14ac:dyDescent="0.25">
      <c r="A66" s="93" t="s">
        <v>137</v>
      </c>
      <c r="B66" s="101" t="s">
        <v>752</v>
      </c>
      <c r="C66" s="101" t="s">
        <v>686</v>
      </c>
      <c r="D66" s="101">
        <v>26</v>
      </c>
      <c r="E66" s="101">
        <v>4</v>
      </c>
      <c r="F66" s="119">
        <f t="shared" si="0"/>
        <v>0.8666666666666667</v>
      </c>
      <c r="G66" s="52"/>
      <c r="H66" s="52"/>
      <c r="I66" s="52"/>
      <c r="J66" s="52"/>
      <c r="L66" t="s">
        <v>779</v>
      </c>
      <c r="M66">
        <v>0.93300000000000005</v>
      </c>
    </row>
    <row r="67" spans="1:13" ht="18" customHeight="1" x14ac:dyDescent="0.25">
      <c r="A67" s="89" t="s">
        <v>162</v>
      </c>
      <c r="B67" s="107" t="s">
        <v>753</v>
      </c>
      <c r="C67" s="107" t="s">
        <v>687</v>
      </c>
      <c r="D67" s="107">
        <v>28</v>
      </c>
      <c r="E67" s="107">
        <v>2</v>
      </c>
      <c r="F67" s="120">
        <f t="shared" si="0"/>
        <v>0.93333333333333335</v>
      </c>
      <c r="G67" s="52"/>
      <c r="H67" s="52"/>
      <c r="I67" s="52"/>
      <c r="J67" s="52"/>
      <c r="L67" t="s">
        <v>780</v>
      </c>
      <c r="M67">
        <v>0.86699999999999999</v>
      </c>
    </row>
    <row r="68" spans="1:13" ht="18" customHeight="1" x14ac:dyDescent="0.25">
      <c r="A68" s="93" t="s">
        <v>187</v>
      </c>
      <c r="B68" s="101" t="s">
        <v>754</v>
      </c>
      <c r="C68" s="101" t="s">
        <v>687</v>
      </c>
      <c r="D68" s="101">
        <v>24</v>
      </c>
      <c r="E68" s="101">
        <v>6</v>
      </c>
      <c r="F68" s="119">
        <f t="shared" si="0"/>
        <v>0.8</v>
      </c>
      <c r="G68" s="52"/>
      <c r="H68" s="52"/>
      <c r="I68" s="52"/>
      <c r="J68" s="52"/>
      <c r="L68" t="s">
        <v>781</v>
      </c>
      <c r="M68">
        <v>0.93300000000000005</v>
      </c>
    </row>
    <row r="69" spans="1:13" ht="18" customHeight="1" x14ac:dyDescent="0.25">
      <c r="A69" s="89" t="s">
        <v>211</v>
      </c>
      <c r="B69" s="107" t="s">
        <v>755</v>
      </c>
      <c r="C69" s="107" t="s">
        <v>688</v>
      </c>
      <c r="D69" s="107">
        <v>19</v>
      </c>
      <c r="E69" s="107">
        <v>11</v>
      </c>
      <c r="F69" s="123">
        <f t="shared" si="0"/>
        <v>0.6333333333333333</v>
      </c>
      <c r="G69" s="52"/>
      <c r="H69" s="52"/>
      <c r="I69" s="52"/>
      <c r="J69" s="52"/>
      <c r="L69" t="s">
        <v>782</v>
      </c>
      <c r="M69">
        <v>0.8</v>
      </c>
    </row>
    <row r="70" spans="1:13" ht="18" customHeight="1" thickBot="1" x14ac:dyDescent="0.3">
      <c r="A70" s="109" t="s">
        <v>236</v>
      </c>
      <c r="B70" s="110" t="s">
        <v>756</v>
      </c>
      <c r="C70" s="110" t="s">
        <v>688</v>
      </c>
      <c r="D70" s="110">
        <v>14</v>
      </c>
      <c r="E70" s="110">
        <v>16</v>
      </c>
      <c r="F70" s="122">
        <f t="shared" si="0"/>
        <v>0.46666666666666667</v>
      </c>
      <c r="G70" s="52"/>
      <c r="H70" s="52"/>
      <c r="I70" s="52"/>
      <c r="J70" s="52"/>
      <c r="L70" t="s">
        <v>783</v>
      </c>
      <c r="M70">
        <v>0.63300000000000001</v>
      </c>
    </row>
    <row r="71" spans="1:13" x14ac:dyDescent="0.25">
      <c r="A71" s="52"/>
      <c r="B71" s="52"/>
      <c r="C71" s="52"/>
      <c r="D71" s="52"/>
      <c r="E71" s="52"/>
      <c r="F71" s="52"/>
      <c r="G71" s="52"/>
      <c r="H71" s="52"/>
      <c r="I71" s="52"/>
      <c r="J71" s="52"/>
      <c r="L71" t="s">
        <v>784</v>
      </c>
      <c r="M71">
        <v>0.46700000000000003</v>
      </c>
    </row>
    <row r="72" spans="1:13" x14ac:dyDescent="0.25">
      <c r="A72" s="52"/>
      <c r="B72" s="52"/>
      <c r="C72" s="52"/>
      <c r="D72" s="52"/>
      <c r="E72" s="52"/>
      <c r="F72" s="52"/>
      <c r="G72" s="52"/>
      <c r="H72" s="52"/>
      <c r="I72" s="52"/>
      <c r="J72" s="52"/>
    </row>
    <row r="73" spans="1:13" ht="24" customHeight="1" x14ac:dyDescent="0.25">
      <c r="A73" s="130" t="s">
        <v>757</v>
      </c>
      <c r="B73" s="130"/>
      <c r="C73" s="130"/>
      <c r="D73" s="130"/>
      <c r="E73" s="130"/>
      <c r="F73" s="130"/>
      <c r="G73" s="130"/>
      <c r="H73" s="130"/>
      <c r="I73" s="130"/>
      <c r="J73" s="130"/>
    </row>
    <row r="74" spans="1:13" ht="30" customHeight="1" x14ac:dyDescent="0.25">
      <c r="A74" s="134" t="s">
        <v>758</v>
      </c>
      <c r="B74" s="134"/>
      <c r="C74" s="134"/>
      <c r="D74" s="134"/>
      <c r="E74" s="134"/>
      <c r="F74" s="134"/>
      <c r="G74" s="134"/>
      <c r="H74" s="134"/>
      <c r="I74" s="134"/>
      <c r="J74" s="134"/>
    </row>
    <row r="75" spans="1:13" ht="15.75" thickBot="1" x14ac:dyDescent="0.3">
      <c r="A75" s="52"/>
      <c r="B75" s="52"/>
      <c r="C75" s="52"/>
      <c r="D75" s="52"/>
      <c r="E75" s="52"/>
      <c r="F75" s="52"/>
      <c r="G75" s="52"/>
      <c r="H75" s="52"/>
      <c r="I75" s="52"/>
      <c r="J75" s="52"/>
    </row>
    <row r="76" spans="1:13" ht="39.950000000000003" customHeight="1" x14ac:dyDescent="0.25">
      <c r="A76" s="73" t="s">
        <v>689</v>
      </c>
      <c r="B76" s="74" t="s">
        <v>759</v>
      </c>
      <c r="C76" s="74" t="s">
        <v>760</v>
      </c>
      <c r="D76" s="74" t="s">
        <v>761</v>
      </c>
      <c r="E76" s="74" t="s">
        <v>676</v>
      </c>
      <c r="F76" s="75" t="s">
        <v>681</v>
      </c>
      <c r="G76" s="55"/>
      <c r="H76" s="55"/>
      <c r="I76" s="55"/>
      <c r="J76" s="55"/>
    </row>
    <row r="77" spans="1:13" ht="18" customHeight="1" x14ac:dyDescent="0.25">
      <c r="A77" s="89" t="s">
        <v>31</v>
      </c>
      <c r="B77" s="107" t="s">
        <v>762</v>
      </c>
      <c r="C77" s="107">
        <v>30</v>
      </c>
      <c r="D77" s="107">
        <v>0</v>
      </c>
      <c r="E77" s="107">
        <v>30</v>
      </c>
      <c r="F77" s="120">
        <f t="shared" ref="F77:F86" si="1">IF(E77=0,0,D77/E77)</f>
        <v>0</v>
      </c>
      <c r="G77" s="52"/>
      <c r="H77" s="52"/>
      <c r="I77" s="52"/>
      <c r="J77" s="52"/>
      <c r="L77" t="s">
        <v>785</v>
      </c>
      <c r="M77" t="s">
        <v>681</v>
      </c>
    </row>
    <row r="78" spans="1:13" ht="18" customHeight="1" x14ac:dyDescent="0.25">
      <c r="A78" s="93" t="s">
        <v>55</v>
      </c>
      <c r="B78" s="101" t="s">
        <v>762</v>
      </c>
      <c r="C78" s="101">
        <v>30</v>
      </c>
      <c r="D78" s="101">
        <v>0</v>
      </c>
      <c r="E78" s="101">
        <v>30</v>
      </c>
      <c r="F78" s="120">
        <f t="shared" si="1"/>
        <v>0</v>
      </c>
      <c r="G78" s="52"/>
      <c r="H78" s="52"/>
      <c r="I78" s="52"/>
      <c r="J78" s="52"/>
      <c r="L78" t="s">
        <v>786</v>
      </c>
      <c r="M78">
        <v>0</v>
      </c>
    </row>
    <row r="79" spans="1:13" ht="18" customHeight="1" x14ac:dyDescent="0.25">
      <c r="A79" s="89" t="s">
        <v>79</v>
      </c>
      <c r="B79" s="107" t="s">
        <v>763</v>
      </c>
      <c r="C79" s="107">
        <v>26</v>
      </c>
      <c r="D79" s="107">
        <v>4</v>
      </c>
      <c r="E79" s="107">
        <v>30</v>
      </c>
      <c r="F79" s="121">
        <f t="shared" si="1"/>
        <v>0.13333333333333333</v>
      </c>
      <c r="G79" s="52"/>
      <c r="H79" s="52"/>
      <c r="I79" s="52"/>
      <c r="J79" s="52"/>
      <c r="L79" t="s">
        <v>787</v>
      </c>
      <c r="M79">
        <v>0</v>
      </c>
    </row>
    <row r="80" spans="1:13" ht="18" customHeight="1" x14ac:dyDescent="0.25">
      <c r="A80" s="93" t="s">
        <v>103</v>
      </c>
      <c r="B80" s="101" t="s">
        <v>764</v>
      </c>
      <c r="C80" s="101">
        <v>25</v>
      </c>
      <c r="D80" s="101">
        <v>5</v>
      </c>
      <c r="E80" s="101">
        <v>30</v>
      </c>
      <c r="F80" s="123">
        <f t="shared" si="1"/>
        <v>0.16666666666666666</v>
      </c>
      <c r="G80" s="52"/>
      <c r="H80" s="52"/>
      <c r="I80" s="52"/>
      <c r="J80" s="52"/>
      <c r="L80" t="s">
        <v>788</v>
      </c>
      <c r="M80">
        <v>0.13300000000000001</v>
      </c>
    </row>
    <row r="81" spans="1:15" ht="18" customHeight="1" x14ac:dyDescent="0.25">
      <c r="A81" s="89" t="s">
        <v>126</v>
      </c>
      <c r="B81" s="107" t="s">
        <v>764</v>
      </c>
      <c r="C81" s="107">
        <v>27</v>
      </c>
      <c r="D81" s="107">
        <v>3</v>
      </c>
      <c r="E81" s="107">
        <v>30</v>
      </c>
      <c r="F81" s="121">
        <f t="shared" si="1"/>
        <v>0.1</v>
      </c>
      <c r="G81" s="52"/>
      <c r="H81" s="52"/>
      <c r="I81" s="52"/>
      <c r="J81" s="52"/>
      <c r="L81" t="s">
        <v>789</v>
      </c>
      <c r="M81">
        <v>0.16700000000000001</v>
      </c>
    </row>
    <row r="82" spans="1:15" ht="18" customHeight="1" x14ac:dyDescent="0.25">
      <c r="A82" s="93" t="s">
        <v>150</v>
      </c>
      <c r="B82" s="101" t="s">
        <v>765</v>
      </c>
      <c r="C82" s="101">
        <v>30</v>
      </c>
      <c r="D82" s="101">
        <v>0</v>
      </c>
      <c r="E82" s="101">
        <v>30</v>
      </c>
      <c r="F82" s="120">
        <f t="shared" si="1"/>
        <v>0</v>
      </c>
      <c r="G82" s="52"/>
      <c r="H82" s="52"/>
      <c r="I82" s="52"/>
      <c r="J82" s="52"/>
      <c r="L82" t="s">
        <v>790</v>
      </c>
      <c r="M82">
        <v>0.1</v>
      </c>
    </row>
    <row r="83" spans="1:15" ht="18" customHeight="1" x14ac:dyDescent="0.25">
      <c r="A83" s="89" t="s">
        <v>175</v>
      </c>
      <c r="B83" s="107" t="s">
        <v>766</v>
      </c>
      <c r="C83" s="107">
        <v>29</v>
      </c>
      <c r="D83" s="107">
        <v>1</v>
      </c>
      <c r="E83" s="107">
        <v>30</v>
      </c>
      <c r="F83" s="121">
        <f t="shared" si="1"/>
        <v>3.3333333333333333E-2</v>
      </c>
      <c r="G83" s="52"/>
      <c r="H83" s="52"/>
      <c r="I83" s="52"/>
      <c r="J83" s="52"/>
      <c r="L83" t="s">
        <v>791</v>
      </c>
      <c r="M83">
        <v>0</v>
      </c>
    </row>
    <row r="84" spans="1:15" ht="18" customHeight="1" x14ac:dyDescent="0.25">
      <c r="A84" s="93" t="s">
        <v>199</v>
      </c>
      <c r="B84" s="101" t="s">
        <v>767</v>
      </c>
      <c r="C84" s="101">
        <v>27</v>
      </c>
      <c r="D84" s="101">
        <v>3</v>
      </c>
      <c r="E84" s="101">
        <v>30</v>
      </c>
      <c r="F84" s="119">
        <f t="shared" si="1"/>
        <v>0.1</v>
      </c>
      <c r="G84" s="52"/>
      <c r="H84" s="52"/>
      <c r="I84" s="52"/>
      <c r="J84" s="52"/>
      <c r="L84" t="s">
        <v>792</v>
      </c>
      <c r="M84">
        <v>3.3000000000000002E-2</v>
      </c>
    </row>
    <row r="85" spans="1:15" ht="18" customHeight="1" x14ac:dyDescent="0.25">
      <c r="A85" s="89" t="s">
        <v>224</v>
      </c>
      <c r="B85" s="107" t="s">
        <v>768</v>
      </c>
      <c r="C85" s="107">
        <v>30</v>
      </c>
      <c r="D85" s="107">
        <v>0</v>
      </c>
      <c r="E85" s="107">
        <v>30</v>
      </c>
      <c r="F85" s="120">
        <f t="shared" si="1"/>
        <v>0</v>
      </c>
      <c r="G85" s="52"/>
      <c r="H85" s="52"/>
      <c r="I85" s="52"/>
      <c r="J85" s="52"/>
      <c r="L85" t="s">
        <v>793</v>
      </c>
      <c r="M85">
        <v>0.1</v>
      </c>
    </row>
    <row r="86" spans="1:15" ht="18" customHeight="1" thickBot="1" x14ac:dyDescent="0.3">
      <c r="A86" s="109" t="s">
        <v>247</v>
      </c>
      <c r="B86" s="110" t="s">
        <v>768</v>
      </c>
      <c r="C86" s="110">
        <v>30</v>
      </c>
      <c r="D86" s="110">
        <v>0</v>
      </c>
      <c r="E86" s="110">
        <v>30</v>
      </c>
      <c r="F86" s="124">
        <f t="shared" si="1"/>
        <v>0</v>
      </c>
      <c r="G86" s="52"/>
      <c r="H86" s="52"/>
      <c r="I86" s="52"/>
      <c r="J86" s="52"/>
      <c r="L86" t="s">
        <v>794</v>
      </c>
      <c r="M86">
        <v>0</v>
      </c>
    </row>
    <row r="87" spans="1:15" x14ac:dyDescent="0.25">
      <c r="A87" s="52"/>
      <c r="B87" s="52"/>
      <c r="C87" s="52"/>
      <c r="D87" s="52"/>
      <c r="E87" s="52"/>
      <c r="F87" s="52"/>
      <c r="G87" s="52"/>
      <c r="H87" s="52"/>
      <c r="I87" s="52"/>
      <c r="J87" s="52"/>
      <c r="L87" t="s">
        <v>795</v>
      </c>
      <c r="M87">
        <v>0</v>
      </c>
    </row>
    <row r="88" spans="1:15" x14ac:dyDescent="0.25">
      <c r="A88" s="52"/>
      <c r="B88" s="52"/>
      <c r="C88" s="52"/>
      <c r="D88" s="52"/>
      <c r="E88" s="52"/>
      <c r="F88" s="52"/>
      <c r="G88" s="52"/>
      <c r="H88" s="52"/>
      <c r="I88" s="52"/>
      <c r="J88" s="52"/>
    </row>
    <row r="89" spans="1:15" ht="24" customHeight="1" x14ac:dyDescent="0.25">
      <c r="A89" s="130" t="s">
        <v>769</v>
      </c>
      <c r="B89" s="130"/>
      <c r="C89" s="130"/>
      <c r="D89" s="130"/>
      <c r="E89" s="130"/>
      <c r="F89" s="130"/>
      <c r="G89" s="130"/>
      <c r="H89" s="130"/>
      <c r="I89" s="130"/>
      <c r="J89" s="130"/>
    </row>
    <row r="90" spans="1:15" ht="30" customHeight="1" x14ac:dyDescent="0.25">
      <c r="A90" s="134" t="s">
        <v>770</v>
      </c>
      <c r="B90" s="134"/>
      <c r="C90" s="134"/>
      <c r="D90" s="134"/>
      <c r="E90" s="134"/>
      <c r="F90" s="134"/>
      <c r="G90" s="134"/>
      <c r="H90" s="134"/>
      <c r="I90" s="134"/>
      <c r="J90" s="134"/>
    </row>
    <row r="91" spans="1:15" ht="15.75" thickBot="1" x14ac:dyDescent="0.3">
      <c r="A91" s="52"/>
      <c r="B91" s="52"/>
      <c r="C91" s="52"/>
      <c r="D91" s="52"/>
      <c r="E91" s="52"/>
      <c r="F91" s="52"/>
      <c r="G91" s="52"/>
      <c r="H91" s="52"/>
      <c r="I91" s="52"/>
      <c r="J91" s="52"/>
    </row>
    <row r="92" spans="1:15" ht="39.950000000000003" customHeight="1" x14ac:dyDescent="0.25">
      <c r="A92" s="73" t="s">
        <v>691</v>
      </c>
      <c r="B92" s="74" t="s">
        <v>659</v>
      </c>
      <c r="C92" s="74" t="s">
        <v>660</v>
      </c>
      <c r="D92" s="74" t="s">
        <v>661</v>
      </c>
      <c r="E92" s="74" t="s">
        <v>658</v>
      </c>
      <c r="F92" s="74" t="s">
        <v>677</v>
      </c>
      <c r="G92" s="74" t="s">
        <v>678</v>
      </c>
      <c r="H92" s="74" t="s">
        <v>683</v>
      </c>
      <c r="I92" s="74" t="s">
        <v>680</v>
      </c>
      <c r="J92" s="75" t="s">
        <v>679</v>
      </c>
    </row>
    <row r="93" spans="1:15" ht="18" customHeight="1" x14ac:dyDescent="0.25">
      <c r="A93" s="89" t="s">
        <v>692</v>
      </c>
      <c r="B93" s="107">
        <v>80</v>
      </c>
      <c r="C93" s="107">
        <v>95</v>
      </c>
      <c r="D93" s="107">
        <v>5</v>
      </c>
      <c r="E93" s="107">
        <v>20</v>
      </c>
      <c r="F93" s="111">
        <f>(B93+C93)/200</f>
        <v>0.875</v>
      </c>
      <c r="G93" s="111">
        <f>B93/(B93+D93)</f>
        <v>0.94117647058823528</v>
      </c>
      <c r="H93" s="111">
        <f>B93/(B93+E93)</f>
        <v>0.8</v>
      </c>
      <c r="I93" s="111">
        <f>(2*G93*H93)/(G93+H93)</f>
        <v>0.8648648648648648</v>
      </c>
      <c r="J93" s="108">
        <f>C93/(C93+D93)</f>
        <v>0.95</v>
      </c>
      <c r="L93" t="s">
        <v>691</v>
      </c>
      <c r="M93" t="s">
        <v>677</v>
      </c>
      <c r="N93" t="s">
        <v>678</v>
      </c>
      <c r="O93" t="s">
        <v>683</v>
      </c>
    </row>
    <row r="94" spans="1:15" ht="18" customHeight="1" x14ac:dyDescent="0.25">
      <c r="A94" s="93" t="s">
        <v>693</v>
      </c>
      <c r="B94" s="101">
        <v>83</v>
      </c>
      <c r="C94" s="101">
        <v>94</v>
      </c>
      <c r="D94" s="101">
        <v>6</v>
      </c>
      <c r="E94" s="101">
        <v>17</v>
      </c>
      <c r="F94" s="102">
        <f>(B94+C94)/200</f>
        <v>0.88500000000000001</v>
      </c>
      <c r="G94" s="102">
        <f>B94/(B94+D94)</f>
        <v>0.93258426966292129</v>
      </c>
      <c r="H94" s="102">
        <f>B94/(B94+E94)</f>
        <v>0.83</v>
      </c>
      <c r="I94" s="102">
        <f>(2*G94*H94)/(G94+H94)</f>
        <v>0.87830687830687826</v>
      </c>
      <c r="J94" s="103">
        <f>C94/(C94+D94)</f>
        <v>0.94</v>
      </c>
      <c r="L94" t="s">
        <v>692</v>
      </c>
      <c r="M94">
        <v>0.875</v>
      </c>
      <c r="N94">
        <v>0.94099999999999995</v>
      </c>
      <c r="O94">
        <v>0.8</v>
      </c>
    </row>
    <row r="95" spans="1:15" ht="18" customHeight="1" thickBot="1" x14ac:dyDescent="0.3">
      <c r="A95" s="97" t="s">
        <v>694</v>
      </c>
      <c r="B95" s="104">
        <v>83</v>
      </c>
      <c r="C95" s="104">
        <v>95</v>
      </c>
      <c r="D95" s="104">
        <v>5</v>
      </c>
      <c r="E95" s="104">
        <v>17</v>
      </c>
      <c r="F95" s="105">
        <f>(B95+C95)/200</f>
        <v>0.89</v>
      </c>
      <c r="G95" s="105">
        <f>B95/(B95+D95)</f>
        <v>0.94318181818181823</v>
      </c>
      <c r="H95" s="105">
        <f>B95/(B95+E95)</f>
        <v>0.83</v>
      </c>
      <c r="I95" s="105">
        <f>(2*G95*H95)/(G95+H95)</f>
        <v>0.88297872340425532</v>
      </c>
      <c r="J95" s="106">
        <f>C95/(C95+D95)</f>
        <v>0.95</v>
      </c>
      <c r="L95" t="s">
        <v>693</v>
      </c>
      <c r="M95">
        <v>0.88500000000000001</v>
      </c>
      <c r="N95">
        <v>0.93300000000000005</v>
      </c>
      <c r="O95">
        <v>0.83</v>
      </c>
    </row>
    <row r="96" spans="1:15" x14ac:dyDescent="0.25">
      <c r="A96" s="52"/>
      <c r="B96" s="52"/>
      <c r="C96" s="52"/>
      <c r="D96" s="52"/>
      <c r="E96" s="52"/>
      <c r="F96" s="52"/>
      <c r="G96" s="52"/>
      <c r="H96" s="52"/>
      <c r="I96" s="52"/>
      <c r="J96" s="52"/>
      <c r="L96" t="s">
        <v>694</v>
      </c>
      <c r="M96">
        <v>0.89</v>
      </c>
      <c r="N96">
        <v>0.94299999999999995</v>
      </c>
      <c r="O96">
        <v>0.83</v>
      </c>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sheetData>
  <mergeCells count="18">
    <mergeCell ref="A90:J90"/>
    <mergeCell ref="A27:J27"/>
    <mergeCell ref="A28:J28"/>
    <mergeCell ref="A38:J38"/>
    <mergeCell ref="A39:J39"/>
    <mergeCell ref="A46:J46"/>
    <mergeCell ref="A47:J47"/>
    <mergeCell ref="A57:J57"/>
    <mergeCell ref="A58:J58"/>
    <mergeCell ref="A73:J73"/>
    <mergeCell ref="A74:J74"/>
    <mergeCell ref="A89:J89"/>
    <mergeCell ref="A16:J16"/>
    <mergeCell ref="A1:J1"/>
    <mergeCell ref="A2:J2"/>
    <mergeCell ref="A4:J4"/>
    <mergeCell ref="A5:J5"/>
    <mergeCell ref="C7:D7"/>
  </mergeCells>
  <pageMargins left="0.7" right="0.7" top="0.75" bottom="0.75" header="0.3" footer="0.3"/>
  <pageSetup scale="3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5860D-2375-44AA-9DF9-B2F38C254245}">
  <dimension ref="A1:E51"/>
  <sheetViews>
    <sheetView workbookViewId="0"/>
  </sheetViews>
  <sheetFormatPr defaultRowHeight="15" x14ac:dyDescent="0.25"/>
  <sheetData>
    <row r="1" spans="1:5" x14ac:dyDescent="0.25">
      <c r="A1" t="s">
        <v>682</v>
      </c>
      <c r="B1" t="s">
        <v>678</v>
      </c>
      <c r="C1" t="s">
        <v>683</v>
      </c>
      <c r="D1" t="s">
        <v>680</v>
      </c>
      <c r="E1" t="s">
        <v>679</v>
      </c>
    </row>
    <row r="2" spans="1:5" x14ac:dyDescent="0.25">
      <c r="A2" t="s">
        <v>5</v>
      </c>
      <c r="B2">
        <v>0.97560000000000002</v>
      </c>
      <c r="C2">
        <v>0.66669999999999996</v>
      </c>
      <c r="D2">
        <v>0.79210000000000003</v>
      </c>
      <c r="E2">
        <v>0.98329999999999995</v>
      </c>
    </row>
    <row r="3" spans="1:5" x14ac:dyDescent="0.25">
      <c r="A3" t="s">
        <v>10</v>
      </c>
      <c r="B3">
        <v>0.95350000000000001</v>
      </c>
      <c r="C3">
        <v>0.68330000000000002</v>
      </c>
      <c r="D3">
        <v>0.79610000000000003</v>
      </c>
      <c r="E3">
        <v>0.9667</v>
      </c>
    </row>
    <row r="4" spans="1:5" x14ac:dyDescent="0.25">
      <c r="A4" t="s">
        <v>14</v>
      </c>
      <c r="B4">
        <v>1</v>
      </c>
      <c r="C4">
        <v>0.95</v>
      </c>
      <c r="D4">
        <v>0.97440000000000004</v>
      </c>
      <c r="E4">
        <v>1</v>
      </c>
    </row>
    <row r="5" spans="1:5" x14ac:dyDescent="0.25">
      <c r="A5" t="s">
        <v>18</v>
      </c>
      <c r="B5">
        <v>0.80600000000000005</v>
      </c>
      <c r="C5">
        <v>0.9</v>
      </c>
      <c r="D5">
        <v>0.85040000000000004</v>
      </c>
      <c r="E5">
        <v>0.7833</v>
      </c>
    </row>
    <row r="6" spans="1:5" x14ac:dyDescent="0.25">
      <c r="A6" t="s">
        <v>22</v>
      </c>
      <c r="B6">
        <v>1</v>
      </c>
      <c r="C6">
        <v>0.9</v>
      </c>
      <c r="D6">
        <v>0.94740000000000002</v>
      </c>
      <c r="E6">
        <v>1</v>
      </c>
    </row>
    <row r="9" spans="1:5" x14ac:dyDescent="0.25">
      <c r="A9" t="s">
        <v>667</v>
      </c>
      <c r="B9" t="s">
        <v>771</v>
      </c>
      <c r="C9" t="s">
        <v>678</v>
      </c>
    </row>
    <row r="10" spans="1:5" ht="75" x14ac:dyDescent="0.25">
      <c r="A10" s="51" t="s">
        <v>772</v>
      </c>
      <c r="B10">
        <v>0.66</v>
      </c>
      <c r="C10">
        <v>0.9083</v>
      </c>
    </row>
    <row r="11" spans="1:5" ht="60" x14ac:dyDescent="0.25">
      <c r="A11" s="51" t="s">
        <v>773</v>
      </c>
      <c r="B11">
        <v>0.98</v>
      </c>
      <c r="C11">
        <v>0.96079999999999999</v>
      </c>
    </row>
    <row r="14" spans="1:5" x14ac:dyDescent="0.25">
      <c r="A14" t="s">
        <v>666</v>
      </c>
      <c r="B14" t="s">
        <v>690</v>
      </c>
    </row>
    <row r="15" spans="1:5" x14ac:dyDescent="0.25">
      <c r="A15" t="s">
        <v>684</v>
      </c>
      <c r="B15">
        <v>0.88300000000000001</v>
      </c>
    </row>
    <row r="16" spans="1:5" x14ac:dyDescent="0.25">
      <c r="A16" t="s">
        <v>685</v>
      </c>
      <c r="B16">
        <v>0.91100000000000003</v>
      </c>
    </row>
    <row r="17" spans="1:2" x14ac:dyDescent="0.25">
      <c r="A17" t="s">
        <v>686</v>
      </c>
      <c r="B17">
        <v>0.86699999999999999</v>
      </c>
    </row>
    <row r="18" spans="1:2" x14ac:dyDescent="0.25">
      <c r="A18" t="s">
        <v>687</v>
      </c>
      <c r="B18">
        <v>0.86699999999999999</v>
      </c>
    </row>
    <row r="19" spans="1:2" x14ac:dyDescent="0.25">
      <c r="A19" t="s">
        <v>744</v>
      </c>
      <c r="B19">
        <v>0.55000000000000004</v>
      </c>
    </row>
    <row r="22" spans="1:2" x14ac:dyDescent="0.25">
      <c r="A22" t="s">
        <v>774</v>
      </c>
      <c r="B22" t="s">
        <v>690</v>
      </c>
    </row>
    <row r="23" spans="1:2" x14ac:dyDescent="0.25">
      <c r="A23" t="s">
        <v>775</v>
      </c>
      <c r="B23">
        <v>0.86699999999999999</v>
      </c>
    </row>
    <row r="24" spans="1:2" x14ac:dyDescent="0.25">
      <c r="A24" t="s">
        <v>776</v>
      </c>
      <c r="B24">
        <v>0.9</v>
      </c>
    </row>
    <row r="25" spans="1:2" x14ac:dyDescent="0.25">
      <c r="A25" t="s">
        <v>777</v>
      </c>
      <c r="B25">
        <v>0.9</v>
      </c>
    </row>
    <row r="26" spans="1:2" x14ac:dyDescent="0.25">
      <c r="A26" t="s">
        <v>778</v>
      </c>
      <c r="B26">
        <v>0.9</v>
      </c>
    </row>
    <row r="27" spans="1:2" x14ac:dyDescent="0.25">
      <c r="A27" t="s">
        <v>779</v>
      </c>
      <c r="B27">
        <v>0.93300000000000005</v>
      </c>
    </row>
    <row r="28" spans="1:2" x14ac:dyDescent="0.25">
      <c r="A28" t="s">
        <v>780</v>
      </c>
      <c r="B28">
        <v>0.86699999999999999</v>
      </c>
    </row>
    <row r="29" spans="1:2" x14ac:dyDescent="0.25">
      <c r="A29" t="s">
        <v>781</v>
      </c>
      <c r="B29">
        <v>0.93300000000000005</v>
      </c>
    </row>
    <row r="30" spans="1:2" x14ac:dyDescent="0.25">
      <c r="A30" t="s">
        <v>782</v>
      </c>
      <c r="B30">
        <v>0.8</v>
      </c>
    </row>
    <row r="31" spans="1:2" x14ac:dyDescent="0.25">
      <c r="A31" t="s">
        <v>783</v>
      </c>
      <c r="B31">
        <v>0.63300000000000001</v>
      </c>
    </row>
    <row r="32" spans="1:2" x14ac:dyDescent="0.25">
      <c r="A32" t="s">
        <v>784</v>
      </c>
      <c r="B32">
        <v>0.46700000000000003</v>
      </c>
    </row>
    <row r="35" spans="1:4" x14ac:dyDescent="0.25">
      <c r="A35" t="s">
        <v>785</v>
      </c>
      <c r="B35" t="s">
        <v>681</v>
      </c>
    </row>
    <row r="36" spans="1:4" x14ac:dyDescent="0.25">
      <c r="A36" t="s">
        <v>786</v>
      </c>
      <c r="B36">
        <v>0</v>
      </c>
    </row>
    <row r="37" spans="1:4" x14ac:dyDescent="0.25">
      <c r="A37" t="s">
        <v>787</v>
      </c>
      <c r="B37">
        <v>0</v>
      </c>
    </row>
    <row r="38" spans="1:4" x14ac:dyDescent="0.25">
      <c r="A38" t="s">
        <v>788</v>
      </c>
      <c r="B38">
        <v>0.13300000000000001</v>
      </c>
    </row>
    <row r="39" spans="1:4" x14ac:dyDescent="0.25">
      <c r="A39" t="s">
        <v>789</v>
      </c>
      <c r="B39">
        <v>0.16700000000000001</v>
      </c>
    </row>
    <row r="40" spans="1:4" x14ac:dyDescent="0.25">
      <c r="A40" t="s">
        <v>790</v>
      </c>
      <c r="B40">
        <v>0.1</v>
      </c>
    </row>
    <row r="41" spans="1:4" x14ac:dyDescent="0.25">
      <c r="A41" t="s">
        <v>791</v>
      </c>
      <c r="B41">
        <v>0</v>
      </c>
    </row>
    <row r="42" spans="1:4" x14ac:dyDescent="0.25">
      <c r="A42" t="s">
        <v>792</v>
      </c>
      <c r="B42">
        <v>3.3000000000000002E-2</v>
      </c>
    </row>
    <row r="43" spans="1:4" x14ac:dyDescent="0.25">
      <c r="A43" t="s">
        <v>793</v>
      </c>
      <c r="B43">
        <v>0.1</v>
      </c>
    </row>
    <row r="44" spans="1:4" x14ac:dyDescent="0.25">
      <c r="A44" t="s">
        <v>794</v>
      </c>
      <c r="B44">
        <v>0</v>
      </c>
    </row>
    <row r="45" spans="1:4" x14ac:dyDescent="0.25">
      <c r="A45" t="s">
        <v>795</v>
      </c>
      <c r="B45">
        <v>0</v>
      </c>
    </row>
    <row r="48" spans="1:4" x14ac:dyDescent="0.25">
      <c r="A48" t="s">
        <v>691</v>
      </c>
      <c r="B48" t="s">
        <v>677</v>
      </c>
      <c r="C48" t="s">
        <v>678</v>
      </c>
      <c r="D48" t="s">
        <v>683</v>
      </c>
    </row>
    <row r="49" spans="1:4" x14ac:dyDescent="0.25">
      <c r="A49" t="s">
        <v>692</v>
      </c>
      <c r="B49">
        <v>0.875</v>
      </c>
      <c r="C49">
        <v>0.94099999999999995</v>
      </c>
      <c r="D49">
        <v>0.8</v>
      </c>
    </row>
    <row r="50" spans="1:4" x14ac:dyDescent="0.25">
      <c r="A50" t="s">
        <v>693</v>
      </c>
      <c r="B50">
        <v>0.88500000000000001</v>
      </c>
      <c r="C50">
        <v>0.93300000000000005</v>
      </c>
      <c r="D50">
        <v>0.83</v>
      </c>
    </row>
    <row r="51" spans="1:4" x14ac:dyDescent="0.25">
      <c r="A51" t="s">
        <v>694</v>
      </c>
      <c r="B51">
        <v>0.89</v>
      </c>
      <c r="C51">
        <v>0.94299999999999995</v>
      </c>
      <c r="D51">
        <v>0.83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D297-97B7-46F6-9E81-16C4C9D32AD3}">
  <sheetPr>
    <pageSetUpPr fitToPage="1"/>
  </sheetPr>
  <dimension ref="A1:H70"/>
  <sheetViews>
    <sheetView tabSelected="1" zoomScaleNormal="100" workbookViewId="0">
      <selection activeCell="H1" sqref="H1"/>
    </sheetView>
  </sheetViews>
  <sheetFormatPr defaultRowHeight="15" x14ac:dyDescent="0.25"/>
  <cols>
    <col min="1" max="1" width="37.140625" bestFit="1" customWidth="1"/>
    <col min="2" max="2" width="9.85546875" bestFit="1" customWidth="1"/>
    <col min="3" max="3" width="9.42578125" bestFit="1" customWidth="1"/>
    <col min="4" max="4" width="7.5703125" bestFit="1" customWidth="1"/>
    <col min="5" max="5" width="9.42578125" bestFit="1" customWidth="1"/>
    <col min="6" max="6" width="23.85546875" bestFit="1" customWidth="1"/>
    <col min="7" max="7" width="10.42578125" bestFit="1" customWidth="1"/>
    <col min="8" max="8" width="47" bestFit="1" customWidth="1"/>
  </cols>
  <sheetData>
    <row r="1" spans="1:8" ht="21" x14ac:dyDescent="0.35">
      <c r="A1" s="137" t="s">
        <v>802</v>
      </c>
    </row>
    <row r="2" spans="1:8" x14ac:dyDescent="0.25">
      <c r="A2" s="138" t="s">
        <v>803</v>
      </c>
    </row>
    <row r="4" spans="1:8" ht="15.75" x14ac:dyDescent="0.25">
      <c r="A4" s="139" t="s">
        <v>804</v>
      </c>
    </row>
    <row r="5" spans="1:8" x14ac:dyDescent="0.25">
      <c r="A5" s="140" t="s">
        <v>805</v>
      </c>
    </row>
    <row r="7" spans="1:8" x14ac:dyDescent="0.25">
      <c r="A7" s="141"/>
      <c r="B7" s="142" t="s">
        <v>806</v>
      </c>
      <c r="C7" s="142" t="s">
        <v>807</v>
      </c>
      <c r="D7" s="142" t="s">
        <v>808</v>
      </c>
      <c r="E7" s="142" t="s">
        <v>809</v>
      </c>
      <c r="F7" s="142" t="s">
        <v>810</v>
      </c>
      <c r="G7" s="142" t="s">
        <v>811</v>
      </c>
      <c r="H7" s="142" t="s">
        <v>812</v>
      </c>
    </row>
    <row r="8" spans="1:8" x14ac:dyDescent="0.25">
      <c r="A8" s="50" t="s">
        <v>5</v>
      </c>
      <c r="B8" s="143">
        <f>COUNTIFS(all_runs_combined!H:H,A8,all_runs_combined!F:F,"generic",all_runs_combined!N:N,"TP")/COUNTIFS(all_runs_combined!H:H,A8,all_runs_combined!F:F,"generic",all_runs_combined!D:D,"true")</f>
        <v>0.36666666666666664</v>
      </c>
      <c r="C8" s="143">
        <f>COUNTIFS(all_runs_combined!H:H,A8,all_runs_combined!F:F,"specific",all_runs_combined!N:N,"TP")/COUNTIFS(all_runs_combined!H:H,A8,all_runs_combined!F:F,"specific",all_runs_combined!D:D,"true")</f>
        <v>0.96666666666666667</v>
      </c>
      <c r="D8" s="144">
        <f>C8-B8</f>
        <v>0.60000000000000009</v>
      </c>
      <c r="E8" s="143">
        <f>COUNTIFS(all_runs_combined!H:H,A8,all_runs_combined!F:F,"generic",all_runs_combined!N:N,"TP")/(COUNTIFS(all_runs_combined!H:H,A8,all_runs_combined!F:F,"generic",all_runs_combined!N:N,"TP")+COUNTIFS(all_runs_combined!H:H,A8,all_runs_combined!F:F,"generic",all_runs_combined!N:N,"FP"))</f>
        <v>1</v>
      </c>
      <c r="F8" s="143">
        <f>COUNTIFS(all_runs_combined!H:H,A8,all_runs_combined!F:F,"specific",all_runs_combined!N:N,"TP")/(COUNTIFS(all_runs_combined!H:H,A8,all_runs_combined!F:F,"specific",all_runs_combined!N:N,"TP")+COUNTIFS(all_runs_combined!H:H,A8,all_runs_combined!F:F,"specific",all_runs_combined!N:N,"FP"))</f>
        <v>0.96666666666666667</v>
      </c>
      <c r="G8" s="143">
        <f>2*(E8*B8)/(E8+B8)</f>
        <v>0.53658536585365846</v>
      </c>
      <c r="H8" s="143">
        <f>2*(F8*C8)/(F8+C8)</f>
        <v>0.96666666666666667</v>
      </c>
    </row>
    <row r="9" spans="1:8" x14ac:dyDescent="0.25">
      <c r="A9" s="50" t="s">
        <v>10</v>
      </c>
      <c r="B9" s="143">
        <f>COUNTIFS(all_runs_combined!H:H,A9,all_runs_combined!F:F,"generic",all_runs_combined!N:N,"TP")/COUNTIFS(all_runs_combined!H:H,A9,all_runs_combined!F:F,"generic",all_runs_combined!D:D,"true")</f>
        <v>0.43333333333333335</v>
      </c>
      <c r="C9" s="143">
        <f>COUNTIFS(all_runs_combined!H:H,A9,all_runs_combined!F:F,"specific",all_runs_combined!N:N,"TP")/COUNTIFS(all_runs_combined!H:H,A9,all_runs_combined!F:F,"specific",all_runs_combined!D:D,"true")</f>
        <v>0.93333333333333335</v>
      </c>
      <c r="D9" s="144">
        <f t="shared" ref="D9:D12" si="0">C9-B9</f>
        <v>0.5</v>
      </c>
      <c r="E9" s="143">
        <f>COUNTIFS(all_runs_combined!H:H,A9,all_runs_combined!F:F,"generic",all_runs_combined!N:N,"TP")/(COUNTIFS(all_runs_combined!H:H,A9,all_runs_combined!F:F,"generic",all_runs_combined!N:N,"TP")+COUNTIFS(all_runs_combined!H:H,A9,all_runs_combined!F:F,"generic",all_runs_combined!N:N,"FP"))</f>
        <v>1</v>
      </c>
      <c r="F9" s="143">
        <f>COUNTIFS(all_runs_combined!H:H,A9,all_runs_combined!F:F,"specific",all_runs_combined!N:N,"TP")/(COUNTIFS(all_runs_combined!H:H,A9,all_runs_combined!F:F,"specific",all_runs_combined!N:N,"TP")+COUNTIFS(all_runs_combined!H:H,A9,all_runs_combined!F:F,"specific",all_runs_combined!N:N,"FP"))</f>
        <v>0.93333333333333335</v>
      </c>
      <c r="G9" s="143">
        <f t="shared" ref="G9:G12" si="1">2*(E9*B9)/(E9+B9)</f>
        <v>0.60465116279069764</v>
      </c>
      <c r="H9" s="143">
        <f t="shared" ref="H9:H12" si="2">2*(F9*C9)/(F9+C9)</f>
        <v>0.93333333333333335</v>
      </c>
    </row>
    <row r="10" spans="1:8" x14ac:dyDescent="0.25">
      <c r="A10" s="50" t="s">
        <v>14</v>
      </c>
      <c r="B10" s="143">
        <f>COUNTIFS(all_runs_combined!H:H,A10,all_runs_combined!F:F,"generic",all_runs_combined!N:N,"TP")/COUNTIFS(all_runs_combined!H:H,A10,all_runs_combined!F:F,"generic",all_runs_combined!D:D,"true")</f>
        <v>0.9</v>
      </c>
      <c r="C10" s="143">
        <f>COUNTIFS(all_runs_combined!H:H,A10,all_runs_combined!F:F,"specific",all_runs_combined!N:N,"TP")/COUNTIFS(all_runs_combined!H:H,A10,all_runs_combined!F:F,"specific",all_runs_combined!D:D,"true")</f>
        <v>1</v>
      </c>
      <c r="D10" s="144">
        <f t="shared" si="0"/>
        <v>9.9999999999999978E-2</v>
      </c>
      <c r="E10" s="143">
        <f>COUNTIFS(all_runs_combined!H:H,A10,all_runs_combined!F:F,"generic",all_runs_combined!N:N,"TP")/(COUNTIFS(all_runs_combined!H:H,A10,all_runs_combined!F:F,"generic",all_runs_combined!N:N,"TP")+COUNTIFS(all_runs_combined!H:H,A10,all_runs_combined!F:F,"generic",all_runs_combined!N:N,"FP"))</f>
        <v>1</v>
      </c>
      <c r="F10" s="143">
        <f>COUNTIFS(all_runs_combined!H:H,A10,all_runs_combined!F:F,"specific",all_runs_combined!N:N,"TP")/(COUNTIFS(all_runs_combined!H:H,A10,all_runs_combined!F:F,"specific",all_runs_combined!N:N,"TP")+COUNTIFS(all_runs_combined!H:H,A10,all_runs_combined!F:F,"specific",all_runs_combined!N:N,"FP"))</f>
        <v>1</v>
      </c>
      <c r="G10" s="143">
        <f t="shared" si="1"/>
        <v>0.94736842105263164</v>
      </c>
      <c r="H10" s="143">
        <f t="shared" si="2"/>
        <v>1</v>
      </c>
    </row>
    <row r="11" spans="1:8" x14ac:dyDescent="0.25">
      <c r="A11" s="50" t="s">
        <v>18</v>
      </c>
      <c r="B11" s="143">
        <f>COUNTIFS(all_runs_combined!H:H,A11,all_runs_combined!F:F,"generic",all_runs_combined!N:N,"TP")/COUNTIFS(all_runs_combined!H:H,A11,all_runs_combined!F:F,"generic",all_runs_combined!D:D,"true")</f>
        <v>0.8</v>
      </c>
      <c r="C11" s="143">
        <f>COUNTIFS(all_runs_combined!H:H,A11,all_runs_combined!F:F,"specific",all_runs_combined!N:N,"TP")/COUNTIFS(all_runs_combined!H:H,A11,all_runs_combined!F:F,"specific",all_runs_combined!D:D,"true")</f>
        <v>1</v>
      </c>
      <c r="D11" s="144">
        <f t="shared" si="0"/>
        <v>0.19999999999999996</v>
      </c>
      <c r="E11" s="143">
        <f>COUNTIFS(all_runs_combined!H:H,A11,all_runs_combined!F:F,"generic",all_runs_combined!N:N,"TP")/(COUNTIFS(all_runs_combined!H:H,A11,all_runs_combined!F:F,"generic",all_runs_combined!N:N,"TP")+COUNTIFS(all_runs_combined!H:H,A11,all_runs_combined!F:F,"generic",all_runs_combined!N:N,"FP"))</f>
        <v>0.70588235294117652</v>
      </c>
      <c r="F11" s="143">
        <f>COUNTIFS(all_runs_combined!H:H,A11,all_runs_combined!F:F,"specific",all_runs_combined!N:N,"TP")/(COUNTIFS(all_runs_combined!H:H,A11,all_runs_combined!F:F,"specific",all_runs_combined!N:N,"TP")+COUNTIFS(all_runs_combined!H:H,A11,all_runs_combined!F:F,"specific",all_runs_combined!N:N,"FP"))</f>
        <v>0.90909090909090906</v>
      </c>
      <c r="G11" s="143">
        <f t="shared" si="1"/>
        <v>0.75000000000000011</v>
      </c>
      <c r="H11" s="143">
        <f t="shared" si="2"/>
        <v>0.95238095238095233</v>
      </c>
    </row>
    <row r="12" spans="1:8" x14ac:dyDescent="0.25">
      <c r="A12" s="50" t="s">
        <v>22</v>
      </c>
      <c r="B12" s="143">
        <f>COUNTIFS(all_runs_combined!H:H,A12,all_runs_combined!F:F,"generic",all_runs_combined!N:N,"TP")/COUNTIFS(all_runs_combined!H:H,A12,all_runs_combined!F:F,"generic",all_runs_combined!D:D,"true")</f>
        <v>0.8</v>
      </c>
      <c r="C12" s="143">
        <f>COUNTIFS(all_runs_combined!H:H,A12,all_runs_combined!F:F,"specific",all_runs_combined!N:N,"TP")/COUNTIFS(all_runs_combined!H:H,A12,all_runs_combined!F:F,"specific",all_runs_combined!D:D,"true")</f>
        <v>1</v>
      </c>
      <c r="D12" s="144">
        <f t="shared" si="0"/>
        <v>0.19999999999999996</v>
      </c>
      <c r="E12" s="143">
        <f>COUNTIFS(all_runs_combined!H:H,A12,all_runs_combined!F:F,"generic",all_runs_combined!N:N,"TP")/(COUNTIFS(all_runs_combined!H:H,A12,all_runs_combined!F:F,"generic",all_runs_combined!N:N,"TP")+COUNTIFS(all_runs_combined!H:H,A12,all_runs_combined!F:F,"generic",all_runs_combined!N:N,"FP"))</f>
        <v>1</v>
      </c>
      <c r="F12" s="143">
        <f>COUNTIFS(all_runs_combined!H:H,A12,all_runs_combined!F:F,"specific",all_runs_combined!N:N,"TP")/(COUNTIFS(all_runs_combined!H:H,A12,all_runs_combined!F:F,"specific",all_runs_combined!N:N,"TP")+COUNTIFS(all_runs_combined!H:H,A12,all_runs_combined!F:F,"specific",all_runs_combined!N:N,"FP"))</f>
        <v>1</v>
      </c>
      <c r="G12" s="143">
        <f t="shared" si="1"/>
        <v>0.88888888888888895</v>
      </c>
      <c r="H12" s="143">
        <f t="shared" si="2"/>
        <v>1</v>
      </c>
    </row>
    <row r="15" spans="1:8" ht="15.75" x14ac:dyDescent="0.25">
      <c r="A15" s="139" t="s">
        <v>813</v>
      </c>
    </row>
    <row r="16" spans="1:8" x14ac:dyDescent="0.25">
      <c r="A16" s="140" t="s">
        <v>814</v>
      </c>
    </row>
    <row r="18" spans="1:7" x14ac:dyDescent="0.25">
      <c r="A18" s="141" t="s">
        <v>815</v>
      </c>
      <c r="B18" s="142" t="s">
        <v>5</v>
      </c>
      <c r="C18" s="142" t="s">
        <v>10</v>
      </c>
      <c r="D18" s="142" t="s">
        <v>14</v>
      </c>
      <c r="E18" s="142" t="s">
        <v>18</v>
      </c>
      <c r="F18" s="142" t="s">
        <v>22</v>
      </c>
      <c r="G18" s="142" t="s">
        <v>816</v>
      </c>
    </row>
    <row r="19" spans="1:7" x14ac:dyDescent="0.25">
      <c r="A19" s="50" t="s">
        <v>817</v>
      </c>
      <c r="B19" s="143">
        <f>COUNTIFS(all_runs_combined!$H:$H,B$18,all_runs_combined!$C:$C,"preprocessing",all_runs_combined!$N:$N,"TP")/COUNTIFS(all_runs_combined!$H:$H,B$18,all_runs_combined!$C:$C,"preprocessing",all_runs_combined!$D:$D,"true")</f>
        <v>0.75</v>
      </c>
      <c r="C19" s="143">
        <f>COUNTIFS(all_runs_combined!$H:$H,C$18,all_runs_combined!$C:$C,"preprocessing",all_runs_combined!$N:$N,"TP")/COUNTIFS(all_runs_combined!$H:$H,C$18,all_runs_combined!$C:$C,"preprocessing",all_runs_combined!$D:$D,"true")</f>
        <v>0.75</v>
      </c>
      <c r="D19" s="143">
        <f>COUNTIFS(all_runs_combined!$H:$H,D$18,all_runs_combined!$C:$C,"preprocessing",all_runs_combined!$N:$N,"TP")/COUNTIFS(all_runs_combined!$H:$H,D$18,all_runs_combined!$C:$C,"preprocessing",all_runs_combined!$D:$D,"true")</f>
        <v>1</v>
      </c>
      <c r="E19" s="143">
        <f>COUNTIFS(all_runs_combined!$H:$H,E$18,all_runs_combined!$C:$C,"preprocessing",all_runs_combined!$N:$N,"TP")/COUNTIFS(all_runs_combined!$H:$H,E$18,all_runs_combined!$C:$C,"preprocessing",all_runs_combined!$D:$D,"true")</f>
        <v>1</v>
      </c>
      <c r="F19" s="143">
        <f>COUNTIFS(all_runs_combined!$H:$H,F$18,all_runs_combined!$C:$C,"preprocessing",all_runs_combined!$N:$N,"TP")/COUNTIFS(all_runs_combined!$H:$H,F$18,all_runs_combined!$C:$C,"preprocessing",all_runs_combined!$D:$D,"true")</f>
        <v>0.91666666666666663</v>
      </c>
      <c r="G19" s="146">
        <f>AVERAGE(B19:F19)</f>
        <v>0.88333333333333341</v>
      </c>
    </row>
    <row r="20" spans="1:7" x14ac:dyDescent="0.25">
      <c r="A20" s="50" t="s">
        <v>818</v>
      </c>
      <c r="B20" s="143">
        <f>COUNTIFS(all_runs_combined!$H:$H,B$18,all_runs_combined!$C:$C,"feature_selection",all_runs_combined!$N:$N,"TP")/COUNTIFS(all_runs_combined!$H:$H,B$18,all_runs_combined!$C:$C,"feature_selection",all_runs_combined!$D:$D,"true")</f>
        <v>0.5</v>
      </c>
      <c r="C20" s="143">
        <f>COUNTIFS(all_runs_combined!$H:$H,C$18,all_runs_combined!$C:$C,"feature_selection",all_runs_combined!$N:$N,"TP")/COUNTIFS(all_runs_combined!$H:$H,C$18,all_runs_combined!$C:$C,"feature_selection",all_runs_combined!$D:$D,"true")</f>
        <v>1</v>
      </c>
      <c r="D20" s="143">
        <f>COUNTIFS(all_runs_combined!$H:$H,D$18,all_runs_combined!$C:$C,"feature_selection",all_runs_combined!$N:$N,"TP")/COUNTIFS(all_runs_combined!$H:$H,D$18,all_runs_combined!$C:$C,"feature_selection",all_runs_combined!$D:$D,"true")</f>
        <v>1</v>
      </c>
      <c r="E20" s="143">
        <f>COUNTIFS(all_runs_combined!$H:$H,E$18,all_runs_combined!$C:$C,"feature_selection",all_runs_combined!$N:$N,"TP")/COUNTIFS(all_runs_combined!$H:$H,E$18,all_runs_combined!$C:$C,"feature_selection",all_runs_combined!$D:$D,"true")</f>
        <v>1</v>
      </c>
      <c r="F20" s="143">
        <f>COUNTIFS(all_runs_combined!$H:$H,F$18,all_runs_combined!$C:$C,"feature_selection",all_runs_combined!$N:$N,"TP")/COUNTIFS(all_runs_combined!$H:$H,F$18,all_runs_combined!$C:$C,"feature_selection",all_runs_combined!$D:$D,"true")</f>
        <v>1</v>
      </c>
      <c r="G20" s="146">
        <f>AVERAGE(B20:F20)</f>
        <v>0.9</v>
      </c>
    </row>
    <row r="21" spans="1:7" x14ac:dyDescent="0.25">
      <c r="A21" s="50" t="s">
        <v>819</v>
      </c>
      <c r="B21" s="143">
        <f>COUNTIFS(all_runs_combined!$H:$H,B$18,all_runs_combined!$C:$C,"imputation",all_runs_combined!$N:$N,"TP")/COUNTIFS(all_runs_combined!$H:$H,B$18,all_runs_combined!$C:$C,"imputation",all_runs_combined!$D:$D,"true")</f>
        <v>0.75</v>
      </c>
      <c r="C21" s="143">
        <f>COUNTIFS(all_runs_combined!$H:$H,C$18,all_runs_combined!$C:$C,"imputation",all_runs_combined!$N:$N,"TP")/COUNTIFS(all_runs_combined!$H:$H,C$18,all_runs_combined!$C:$C,"imputation",all_runs_combined!$D:$D,"true")</f>
        <v>0.83333333333333337</v>
      </c>
      <c r="D21" s="143">
        <f>COUNTIFS(all_runs_combined!$H:$H,D$18,all_runs_combined!$C:$C,"imputation",all_runs_combined!$N:$N,"TP")/COUNTIFS(all_runs_combined!$H:$H,D$18,all_runs_combined!$C:$C,"imputation",all_runs_combined!$D:$D,"true")</f>
        <v>1</v>
      </c>
      <c r="E21" s="143">
        <f>COUNTIFS(all_runs_combined!$H:$H,E$18,all_runs_combined!$C:$C,"imputation",all_runs_combined!$N:$N,"TP")/COUNTIFS(all_runs_combined!$H:$H,E$18,all_runs_combined!$C:$C,"imputation",all_runs_combined!$D:$D,"true")</f>
        <v>1</v>
      </c>
      <c r="F21" s="143">
        <f>COUNTIFS(all_runs_combined!$H:$H,F$18,all_runs_combined!$C:$C,"imputation",all_runs_combined!$N:$N,"TP")/COUNTIFS(all_runs_combined!$H:$H,F$18,all_runs_combined!$C:$C,"imputation",all_runs_combined!$D:$D,"true")</f>
        <v>1</v>
      </c>
      <c r="G21" s="146">
        <f>AVERAGE(B21:F21)</f>
        <v>0.91666666666666674</v>
      </c>
    </row>
    <row r="22" spans="1:7" x14ac:dyDescent="0.25">
      <c r="A22" s="50" t="s">
        <v>820</v>
      </c>
      <c r="B22" s="143">
        <f>COUNTIFS(all_runs_combined!$H:$H,B$18,all_runs_combined!$C:$C,"cv_preprocessing",all_runs_combined!$N:$N,"TP")/COUNTIFS(all_runs_combined!$H:$H,B$18,all_runs_combined!$C:$C,"cv_preprocessing",all_runs_combined!$D:$D,"true")</f>
        <v>0.66666666666666663</v>
      </c>
      <c r="C22" s="143">
        <f>COUNTIFS(all_runs_combined!$H:$H,C$18,all_runs_combined!$C:$C,"cv_preprocessing",all_runs_combined!$N:$N,"TP")/COUNTIFS(all_runs_combined!$H:$H,C$18,all_runs_combined!$C:$C,"cv_preprocessing",all_runs_combined!$D:$D,"true")</f>
        <v>0.66666666666666663</v>
      </c>
      <c r="D22" s="143">
        <f>COUNTIFS(all_runs_combined!$H:$H,D$18,all_runs_combined!$C:$C,"cv_preprocessing",all_runs_combined!$N:$N,"TP")/COUNTIFS(all_runs_combined!$H:$H,D$18,all_runs_combined!$C:$C,"cv_preprocessing",all_runs_combined!$D:$D,"true")</f>
        <v>1</v>
      </c>
      <c r="E22" s="143">
        <f>COUNTIFS(all_runs_combined!$H:$H,E$18,all_runs_combined!$C:$C,"cv_preprocessing",all_runs_combined!$N:$N,"TP")/COUNTIFS(all_runs_combined!$H:$H,E$18,all_runs_combined!$C:$C,"cv_preprocessing",all_runs_combined!$D:$D,"true")</f>
        <v>1</v>
      </c>
      <c r="F22" s="143">
        <f>COUNTIFS(all_runs_combined!$H:$H,F$18,all_runs_combined!$C:$C,"cv_preprocessing",all_runs_combined!$N:$N,"TP")/COUNTIFS(all_runs_combined!$H:$H,F$18,all_runs_combined!$C:$C,"cv_preprocessing",all_runs_combined!$D:$D,"true")</f>
        <v>1</v>
      </c>
      <c r="G22" s="146">
        <f>AVERAGE(B22:F22)</f>
        <v>0.86666666666666659</v>
      </c>
    </row>
    <row r="23" spans="1:7" x14ac:dyDescent="0.25">
      <c r="A23" s="50" t="s">
        <v>821</v>
      </c>
      <c r="B23" s="143">
        <f>COUNTIFS(all_runs_combined!$H:$H,B$18,all_runs_combined!$C:$C,"oversampling",all_runs_combined!$N:$N,"TP")/COUNTIFS(all_runs_combined!$H:$H,B$18,all_runs_combined!$C:$C,"oversampling",all_runs_combined!$D:$D,"true")</f>
        <v>0.83333333333333337</v>
      </c>
      <c r="C23" s="143">
        <f>COUNTIFS(all_runs_combined!$H:$H,C$18,all_runs_combined!$C:$C,"oversampling",all_runs_combined!$N:$N,"TP")/COUNTIFS(all_runs_combined!$H:$H,C$18,all_runs_combined!$C:$C,"oversampling",all_runs_combined!$D:$D,"true")</f>
        <v>0.83333333333333337</v>
      </c>
      <c r="D23" s="143">
        <f>COUNTIFS(all_runs_combined!$H:$H,D$18,all_runs_combined!$C:$C,"oversampling",all_runs_combined!$N:$N,"TP")/COUNTIFS(all_runs_combined!$H:$H,D$18,all_runs_combined!$C:$C,"oversampling",all_runs_combined!$D:$D,"true")</f>
        <v>1</v>
      </c>
      <c r="E23" s="143">
        <f>COUNTIFS(all_runs_combined!$H:$H,E$18,all_runs_combined!$C:$C,"oversampling",all_runs_combined!$N:$N,"TP")/COUNTIFS(all_runs_combined!$H:$H,E$18,all_runs_combined!$C:$C,"oversampling",all_runs_combined!$D:$D,"true")</f>
        <v>1</v>
      </c>
      <c r="F23" s="143">
        <f>COUNTIFS(all_runs_combined!$H:$H,F$18,all_runs_combined!$C:$C,"oversampling",all_runs_combined!$N:$N,"TP")/COUNTIFS(all_runs_combined!$H:$H,F$18,all_runs_combined!$C:$C,"oversampling",all_runs_combined!$D:$D,"true")</f>
        <v>1</v>
      </c>
      <c r="G23" s="146">
        <f>AVERAGE(B23:F23)</f>
        <v>0.93333333333333335</v>
      </c>
    </row>
    <row r="24" spans="1:7" x14ac:dyDescent="0.25">
      <c r="A24" s="50" t="s">
        <v>822</v>
      </c>
      <c r="B24" s="143">
        <f>COUNTIFS(all_runs_combined!$H:$H,B$18,all_runs_combined!$C:$C,"temporal",all_runs_combined!$N:$N,"TP")/COUNTIFS(all_runs_combined!$H:$H,B$18,all_runs_combined!$C:$C,"temporal",all_runs_combined!$D:$D,"true")</f>
        <v>0.66666666666666663</v>
      </c>
      <c r="C24" s="143">
        <f>COUNTIFS(all_runs_combined!$H:$H,C$18,all_runs_combined!$C:$C,"temporal",all_runs_combined!$N:$N,"TP")/COUNTIFS(all_runs_combined!$H:$H,C$18,all_runs_combined!$C:$C,"temporal",all_runs_combined!$D:$D,"true")</f>
        <v>0.33333333333333331</v>
      </c>
      <c r="D24" s="143">
        <f>COUNTIFS(all_runs_combined!$H:$H,D$18,all_runs_combined!$C:$C,"temporal",all_runs_combined!$N:$N,"TP")/COUNTIFS(all_runs_combined!$H:$H,D$18,all_runs_combined!$C:$C,"temporal",all_runs_combined!$D:$D,"true")</f>
        <v>1</v>
      </c>
      <c r="E24" s="143">
        <f>COUNTIFS(all_runs_combined!$H:$H,E$18,all_runs_combined!$C:$C,"temporal",all_runs_combined!$N:$N,"TP")/COUNTIFS(all_runs_combined!$H:$H,E$18,all_runs_combined!$C:$C,"temporal",all_runs_combined!$D:$D,"true")</f>
        <v>1</v>
      </c>
      <c r="F24" s="143">
        <f>COUNTIFS(all_runs_combined!$H:$H,F$18,all_runs_combined!$C:$C,"temporal",all_runs_combined!$N:$N,"TP")/COUNTIFS(all_runs_combined!$H:$H,F$18,all_runs_combined!$C:$C,"temporal",all_runs_combined!$D:$D,"true")</f>
        <v>1</v>
      </c>
      <c r="G24" s="146">
        <f>AVERAGE(B24:F24)</f>
        <v>0.8</v>
      </c>
    </row>
    <row r="25" spans="1:7" x14ac:dyDescent="0.25">
      <c r="A25" s="50" t="s">
        <v>823</v>
      </c>
      <c r="B25" s="143">
        <f>COUNTIFS(all_runs_combined!$H:$H,B$18,all_runs_combined!$C:$C,"target_leakage",all_runs_combined!$N:$N,"TP")/COUNTIFS(all_runs_combined!$H:$H,B$18,all_runs_combined!$C:$C,"target_leakage",all_runs_combined!$D:$D,"true")</f>
        <v>0.5</v>
      </c>
      <c r="C25" s="143">
        <f>COUNTIFS(all_runs_combined!$H:$H,C$18,all_runs_combined!$C:$C,"target_leakage",all_runs_combined!$N:$N,"TP")/COUNTIFS(all_runs_combined!$H:$H,C$18,all_runs_combined!$C:$C,"target_leakage",all_runs_combined!$D:$D,"true")</f>
        <v>0.41666666666666669</v>
      </c>
      <c r="D25" s="143">
        <f>COUNTIFS(all_runs_combined!$H:$H,D$18,all_runs_combined!$C:$C,"target_leakage",all_runs_combined!$N:$N,"TP")/COUNTIFS(all_runs_combined!$H:$H,D$18,all_runs_combined!$C:$C,"target_leakage",all_runs_combined!$D:$D,"true")</f>
        <v>0.75</v>
      </c>
      <c r="E25" s="143">
        <f>COUNTIFS(all_runs_combined!$H:$H,E$18,all_runs_combined!$C:$C,"target_leakage",all_runs_combined!$N:$N,"TP")/COUNTIFS(all_runs_combined!$H:$H,E$18,all_runs_combined!$C:$C,"target_leakage",all_runs_combined!$D:$D,"true")</f>
        <v>0.5</v>
      </c>
      <c r="F25" s="143">
        <f>COUNTIFS(all_runs_combined!$H:$H,F$18,all_runs_combined!$C:$C,"target_leakage",all_runs_combined!$N:$N,"TP")/COUNTIFS(all_runs_combined!$H:$H,F$18,all_runs_combined!$C:$C,"target_leakage",all_runs_combined!$D:$D,"true")</f>
        <v>0.58333333333333337</v>
      </c>
      <c r="G25" s="146">
        <f>AVERAGE(B25:F25)</f>
        <v>0.55000000000000004</v>
      </c>
    </row>
    <row r="28" spans="1:7" ht="15.75" x14ac:dyDescent="0.25">
      <c r="A28" s="139" t="s">
        <v>824</v>
      </c>
    </row>
    <row r="29" spans="1:7" x14ac:dyDescent="0.25">
      <c r="A29" s="140" t="s">
        <v>825</v>
      </c>
    </row>
    <row r="31" spans="1:7" x14ac:dyDescent="0.25">
      <c r="A31" s="141" t="s">
        <v>826</v>
      </c>
      <c r="B31" s="142" t="s">
        <v>5</v>
      </c>
      <c r="C31" s="142" t="s">
        <v>10</v>
      </c>
      <c r="D31" s="142" t="s">
        <v>14</v>
      </c>
      <c r="E31" s="142" t="s">
        <v>18</v>
      </c>
      <c r="F31" s="142" t="s">
        <v>22</v>
      </c>
      <c r="G31" s="142" t="s">
        <v>827</v>
      </c>
    </row>
    <row r="32" spans="1:7" x14ac:dyDescent="0.25">
      <c r="A32" s="145" t="s">
        <v>828</v>
      </c>
      <c r="B32" s="148">
        <f>(COUNTIFS(all_runs_combined!$H:$H,B$31,all_runs_combined!$N:$N,"TP",all_runs_combined!$C:$C,"preprocessing")+COUNTIFS(all_runs_combined!$H:$H,B$31,all_runs_combined!$N:$N,"TP",all_runs_combined!$C:$C,"feature_selection")+COUNTIFS(all_runs_combined!$H:$H,B$31,all_runs_combined!$N:$N,"TP",all_runs_combined!$C:$C,"imputation")+COUNTIFS(all_runs_combined!$H:$H,B$31,all_runs_combined!$N:$N,"TP",all_runs_combined!$C:$C,"cv_preprocessing")+COUNTIFS(all_runs_combined!$H:$H,B$31,all_runs_combined!$N:$N,"TP",all_runs_combined!$C:$C,"oversampling"))/(COUNTIFS(all_runs_combined!$H:$H,B$31,all_runs_combined!$D:$D,"true",all_runs_combined!$C:$C,"preprocessing")+COUNTIFS(all_runs_combined!$H:$H,B$31,all_runs_combined!$D:$D,"true",all_runs_combined!$C:$C,"feature_selection")+COUNTIFS(all_runs_combined!$H:$H,B$31,all_runs_combined!$D:$D,"true",all_runs_combined!$C:$C,"imputation")+COUNTIFS(all_runs_combined!$H:$H,B$31,all_runs_combined!$D:$D,"true",all_runs_combined!$C:$C,"cv_preprocessing")+COUNTIFS(all_runs_combined!$H:$H,B$31,all_runs_combined!$D:$D,"true",all_runs_combined!$C:$C,"oversampling"))</f>
        <v>0.7142857142857143</v>
      </c>
      <c r="C32" s="148">
        <f>(COUNTIFS(all_runs_combined!$H:$H,C$31,all_runs_combined!$N:$N,"TP",all_runs_combined!$C:$C,"preprocessing")+COUNTIFS(all_runs_combined!$H:$H,C$31,all_runs_combined!$N:$N,"TP",all_runs_combined!$C:$C,"feature_selection")+COUNTIFS(all_runs_combined!$H:$H,C$31,all_runs_combined!$N:$N,"TP",all_runs_combined!$C:$C,"imputation")+COUNTIFS(all_runs_combined!$H:$H,C$31,all_runs_combined!$N:$N,"TP",all_runs_combined!$C:$C,"cv_preprocessing")+COUNTIFS(all_runs_combined!$H:$H,C$31,all_runs_combined!$N:$N,"TP",all_runs_combined!$C:$C,"oversampling"))/(COUNTIFS(all_runs_combined!$H:$H,C$31,all_runs_combined!$D:$D,"true",all_runs_combined!$C:$C,"preprocessing")+COUNTIFS(all_runs_combined!$H:$H,C$31,all_runs_combined!$D:$D,"true",all_runs_combined!$C:$C,"feature_selection")+COUNTIFS(all_runs_combined!$H:$H,C$31,all_runs_combined!$D:$D,"true",all_runs_combined!$C:$C,"imputation")+COUNTIFS(all_runs_combined!$H:$H,C$31,all_runs_combined!$D:$D,"true",all_runs_combined!$C:$C,"cv_preprocessing")+COUNTIFS(all_runs_combined!$H:$H,C$31,all_runs_combined!$D:$D,"true",all_runs_combined!$C:$C,"oversampling"))</f>
        <v>0.80952380952380953</v>
      </c>
      <c r="D32" s="148">
        <f>(COUNTIFS(all_runs_combined!$H:$H,D$31,all_runs_combined!$N:$N,"TP",all_runs_combined!$C:$C,"preprocessing")+COUNTIFS(all_runs_combined!$H:$H,D$31,all_runs_combined!$N:$N,"TP",all_runs_combined!$C:$C,"feature_selection")+COUNTIFS(all_runs_combined!$H:$H,D$31,all_runs_combined!$N:$N,"TP",all_runs_combined!$C:$C,"imputation")+COUNTIFS(all_runs_combined!$H:$H,D$31,all_runs_combined!$N:$N,"TP",all_runs_combined!$C:$C,"cv_preprocessing")+COUNTIFS(all_runs_combined!$H:$H,D$31,all_runs_combined!$N:$N,"TP",all_runs_combined!$C:$C,"oversampling"))/(COUNTIFS(all_runs_combined!$H:$H,D$31,all_runs_combined!$D:$D,"true",all_runs_combined!$C:$C,"preprocessing")+COUNTIFS(all_runs_combined!$H:$H,D$31,all_runs_combined!$D:$D,"true",all_runs_combined!$C:$C,"feature_selection")+COUNTIFS(all_runs_combined!$H:$H,D$31,all_runs_combined!$D:$D,"true",all_runs_combined!$C:$C,"imputation")+COUNTIFS(all_runs_combined!$H:$H,D$31,all_runs_combined!$D:$D,"true",all_runs_combined!$C:$C,"cv_preprocessing")+COUNTIFS(all_runs_combined!$H:$H,D$31,all_runs_combined!$D:$D,"true",all_runs_combined!$C:$C,"oversampling"))</f>
        <v>1</v>
      </c>
      <c r="E32" s="148">
        <f>(COUNTIFS(all_runs_combined!$H:$H,E$31,all_runs_combined!$N:$N,"TP",all_runs_combined!$C:$C,"preprocessing")+COUNTIFS(all_runs_combined!$H:$H,E$31,all_runs_combined!$N:$N,"TP",all_runs_combined!$C:$C,"feature_selection")+COUNTIFS(all_runs_combined!$H:$H,E$31,all_runs_combined!$N:$N,"TP",all_runs_combined!$C:$C,"imputation")+COUNTIFS(all_runs_combined!$H:$H,E$31,all_runs_combined!$N:$N,"TP",all_runs_combined!$C:$C,"cv_preprocessing")+COUNTIFS(all_runs_combined!$H:$H,E$31,all_runs_combined!$N:$N,"TP",all_runs_combined!$C:$C,"oversampling"))/(COUNTIFS(all_runs_combined!$H:$H,E$31,all_runs_combined!$D:$D,"true",all_runs_combined!$C:$C,"preprocessing")+COUNTIFS(all_runs_combined!$H:$H,E$31,all_runs_combined!$D:$D,"true",all_runs_combined!$C:$C,"feature_selection")+COUNTIFS(all_runs_combined!$H:$H,E$31,all_runs_combined!$D:$D,"true",all_runs_combined!$C:$C,"imputation")+COUNTIFS(all_runs_combined!$H:$H,E$31,all_runs_combined!$D:$D,"true",all_runs_combined!$C:$C,"cv_preprocessing")+COUNTIFS(all_runs_combined!$H:$H,E$31,all_runs_combined!$D:$D,"true",all_runs_combined!$C:$C,"oversampling"))</f>
        <v>1</v>
      </c>
      <c r="F32" s="148">
        <f>(COUNTIFS(all_runs_combined!$H:$H,F$31,all_runs_combined!$N:$N,"TP",all_runs_combined!$C:$C,"preprocessing")+COUNTIFS(all_runs_combined!$H:$H,F$31,all_runs_combined!$N:$N,"TP",all_runs_combined!$C:$C,"feature_selection")+COUNTIFS(all_runs_combined!$H:$H,F$31,all_runs_combined!$N:$N,"TP",all_runs_combined!$C:$C,"imputation")+COUNTIFS(all_runs_combined!$H:$H,F$31,all_runs_combined!$N:$N,"TP",all_runs_combined!$C:$C,"cv_preprocessing")+COUNTIFS(all_runs_combined!$H:$H,F$31,all_runs_combined!$N:$N,"TP",all_runs_combined!$C:$C,"oversampling"))/(COUNTIFS(all_runs_combined!$H:$H,F$31,all_runs_combined!$D:$D,"true",all_runs_combined!$C:$C,"preprocessing")+COUNTIFS(all_runs_combined!$H:$H,F$31,all_runs_combined!$D:$D,"true",all_runs_combined!$C:$C,"feature_selection")+COUNTIFS(all_runs_combined!$H:$H,F$31,all_runs_combined!$D:$D,"true",all_runs_combined!$C:$C,"imputation")+COUNTIFS(all_runs_combined!$H:$H,F$31,all_runs_combined!$D:$D,"true",all_runs_combined!$C:$C,"cv_preprocessing")+COUNTIFS(all_runs_combined!$H:$H,F$31,all_runs_combined!$D:$D,"true",all_runs_combined!$C:$C,"oversampling"))</f>
        <v>0.97619047619047616</v>
      </c>
      <c r="G32" s="146">
        <f>AVERAGE(B32:F32)</f>
        <v>0.9</v>
      </c>
    </row>
    <row r="33" spans="1:7" x14ac:dyDescent="0.25">
      <c r="A33" s="147" t="s">
        <v>829</v>
      </c>
      <c r="B33" s="149">
        <f>(COUNTIFS(all_runs_combined!$H:$H,B$31,all_runs_combined!$N:$N,"TP",all_runs_combined!$C:$C,"temporal")+COUNTIFS(all_runs_combined!$H:$H,B$31,all_runs_combined!$N:$N,"TP",all_runs_combined!$C:$C,"target_leakage"))/(COUNTIFS(all_runs_combined!$H:$H,B$31,all_runs_combined!$D:$D,"true",all_runs_combined!$C:$C,"temporal")+COUNTIFS(all_runs_combined!$H:$H,B$31,all_runs_combined!$D:$D,"true",all_runs_combined!$C:$C,"target_leakage"))</f>
        <v>0.55555555555555558</v>
      </c>
      <c r="C33" s="149">
        <f>(COUNTIFS(all_runs_combined!$H:$H,C$31,all_runs_combined!$N:$N,"TP",all_runs_combined!$C:$C,"temporal")+COUNTIFS(all_runs_combined!$H:$H,C$31,all_runs_combined!$N:$N,"TP",all_runs_combined!$C:$C,"target_leakage"))/(COUNTIFS(all_runs_combined!$H:$H,C$31,all_runs_combined!$D:$D,"true",all_runs_combined!$C:$C,"temporal")+COUNTIFS(all_runs_combined!$H:$H,C$31,all_runs_combined!$D:$D,"true",all_runs_combined!$C:$C,"target_leakage"))</f>
        <v>0.3888888888888889</v>
      </c>
      <c r="D33" s="149">
        <f>(COUNTIFS(all_runs_combined!$H:$H,D$31,all_runs_combined!$N:$N,"TP",all_runs_combined!$C:$C,"temporal")+COUNTIFS(all_runs_combined!$H:$H,D$31,all_runs_combined!$N:$N,"TP",all_runs_combined!$C:$C,"target_leakage"))/(COUNTIFS(all_runs_combined!$H:$H,D$31,all_runs_combined!$D:$D,"true",all_runs_combined!$C:$C,"temporal")+COUNTIFS(all_runs_combined!$H:$H,D$31,all_runs_combined!$D:$D,"true",all_runs_combined!$C:$C,"target_leakage"))</f>
        <v>0.83333333333333337</v>
      </c>
      <c r="E33" s="149">
        <f>(COUNTIFS(all_runs_combined!$H:$H,E$31,all_runs_combined!$N:$N,"TP",all_runs_combined!$C:$C,"temporal")+COUNTIFS(all_runs_combined!$H:$H,E$31,all_runs_combined!$N:$N,"TP",all_runs_combined!$C:$C,"target_leakage"))/(COUNTIFS(all_runs_combined!$H:$H,E$31,all_runs_combined!$D:$D,"true",all_runs_combined!$C:$C,"temporal")+COUNTIFS(all_runs_combined!$H:$H,E$31,all_runs_combined!$D:$D,"true",all_runs_combined!$C:$C,"target_leakage"))</f>
        <v>0.66666666666666663</v>
      </c>
      <c r="F33" s="149">
        <f>(COUNTIFS(all_runs_combined!$H:$H,F$31,all_runs_combined!$N:$N,"TP",all_runs_combined!$C:$C,"temporal")+COUNTIFS(all_runs_combined!$H:$H,F$31,all_runs_combined!$N:$N,"TP",all_runs_combined!$C:$C,"target_leakage"))/(COUNTIFS(all_runs_combined!$H:$H,F$31,all_runs_combined!$D:$D,"true",all_runs_combined!$C:$C,"temporal")+COUNTIFS(all_runs_combined!$H:$H,F$31,all_runs_combined!$D:$D,"true",all_runs_combined!$C:$C,"target_leakage"))</f>
        <v>0.72222222222222221</v>
      </c>
      <c r="G33" s="150">
        <f>AVERAGE(B33:F33)</f>
        <v>0.6333333333333333</v>
      </c>
    </row>
    <row r="34" spans="1:7" x14ac:dyDescent="0.25">
      <c r="A34" s="50" t="s">
        <v>830</v>
      </c>
      <c r="B34" s="144">
        <f>B32-B33</f>
        <v>0.15873015873015872</v>
      </c>
      <c r="C34" s="144">
        <f t="shared" ref="C34:F34" si="3">C32-C33</f>
        <v>0.42063492063492064</v>
      </c>
      <c r="D34" s="144">
        <f t="shared" si="3"/>
        <v>0.16666666666666663</v>
      </c>
      <c r="E34" s="144">
        <f t="shared" si="3"/>
        <v>0.33333333333333337</v>
      </c>
      <c r="F34" s="144">
        <f t="shared" si="3"/>
        <v>0.25396825396825395</v>
      </c>
      <c r="G34" s="144">
        <f>G32-G33</f>
        <v>0.26666666666666672</v>
      </c>
    </row>
    <row r="37" spans="1:7" ht="15.75" x14ac:dyDescent="0.25">
      <c r="A37" s="139" t="s">
        <v>831</v>
      </c>
    </row>
    <row r="38" spans="1:7" x14ac:dyDescent="0.25">
      <c r="A38" s="140" t="s">
        <v>832</v>
      </c>
    </row>
    <row r="40" spans="1:7" x14ac:dyDescent="0.25">
      <c r="A40" s="141" t="s">
        <v>666</v>
      </c>
      <c r="B40" s="142" t="s">
        <v>5</v>
      </c>
      <c r="C40" s="142" t="s">
        <v>10</v>
      </c>
      <c r="D40" s="142" t="s">
        <v>14</v>
      </c>
      <c r="E40" s="142" t="s">
        <v>18</v>
      </c>
      <c r="F40" s="142" t="s">
        <v>22</v>
      </c>
    </row>
    <row r="41" spans="1:7" x14ac:dyDescent="0.25">
      <c r="A41" t="s">
        <v>684</v>
      </c>
      <c r="B41" s="143">
        <f>COUNTIFS(all_runs_combined!$H:$H,B$40,all_runs_combined!$E:$E,"easy",all_runs_combined!$N:$N,"TP")/COUNTIFS(all_runs_combined!$H:$H,B$40,all_runs_combined!$E:$E,"easy",all_runs_combined!$D:$D,"true")</f>
        <v>0.75</v>
      </c>
      <c r="C41" s="143">
        <f>COUNTIFS(all_runs_combined!$H:$H,C$40,all_runs_combined!$E:$E,"easy",all_runs_combined!$N:$N,"TP")/COUNTIFS(all_runs_combined!$H:$H,C$40,all_runs_combined!$E:$E,"easy",all_runs_combined!$D:$D,"true")</f>
        <v>0.75</v>
      </c>
      <c r="D41" s="143">
        <f>COUNTIFS(all_runs_combined!$H:$H,D$40,all_runs_combined!$E:$E,"easy",all_runs_combined!$N:$N,"TP")/COUNTIFS(all_runs_combined!$H:$H,D$40,all_runs_combined!$E:$E,"easy",all_runs_combined!$D:$D,"true")</f>
        <v>1</v>
      </c>
      <c r="E41" s="143">
        <f>COUNTIFS(all_runs_combined!$H:$H,E$40,all_runs_combined!$E:$E,"easy",all_runs_combined!$N:$N,"TP")/COUNTIFS(all_runs_combined!$H:$H,E$40,all_runs_combined!$E:$E,"easy",all_runs_combined!$D:$D,"true")</f>
        <v>1</v>
      </c>
      <c r="F41" s="143">
        <f>COUNTIFS(all_runs_combined!$H:$H,F$40,all_runs_combined!$E:$E,"easy",all_runs_combined!$N:$N,"TP")/COUNTIFS(all_runs_combined!$H:$H,F$40,all_runs_combined!$E:$E,"easy",all_runs_combined!$D:$D,"true")</f>
        <v>0.91666666666666663</v>
      </c>
    </row>
    <row r="42" spans="1:7" x14ac:dyDescent="0.25">
      <c r="A42" t="s">
        <v>685</v>
      </c>
      <c r="B42" s="143">
        <f>COUNTIFS(all_runs_combined!$H:$H,B$40,all_runs_combined!$E:$E,"easy-medium",all_runs_combined!$N:$N,"TP")/COUNTIFS(all_runs_combined!$H:$H,B$40,all_runs_combined!$E:$E,"easy-medium",all_runs_combined!$D:$D,"true")</f>
        <v>0.66666666666666663</v>
      </c>
      <c r="C42" s="143">
        <f>COUNTIFS(all_runs_combined!$H:$H,C$40,all_runs_combined!$E:$E,"easy-medium",all_runs_combined!$N:$N,"TP")/COUNTIFS(all_runs_combined!$H:$H,C$40,all_runs_combined!$E:$E,"easy-medium",all_runs_combined!$D:$D,"true")</f>
        <v>0.88888888888888884</v>
      </c>
      <c r="D42" s="143">
        <f>COUNTIFS(all_runs_combined!$H:$H,D$40,all_runs_combined!$E:$E,"easy-medium",all_runs_combined!$N:$N,"TP")/COUNTIFS(all_runs_combined!$H:$H,D$40,all_runs_combined!$E:$E,"easy-medium",all_runs_combined!$D:$D,"true")</f>
        <v>1</v>
      </c>
      <c r="E42" s="143">
        <f>COUNTIFS(all_runs_combined!$H:$H,E$40,all_runs_combined!$E:$E,"easy-medium",all_runs_combined!$N:$N,"TP")/COUNTIFS(all_runs_combined!$H:$H,E$40,all_runs_combined!$E:$E,"easy-medium",all_runs_combined!$D:$D,"true")</f>
        <v>1</v>
      </c>
      <c r="F42" s="143">
        <f>COUNTIFS(all_runs_combined!$H:$H,F$40,all_runs_combined!$E:$E,"easy-medium",all_runs_combined!$N:$N,"TP")/COUNTIFS(all_runs_combined!$H:$H,F$40,all_runs_combined!$E:$E,"easy-medium",all_runs_combined!$D:$D,"true")</f>
        <v>1</v>
      </c>
    </row>
    <row r="43" spans="1:7" x14ac:dyDescent="0.25">
      <c r="A43" t="s">
        <v>686</v>
      </c>
      <c r="B43" s="143">
        <f>COUNTIFS(all_runs_combined!$H:$H,B$40,all_runs_combined!$E:$E,"medium",all_runs_combined!$N:$N,"TP")/COUNTIFS(all_runs_combined!$H:$H,B$40,all_runs_combined!$E:$E,"medium",all_runs_combined!$D:$D,"true")</f>
        <v>0.66666666666666663</v>
      </c>
      <c r="C43" s="143">
        <f>COUNTIFS(all_runs_combined!$H:$H,C$40,all_runs_combined!$E:$E,"medium",all_runs_combined!$N:$N,"TP")/COUNTIFS(all_runs_combined!$H:$H,C$40,all_runs_combined!$E:$E,"medium",all_runs_combined!$D:$D,"true")</f>
        <v>0.66666666666666663</v>
      </c>
      <c r="D43" s="143">
        <f>COUNTIFS(all_runs_combined!$H:$H,D$40,all_runs_combined!$E:$E,"medium",all_runs_combined!$N:$N,"TP")/COUNTIFS(all_runs_combined!$H:$H,D$40,all_runs_combined!$E:$E,"medium",all_runs_combined!$D:$D,"true")</f>
        <v>1</v>
      </c>
      <c r="E43" s="143">
        <f>COUNTIFS(all_runs_combined!$H:$H,E$40,all_runs_combined!$E:$E,"medium",all_runs_combined!$N:$N,"TP")/COUNTIFS(all_runs_combined!$H:$H,E$40,all_runs_combined!$E:$E,"medium",all_runs_combined!$D:$D,"true")</f>
        <v>1</v>
      </c>
      <c r="F43" s="143">
        <f>COUNTIFS(all_runs_combined!$H:$H,F$40,all_runs_combined!$E:$E,"medium",all_runs_combined!$N:$N,"TP")/COUNTIFS(all_runs_combined!$H:$H,F$40,all_runs_combined!$E:$E,"medium",all_runs_combined!$D:$D,"true")</f>
        <v>1</v>
      </c>
    </row>
    <row r="44" spans="1:7" x14ac:dyDescent="0.25">
      <c r="A44" t="s">
        <v>687</v>
      </c>
      <c r="B44" s="143">
        <f>COUNTIFS(all_runs_combined!$H:$H,B$40,all_runs_combined!$E:$E,"medium-hard",all_runs_combined!$N:$N,"TP")/COUNTIFS(all_runs_combined!$H:$H,B$40,all_runs_combined!$E:$E,"medium-hard",all_runs_combined!$D:$D,"true")</f>
        <v>0.75</v>
      </c>
      <c r="C44" s="143">
        <f>COUNTIFS(all_runs_combined!$H:$H,C$40,all_runs_combined!$E:$E,"medium-hard",all_runs_combined!$N:$N,"TP")/COUNTIFS(all_runs_combined!$H:$H,C$40,all_runs_combined!$E:$E,"medium-hard",all_runs_combined!$D:$D,"true")</f>
        <v>0.58333333333333337</v>
      </c>
      <c r="D44" s="143">
        <f>COUNTIFS(all_runs_combined!$H:$H,D$40,all_runs_combined!$E:$E,"medium-hard",all_runs_combined!$N:$N,"TP")/COUNTIFS(all_runs_combined!$H:$H,D$40,all_runs_combined!$E:$E,"medium-hard",all_runs_combined!$D:$D,"true")</f>
        <v>1</v>
      </c>
      <c r="E44" s="143">
        <f>COUNTIFS(all_runs_combined!$H:$H,E$40,all_runs_combined!$E:$E,"medium-hard",all_runs_combined!$N:$N,"TP")/COUNTIFS(all_runs_combined!$H:$H,E$40,all_runs_combined!$E:$E,"medium-hard",all_runs_combined!$D:$D,"true")</f>
        <v>1</v>
      </c>
      <c r="F44" s="143">
        <f>COUNTIFS(all_runs_combined!$H:$H,F$40,all_runs_combined!$E:$E,"medium-hard",all_runs_combined!$N:$N,"TP")/COUNTIFS(all_runs_combined!$H:$H,F$40,all_runs_combined!$E:$E,"medium-hard",all_runs_combined!$D:$D,"true")</f>
        <v>1</v>
      </c>
    </row>
    <row r="45" spans="1:7" x14ac:dyDescent="0.25">
      <c r="A45" t="s">
        <v>744</v>
      </c>
      <c r="B45" s="143">
        <f>COUNTIFS(all_runs_combined!$H:$H,B$40,all_runs_combined!$E:$E,"hard",all_runs_combined!$N:$N,"TP")/COUNTIFS(all_runs_combined!$H:$H,B$40,all_runs_combined!$E:$E,"hard",all_runs_combined!$D:$D,"true")</f>
        <v>0.5</v>
      </c>
      <c r="C45" s="143">
        <f>COUNTIFS(all_runs_combined!$H:$H,C$40,all_runs_combined!$E:$E,"hard",all_runs_combined!$N:$N,"TP")/COUNTIFS(all_runs_combined!$H:$H,C$40,all_runs_combined!$E:$E,"hard",all_runs_combined!$D:$D,"true")</f>
        <v>0.41666666666666669</v>
      </c>
      <c r="D45" s="143">
        <f>COUNTIFS(all_runs_combined!$H:$H,D$40,all_runs_combined!$E:$E,"hard",all_runs_combined!$N:$N,"TP")/COUNTIFS(all_runs_combined!$H:$H,D$40,all_runs_combined!$E:$E,"hard",all_runs_combined!$D:$D,"true")</f>
        <v>0.75</v>
      </c>
      <c r="E45" s="143">
        <f>COUNTIFS(all_runs_combined!$H:$H,E$40,all_runs_combined!$E:$E,"hard",all_runs_combined!$N:$N,"TP")/COUNTIFS(all_runs_combined!$H:$H,E$40,all_runs_combined!$E:$E,"hard",all_runs_combined!$D:$D,"true")</f>
        <v>0.5</v>
      </c>
      <c r="F45" s="143">
        <f>COUNTIFS(all_runs_combined!$H:$H,F$40,all_runs_combined!$E:$E,"hard",all_runs_combined!$N:$N,"TP")/COUNTIFS(all_runs_combined!$H:$H,F$40,all_runs_combined!$E:$E,"hard",all_runs_combined!$D:$D,"true")</f>
        <v>0.58333333333333337</v>
      </c>
    </row>
    <row r="48" spans="1:7" ht="15.75" x14ac:dyDescent="0.25">
      <c r="A48" s="139" t="s">
        <v>833</v>
      </c>
    </row>
    <row r="49" spans="1:8" x14ac:dyDescent="0.25">
      <c r="A49" s="140" t="s">
        <v>834</v>
      </c>
    </row>
    <row r="51" spans="1:8" ht="30" x14ac:dyDescent="0.25">
      <c r="A51" s="141" t="s">
        <v>835</v>
      </c>
      <c r="B51" s="151" t="s">
        <v>836</v>
      </c>
      <c r="C51" s="151" t="s">
        <v>837</v>
      </c>
      <c r="D51" s="151" t="s">
        <v>838</v>
      </c>
      <c r="E51" s="151" t="s">
        <v>678</v>
      </c>
      <c r="F51" s="151" t="s">
        <v>680</v>
      </c>
      <c r="G51" s="151" t="s">
        <v>839</v>
      </c>
      <c r="H51" s="151" t="s">
        <v>840</v>
      </c>
    </row>
    <row r="52" spans="1:8" x14ac:dyDescent="0.25">
      <c r="A52" s="50" t="s">
        <v>841</v>
      </c>
      <c r="B52" s="143">
        <v>0</v>
      </c>
      <c r="C52" s="143">
        <v>0</v>
      </c>
      <c r="D52" s="143">
        <v>0</v>
      </c>
      <c r="E52" s="152" t="s">
        <v>842</v>
      </c>
      <c r="F52" s="152"/>
      <c r="G52" s="153" t="s">
        <v>843</v>
      </c>
      <c r="H52" s="154" t="s">
        <v>844</v>
      </c>
    </row>
    <row r="53" spans="1:8" x14ac:dyDescent="0.25">
      <c r="A53" s="50" t="s">
        <v>845</v>
      </c>
      <c r="B53" s="143">
        <v>0.5</v>
      </c>
      <c r="C53" s="143">
        <v>0</v>
      </c>
      <c r="D53" s="159">
        <v>0.35</v>
      </c>
      <c r="E53" s="159">
        <v>0.9</v>
      </c>
      <c r="F53" s="155" t="s">
        <v>860</v>
      </c>
      <c r="G53" s="153" t="s">
        <v>843</v>
      </c>
      <c r="H53" s="154" t="s">
        <v>846</v>
      </c>
    </row>
    <row r="54" spans="1:8" x14ac:dyDescent="0.25">
      <c r="A54" s="50" t="s">
        <v>847</v>
      </c>
      <c r="B54" s="143">
        <v>0.75</v>
      </c>
      <c r="C54" s="143">
        <v>0</v>
      </c>
      <c r="D54" s="159">
        <v>0.52500000000000002</v>
      </c>
      <c r="E54" s="159">
        <v>0.85</v>
      </c>
      <c r="F54" s="155">
        <v>0.64900000000000002</v>
      </c>
      <c r="G54" s="153" t="s">
        <v>843</v>
      </c>
      <c r="H54" s="154" t="s">
        <v>848</v>
      </c>
    </row>
    <row r="55" spans="1:8" x14ac:dyDescent="0.25">
      <c r="A55" s="156" t="s">
        <v>849</v>
      </c>
      <c r="B55" s="143">
        <f>G32</f>
        <v>0.9</v>
      </c>
      <c r="C55" s="143">
        <f>G33</f>
        <v>0.6333333333333333</v>
      </c>
      <c r="D55" s="143">
        <f>'Analytics Dashboard'!H42</f>
        <v>0.66</v>
      </c>
      <c r="E55" s="143">
        <f>'Analytics Dashboard'!G42</f>
        <v>0.90825688073394495</v>
      </c>
      <c r="F55" s="143">
        <f>'Analytics Dashboard'!I42</f>
        <v>0.76447876447876439</v>
      </c>
      <c r="G55" s="157" t="s">
        <v>850</v>
      </c>
      <c r="H55" s="154" t="s">
        <v>851</v>
      </c>
    </row>
    <row r="56" spans="1:8" x14ac:dyDescent="0.25">
      <c r="A56" s="156" t="s">
        <v>852</v>
      </c>
      <c r="B56" s="143">
        <f>G32</f>
        <v>0.9</v>
      </c>
      <c r="C56" s="143">
        <f>G33</f>
        <v>0.6333333333333333</v>
      </c>
      <c r="D56" s="143">
        <f>'Analytics Dashboard'!H43</f>
        <v>0.98</v>
      </c>
      <c r="E56" s="143">
        <f>'Analytics Dashboard'!G43</f>
        <v>0.96078431372549022</v>
      </c>
      <c r="F56" s="143">
        <f>'Analytics Dashboard'!I43</f>
        <v>0.97029702970297016</v>
      </c>
      <c r="G56" s="157" t="s">
        <v>850</v>
      </c>
      <c r="H56" s="154" t="s">
        <v>853</v>
      </c>
    </row>
    <row r="57" spans="1:8" x14ac:dyDescent="0.25">
      <c r="A57" s="156" t="s">
        <v>854</v>
      </c>
      <c r="B57" s="143">
        <f>D32</f>
        <v>1</v>
      </c>
      <c r="C57" s="143">
        <f>D33</f>
        <v>0.83333333333333337</v>
      </c>
      <c r="D57" s="143">
        <f>'Analytics Dashboard'!H33</f>
        <v>0.95</v>
      </c>
      <c r="E57" s="143">
        <f>'Analytics Dashboard'!G33</f>
        <v>1</v>
      </c>
      <c r="F57" s="143">
        <f>'Analytics Dashboard'!I33</f>
        <v>0.97435897435897434</v>
      </c>
      <c r="G57" s="157" t="s">
        <v>850</v>
      </c>
      <c r="H57" s="154" t="s">
        <v>855</v>
      </c>
    </row>
    <row r="60" spans="1:8" ht="15.75" x14ac:dyDescent="0.25">
      <c r="A60" s="139" t="s">
        <v>856</v>
      </c>
    </row>
    <row r="61" spans="1:8" x14ac:dyDescent="0.25">
      <c r="A61" s="140" t="s">
        <v>857</v>
      </c>
    </row>
    <row r="63" spans="1:8" x14ac:dyDescent="0.25">
      <c r="A63" s="141" t="s">
        <v>858</v>
      </c>
      <c r="B63" s="142" t="s">
        <v>5</v>
      </c>
      <c r="C63" s="142" t="s">
        <v>10</v>
      </c>
      <c r="D63" s="142" t="s">
        <v>14</v>
      </c>
      <c r="E63" s="142" t="s">
        <v>18</v>
      </c>
      <c r="F63" s="142" t="s">
        <v>22</v>
      </c>
    </row>
    <row r="64" spans="1:8" x14ac:dyDescent="0.25">
      <c r="A64" t="s">
        <v>817</v>
      </c>
      <c r="B64" s="158">
        <f>COUNTIFS(all_runs_combined!$H:$H,B$63,all_runs_combined!$F:$F,"specific",all_runs_combined!$C:$C,"preprocessing",all_runs_combined!$N:$N,"TP")/COUNTIFS(all_runs_combined!$H:$H,B$63,all_runs_combined!$F:$F,"specific",all_runs_combined!$C:$C,"preprocessing",all_runs_combined!$D:$D,"true")-COUNTIFS(all_runs_combined!$H:$H,B$63,all_runs_combined!$F:$F,"generic",all_runs_combined!$C:$C,"preprocessing",all_runs_combined!$N:$N,"TP")/COUNTIFS(all_runs_combined!$H:$H,B$63,all_runs_combined!$F:$F,"generic",all_runs_combined!$C:$C,"preprocessing",all_runs_combined!$D:$D,"true")</f>
        <v>0.5</v>
      </c>
      <c r="C64" s="158">
        <f>COUNTIFS(all_runs_combined!$H:$H,C$63,all_runs_combined!$F:$F,"specific",all_runs_combined!$C:$C,"preprocessing",all_runs_combined!$N:$N,"TP")/COUNTIFS(all_runs_combined!$H:$H,C$63,all_runs_combined!$F:$F,"specific",all_runs_combined!$C:$C,"preprocessing",all_runs_combined!$D:$D,"true")-COUNTIFS(all_runs_combined!$H:$H,C$63,all_runs_combined!$F:$F,"generic",all_runs_combined!$C:$C,"preprocessing",all_runs_combined!$N:$N,"TP")/COUNTIFS(all_runs_combined!$H:$H,C$63,all_runs_combined!$F:$F,"generic",all_runs_combined!$C:$C,"preprocessing",all_runs_combined!$D:$D,"true")</f>
        <v>0.5</v>
      </c>
      <c r="D64" s="158">
        <f>COUNTIFS(all_runs_combined!$H:$H,D$63,all_runs_combined!$F:$F,"specific",all_runs_combined!$C:$C,"preprocessing",all_runs_combined!$N:$N,"TP")/COUNTIFS(all_runs_combined!$H:$H,D$63,all_runs_combined!$F:$F,"specific",all_runs_combined!$C:$C,"preprocessing",all_runs_combined!$D:$D,"true")-COUNTIFS(all_runs_combined!$H:$H,D$63,all_runs_combined!$F:$F,"generic",all_runs_combined!$C:$C,"preprocessing",all_runs_combined!$N:$N,"TP")/COUNTIFS(all_runs_combined!$H:$H,D$63,all_runs_combined!$F:$F,"generic",all_runs_combined!$C:$C,"preprocessing",all_runs_combined!$D:$D,"true")</f>
        <v>0</v>
      </c>
      <c r="E64" s="158">
        <f>COUNTIFS(all_runs_combined!$H:$H,E$63,all_runs_combined!$F:$F,"specific",all_runs_combined!$C:$C,"preprocessing",all_runs_combined!$N:$N,"TP")/COUNTIFS(all_runs_combined!$H:$H,E$63,all_runs_combined!$F:$F,"specific",all_runs_combined!$C:$C,"preprocessing",all_runs_combined!$D:$D,"true")-COUNTIFS(all_runs_combined!$H:$H,E$63,all_runs_combined!$F:$F,"generic",all_runs_combined!$C:$C,"preprocessing",all_runs_combined!$N:$N,"TP")/COUNTIFS(all_runs_combined!$H:$H,E$63,all_runs_combined!$F:$F,"generic",all_runs_combined!$C:$C,"preprocessing",all_runs_combined!$D:$D,"true")</f>
        <v>0</v>
      </c>
      <c r="F64" s="158">
        <f>COUNTIFS(all_runs_combined!$H:$H,F$63,all_runs_combined!$F:$F,"specific",all_runs_combined!$C:$C,"preprocessing",all_runs_combined!$N:$N,"TP")/COUNTIFS(all_runs_combined!$H:$H,F$63,all_runs_combined!$F:$F,"specific",all_runs_combined!$C:$C,"preprocessing",all_runs_combined!$D:$D,"true")-COUNTIFS(all_runs_combined!$H:$H,F$63,all_runs_combined!$F:$F,"generic",all_runs_combined!$C:$C,"preprocessing",all_runs_combined!$N:$N,"TP")/COUNTIFS(all_runs_combined!$H:$H,F$63,all_runs_combined!$F:$F,"generic",all_runs_combined!$C:$C,"preprocessing",all_runs_combined!$D:$D,"true")</f>
        <v>0.16666666666666663</v>
      </c>
    </row>
    <row r="65" spans="1:6" x14ac:dyDescent="0.25">
      <c r="A65" t="s">
        <v>818</v>
      </c>
      <c r="B65" s="158">
        <f>COUNTIFS(all_runs_combined!$H:$H,B$63,all_runs_combined!$F:$F,"specific",all_runs_combined!$C:$C,"feature_selection",all_runs_combined!$N:$N,"TP")/COUNTIFS(all_runs_combined!$H:$H,B$63,all_runs_combined!$F:$F,"specific",all_runs_combined!$C:$C,"feature_selection",all_runs_combined!$D:$D,"true")-COUNTIFS(all_runs_combined!$H:$H,B$63,all_runs_combined!$F:$F,"generic",all_runs_combined!$C:$C,"feature_selection",all_runs_combined!$N:$N,"TP")/COUNTIFS(all_runs_combined!$H:$H,B$63,all_runs_combined!$F:$F,"generic",all_runs_combined!$C:$C,"feature_selection",all_runs_combined!$D:$D,"true")</f>
        <v>1</v>
      </c>
      <c r="C65" s="158">
        <f>COUNTIFS(all_runs_combined!$H:$H,C$63,all_runs_combined!$F:$F,"specific",all_runs_combined!$C:$C,"feature_selection",all_runs_combined!$N:$N,"TP")/COUNTIFS(all_runs_combined!$H:$H,C$63,all_runs_combined!$F:$F,"specific",all_runs_combined!$C:$C,"feature_selection",all_runs_combined!$D:$D,"true")-COUNTIFS(all_runs_combined!$H:$H,C$63,all_runs_combined!$F:$F,"generic",all_runs_combined!$C:$C,"feature_selection",all_runs_combined!$N:$N,"TP")/COUNTIFS(all_runs_combined!$H:$H,C$63,all_runs_combined!$F:$F,"generic",all_runs_combined!$C:$C,"feature_selection",all_runs_combined!$D:$D,"true")</f>
        <v>0</v>
      </c>
      <c r="D65" s="158">
        <f>COUNTIFS(all_runs_combined!$H:$H,D$63,all_runs_combined!$F:$F,"specific",all_runs_combined!$C:$C,"feature_selection",all_runs_combined!$N:$N,"TP")/COUNTIFS(all_runs_combined!$H:$H,D$63,all_runs_combined!$F:$F,"specific",all_runs_combined!$C:$C,"feature_selection",all_runs_combined!$D:$D,"true")-COUNTIFS(all_runs_combined!$H:$H,D$63,all_runs_combined!$F:$F,"generic",all_runs_combined!$C:$C,"feature_selection",all_runs_combined!$N:$N,"TP")/COUNTIFS(all_runs_combined!$H:$H,D$63,all_runs_combined!$F:$F,"generic",all_runs_combined!$C:$C,"feature_selection",all_runs_combined!$D:$D,"true")</f>
        <v>0</v>
      </c>
      <c r="E65" s="158">
        <f>COUNTIFS(all_runs_combined!$H:$H,E$63,all_runs_combined!$F:$F,"specific",all_runs_combined!$C:$C,"feature_selection",all_runs_combined!$N:$N,"TP")/COUNTIFS(all_runs_combined!$H:$H,E$63,all_runs_combined!$F:$F,"specific",all_runs_combined!$C:$C,"feature_selection",all_runs_combined!$D:$D,"true")-COUNTIFS(all_runs_combined!$H:$H,E$63,all_runs_combined!$F:$F,"generic",all_runs_combined!$C:$C,"feature_selection",all_runs_combined!$N:$N,"TP")/COUNTIFS(all_runs_combined!$H:$H,E$63,all_runs_combined!$F:$F,"generic",all_runs_combined!$C:$C,"feature_selection",all_runs_combined!$D:$D,"true")</f>
        <v>0</v>
      </c>
      <c r="F65" s="158">
        <f>COUNTIFS(all_runs_combined!$H:$H,F$63,all_runs_combined!$F:$F,"specific",all_runs_combined!$C:$C,"feature_selection",all_runs_combined!$N:$N,"TP")/COUNTIFS(all_runs_combined!$H:$H,F$63,all_runs_combined!$F:$F,"specific",all_runs_combined!$C:$C,"feature_selection",all_runs_combined!$D:$D,"true")-COUNTIFS(all_runs_combined!$H:$H,F$63,all_runs_combined!$F:$F,"generic",all_runs_combined!$C:$C,"feature_selection",all_runs_combined!$N:$N,"TP")/COUNTIFS(all_runs_combined!$H:$H,F$63,all_runs_combined!$F:$F,"generic",all_runs_combined!$C:$C,"feature_selection",all_runs_combined!$D:$D,"true")</f>
        <v>0</v>
      </c>
    </row>
    <row r="66" spans="1:6" x14ac:dyDescent="0.25">
      <c r="A66" t="s">
        <v>819</v>
      </c>
      <c r="B66" s="158">
        <f>COUNTIFS(all_runs_combined!$H:$H,B$63,all_runs_combined!$F:$F,"specific",all_runs_combined!$C:$C,"imputation",all_runs_combined!$N:$N,"TP")/COUNTIFS(all_runs_combined!$H:$H,B$63,all_runs_combined!$F:$F,"specific",all_runs_combined!$C:$C,"imputation",all_runs_combined!$D:$D,"true")-COUNTIFS(all_runs_combined!$H:$H,B$63,all_runs_combined!$F:$F,"generic",all_runs_combined!$C:$C,"imputation",all_runs_combined!$N:$N,"TP")/COUNTIFS(all_runs_combined!$H:$H,B$63,all_runs_combined!$F:$F,"generic",all_runs_combined!$C:$C,"imputation",all_runs_combined!$D:$D,"true")</f>
        <v>0.5</v>
      </c>
      <c r="C66" s="158">
        <f>COUNTIFS(all_runs_combined!$H:$H,C$63,all_runs_combined!$F:$F,"specific",all_runs_combined!$C:$C,"imputation",all_runs_combined!$N:$N,"TP")/COUNTIFS(all_runs_combined!$H:$H,C$63,all_runs_combined!$F:$F,"specific",all_runs_combined!$C:$C,"imputation",all_runs_combined!$D:$D,"true")-COUNTIFS(all_runs_combined!$H:$H,C$63,all_runs_combined!$F:$F,"generic",all_runs_combined!$C:$C,"imputation",all_runs_combined!$N:$N,"TP")/COUNTIFS(all_runs_combined!$H:$H,C$63,all_runs_combined!$F:$F,"generic",all_runs_combined!$C:$C,"imputation",all_runs_combined!$D:$D,"true")</f>
        <v>0.33333333333333337</v>
      </c>
      <c r="D66" s="158">
        <f>COUNTIFS(all_runs_combined!$H:$H,D$63,all_runs_combined!$F:$F,"specific",all_runs_combined!$C:$C,"imputation",all_runs_combined!$N:$N,"TP")/COUNTIFS(all_runs_combined!$H:$H,D$63,all_runs_combined!$F:$F,"specific",all_runs_combined!$C:$C,"imputation",all_runs_combined!$D:$D,"true")-COUNTIFS(all_runs_combined!$H:$H,D$63,all_runs_combined!$F:$F,"generic",all_runs_combined!$C:$C,"imputation",all_runs_combined!$N:$N,"TP")/COUNTIFS(all_runs_combined!$H:$H,D$63,all_runs_combined!$F:$F,"generic",all_runs_combined!$C:$C,"imputation",all_runs_combined!$D:$D,"true")</f>
        <v>0</v>
      </c>
      <c r="E66" s="158">
        <f>COUNTIFS(all_runs_combined!$H:$H,E$63,all_runs_combined!$F:$F,"specific",all_runs_combined!$C:$C,"imputation",all_runs_combined!$N:$N,"TP")/COUNTIFS(all_runs_combined!$H:$H,E$63,all_runs_combined!$F:$F,"specific",all_runs_combined!$C:$C,"imputation",all_runs_combined!$D:$D,"true")-COUNTIFS(all_runs_combined!$H:$H,E$63,all_runs_combined!$F:$F,"generic",all_runs_combined!$C:$C,"imputation",all_runs_combined!$N:$N,"TP")/COUNTIFS(all_runs_combined!$H:$H,E$63,all_runs_combined!$F:$F,"generic",all_runs_combined!$C:$C,"imputation",all_runs_combined!$D:$D,"true")</f>
        <v>0</v>
      </c>
      <c r="F66" s="158">
        <f>COUNTIFS(all_runs_combined!$H:$H,F$63,all_runs_combined!$F:$F,"specific",all_runs_combined!$C:$C,"imputation",all_runs_combined!$N:$N,"TP")/COUNTIFS(all_runs_combined!$H:$H,F$63,all_runs_combined!$F:$F,"specific",all_runs_combined!$C:$C,"imputation",all_runs_combined!$D:$D,"true")-COUNTIFS(all_runs_combined!$H:$H,F$63,all_runs_combined!$F:$F,"generic",all_runs_combined!$C:$C,"imputation",all_runs_combined!$N:$N,"TP")/COUNTIFS(all_runs_combined!$H:$H,F$63,all_runs_combined!$F:$F,"generic",all_runs_combined!$C:$C,"imputation",all_runs_combined!$D:$D,"true")</f>
        <v>0</v>
      </c>
    </row>
    <row r="67" spans="1:6" x14ac:dyDescent="0.25">
      <c r="A67" t="s">
        <v>820</v>
      </c>
      <c r="B67" s="158">
        <f>COUNTIFS(all_runs_combined!$H:$H,B$63,all_runs_combined!$F:$F,"specific",all_runs_combined!$C:$C,"cv_preprocessing",all_runs_combined!$N:$N,"TP")/COUNTIFS(all_runs_combined!$H:$H,B$63,all_runs_combined!$F:$F,"specific",all_runs_combined!$C:$C,"cv_preprocessing",all_runs_combined!$D:$D,"true")-COUNTIFS(all_runs_combined!$H:$H,B$63,all_runs_combined!$F:$F,"generic",all_runs_combined!$C:$C,"cv_preprocessing",all_runs_combined!$N:$N,"TP")/COUNTIFS(all_runs_combined!$H:$H,B$63,all_runs_combined!$F:$F,"generic",all_runs_combined!$C:$C,"cv_preprocessing",all_runs_combined!$D:$D,"true")</f>
        <v>0.66666666666666674</v>
      </c>
      <c r="C67" s="158">
        <f>COUNTIFS(all_runs_combined!$H:$H,C$63,all_runs_combined!$F:$F,"specific",all_runs_combined!$C:$C,"cv_preprocessing",all_runs_combined!$N:$N,"TP")/COUNTIFS(all_runs_combined!$H:$H,C$63,all_runs_combined!$F:$F,"specific",all_runs_combined!$C:$C,"cv_preprocessing",all_runs_combined!$D:$D,"true")-COUNTIFS(all_runs_combined!$H:$H,C$63,all_runs_combined!$F:$F,"generic",all_runs_combined!$C:$C,"cv_preprocessing",all_runs_combined!$N:$N,"TP")/COUNTIFS(all_runs_combined!$H:$H,C$63,all_runs_combined!$F:$F,"generic",all_runs_combined!$C:$C,"cv_preprocessing",all_runs_combined!$D:$D,"true")</f>
        <v>0.66666666666666674</v>
      </c>
      <c r="D67" s="158">
        <f>COUNTIFS(all_runs_combined!$H:$H,D$63,all_runs_combined!$F:$F,"specific",all_runs_combined!$C:$C,"cv_preprocessing",all_runs_combined!$N:$N,"TP")/COUNTIFS(all_runs_combined!$H:$H,D$63,all_runs_combined!$F:$F,"specific",all_runs_combined!$C:$C,"cv_preprocessing",all_runs_combined!$D:$D,"true")-COUNTIFS(all_runs_combined!$H:$H,D$63,all_runs_combined!$F:$F,"generic",all_runs_combined!$C:$C,"cv_preprocessing",all_runs_combined!$N:$N,"TP")/COUNTIFS(all_runs_combined!$H:$H,D$63,all_runs_combined!$F:$F,"generic",all_runs_combined!$C:$C,"cv_preprocessing",all_runs_combined!$D:$D,"true")</f>
        <v>0</v>
      </c>
      <c r="E67" s="158">
        <f>COUNTIFS(all_runs_combined!$H:$H,E$63,all_runs_combined!$F:$F,"specific",all_runs_combined!$C:$C,"cv_preprocessing",all_runs_combined!$N:$N,"TP")/COUNTIFS(all_runs_combined!$H:$H,E$63,all_runs_combined!$F:$F,"specific",all_runs_combined!$C:$C,"cv_preprocessing",all_runs_combined!$D:$D,"true")-COUNTIFS(all_runs_combined!$H:$H,E$63,all_runs_combined!$F:$F,"generic",all_runs_combined!$C:$C,"cv_preprocessing",all_runs_combined!$N:$N,"TP")/COUNTIFS(all_runs_combined!$H:$H,E$63,all_runs_combined!$F:$F,"generic",all_runs_combined!$C:$C,"cv_preprocessing",all_runs_combined!$D:$D,"true")</f>
        <v>0</v>
      </c>
      <c r="F67" s="158">
        <f>COUNTIFS(all_runs_combined!$H:$H,F$63,all_runs_combined!$F:$F,"specific",all_runs_combined!$C:$C,"cv_preprocessing",all_runs_combined!$N:$N,"TP")/COUNTIFS(all_runs_combined!$H:$H,F$63,all_runs_combined!$F:$F,"specific",all_runs_combined!$C:$C,"cv_preprocessing",all_runs_combined!$D:$D,"true")-COUNTIFS(all_runs_combined!$H:$H,F$63,all_runs_combined!$F:$F,"generic",all_runs_combined!$C:$C,"cv_preprocessing",all_runs_combined!$N:$N,"TP")/COUNTIFS(all_runs_combined!$H:$H,F$63,all_runs_combined!$F:$F,"generic",all_runs_combined!$C:$C,"cv_preprocessing",all_runs_combined!$D:$D,"true")</f>
        <v>0</v>
      </c>
    </row>
    <row r="68" spans="1:6" x14ac:dyDescent="0.25">
      <c r="A68" t="s">
        <v>821</v>
      </c>
      <c r="B68" s="158">
        <f>COUNTIFS(all_runs_combined!$H:$H,B$63,all_runs_combined!$F:$F,"specific",all_runs_combined!$C:$C,"oversampling",all_runs_combined!$N:$N,"TP")/COUNTIFS(all_runs_combined!$H:$H,B$63,all_runs_combined!$F:$F,"specific",all_runs_combined!$C:$C,"oversampling",all_runs_combined!$D:$D,"true")-COUNTIFS(all_runs_combined!$H:$H,B$63,all_runs_combined!$F:$F,"generic",all_runs_combined!$C:$C,"oversampling",all_runs_combined!$N:$N,"TP")/COUNTIFS(all_runs_combined!$H:$H,B$63,all_runs_combined!$F:$F,"generic",all_runs_combined!$C:$C,"oversampling",all_runs_combined!$D:$D,"true")</f>
        <v>0.33333333333333337</v>
      </c>
      <c r="C68" s="158">
        <f>COUNTIFS(all_runs_combined!$H:$H,C$63,all_runs_combined!$F:$F,"specific",all_runs_combined!$C:$C,"oversampling",all_runs_combined!$N:$N,"TP")/COUNTIFS(all_runs_combined!$H:$H,C$63,all_runs_combined!$F:$F,"specific",all_runs_combined!$C:$C,"oversampling",all_runs_combined!$D:$D,"true")-COUNTIFS(all_runs_combined!$H:$H,C$63,all_runs_combined!$F:$F,"generic",all_runs_combined!$C:$C,"oversampling",all_runs_combined!$N:$N,"TP")/COUNTIFS(all_runs_combined!$H:$H,C$63,all_runs_combined!$F:$F,"generic",all_runs_combined!$C:$C,"oversampling",all_runs_combined!$D:$D,"true")</f>
        <v>0.33333333333333337</v>
      </c>
      <c r="D68" s="158">
        <f>COUNTIFS(all_runs_combined!$H:$H,D$63,all_runs_combined!$F:$F,"specific",all_runs_combined!$C:$C,"oversampling",all_runs_combined!$N:$N,"TP")/COUNTIFS(all_runs_combined!$H:$H,D$63,all_runs_combined!$F:$F,"specific",all_runs_combined!$C:$C,"oversampling",all_runs_combined!$D:$D,"true")-COUNTIFS(all_runs_combined!$H:$H,D$63,all_runs_combined!$F:$F,"generic",all_runs_combined!$C:$C,"oversampling",all_runs_combined!$N:$N,"TP")/COUNTIFS(all_runs_combined!$H:$H,D$63,all_runs_combined!$F:$F,"generic",all_runs_combined!$C:$C,"oversampling",all_runs_combined!$D:$D,"true")</f>
        <v>0</v>
      </c>
      <c r="E68" s="158">
        <f>COUNTIFS(all_runs_combined!$H:$H,E$63,all_runs_combined!$F:$F,"specific",all_runs_combined!$C:$C,"oversampling",all_runs_combined!$N:$N,"TP")/COUNTIFS(all_runs_combined!$H:$H,E$63,all_runs_combined!$F:$F,"specific",all_runs_combined!$C:$C,"oversampling",all_runs_combined!$D:$D,"true")-COUNTIFS(all_runs_combined!$H:$H,E$63,all_runs_combined!$F:$F,"generic",all_runs_combined!$C:$C,"oversampling",all_runs_combined!$N:$N,"TP")/COUNTIFS(all_runs_combined!$H:$H,E$63,all_runs_combined!$F:$F,"generic",all_runs_combined!$C:$C,"oversampling",all_runs_combined!$D:$D,"true")</f>
        <v>0</v>
      </c>
      <c r="F68" s="158">
        <f>COUNTIFS(all_runs_combined!$H:$H,F$63,all_runs_combined!$F:$F,"specific",all_runs_combined!$C:$C,"oversampling",all_runs_combined!$N:$N,"TP")/COUNTIFS(all_runs_combined!$H:$H,F$63,all_runs_combined!$F:$F,"specific",all_runs_combined!$C:$C,"oversampling",all_runs_combined!$D:$D,"true")-COUNTIFS(all_runs_combined!$H:$H,F$63,all_runs_combined!$F:$F,"generic",all_runs_combined!$C:$C,"oversampling",all_runs_combined!$N:$N,"TP")/COUNTIFS(all_runs_combined!$H:$H,F$63,all_runs_combined!$F:$F,"generic",all_runs_combined!$C:$C,"oversampling",all_runs_combined!$D:$D,"true")</f>
        <v>0</v>
      </c>
    </row>
    <row r="69" spans="1:6" x14ac:dyDescent="0.25">
      <c r="A69" t="s">
        <v>822</v>
      </c>
      <c r="B69" s="158">
        <f>COUNTIFS(all_runs_combined!$H:$H,B$63,all_runs_combined!$F:$F,"specific",all_runs_combined!$C:$C,"temporal",all_runs_combined!$N:$N,"TP")/COUNTIFS(all_runs_combined!$H:$H,B$63,all_runs_combined!$F:$F,"specific",all_runs_combined!$C:$C,"temporal",all_runs_combined!$D:$D,"true")-COUNTIFS(all_runs_combined!$H:$H,B$63,all_runs_combined!$F:$F,"generic",all_runs_combined!$C:$C,"temporal",all_runs_combined!$N:$N,"TP")/COUNTIFS(all_runs_combined!$H:$H,B$63,all_runs_combined!$F:$F,"generic",all_runs_combined!$C:$C,"temporal",all_runs_combined!$D:$D,"true")</f>
        <v>0</v>
      </c>
      <c r="C69" s="158">
        <f>COUNTIFS(all_runs_combined!$H:$H,C$63,all_runs_combined!$F:$F,"specific",all_runs_combined!$C:$C,"temporal",all_runs_combined!$N:$N,"TP")/COUNTIFS(all_runs_combined!$H:$H,C$63,all_runs_combined!$F:$F,"specific",all_runs_combined!$C:$C,"temporal",all_runs_combined!$D:$D,"true")-COUNTIFS(all_runs_combined!$H:$H,C$63,all_runs_combined!$F:$F,"generic",all_runs_combined!$C:$C,"temporal",all_runs_combined!$N:$N,"TP")/COUNTIFS(all_runs_combined!$H:$H,C$63,all_runs_combined!$F:$F,"generic",all_runs_combined!$C:$C,"temporal",all_runs_combined!$D:$D,"true")</f>
        <v>0.66666666666666663</v>
      </c>
      <c r="D69" s="158">
        <f>COUNTIFS(all_runs_combined!$H:$H,D$63,all_runs_combined!$F:$F,"specific",all_runs_combined!$C:$C,"temporal",all_runs_combined!$N:$N,"TP")/COUNTIFS(all_runs_combined!$H:$H,D$63,all_runs_combined!$F:$F,"specific",all_runs_combined!$C:$C,"temporal",all_runs_combined!$D:$D,"true")-COUNTIFS(all_runs_combined!$H:$H,D$63,all_runs_combined!$F:$F,"generic",all_runs_combined!$C:$C,"temporal",all_runs_combined!$N:$N,"TP")/COUNTIFS(all_runs_combined!$H:$H,D$63,all_runs_combined!$F:$F,"generic",all_runs_combined!$C:$C,"temporal",all_runs_combined!$D:$D,"true")</f>
        <v>0</v>
      </c>
      <c r="E69" s="158">
        <f>COUNTIFS(all_runs_combined!$H:$H,E$63,all_runs_combined!$F:$F,"specific",all_runs_combined!$C:$C,"temporal",all_runs_combined!$N:$N,"TP")/COUNTIFS(all_runs_combined!$H:$H,E$63,all_runs_combined!$F:$F,"specific",all_runs_combined!$C:$C,"temporal",all_runs_combined!$D:$D,"true")-COUNTIFS(all_runs_combined!$H:$H,E$63,all_runs_combined!$F:$F,"generic",all_runs_combined!$C:$C,"temporal",all_runs_combined!$N:$N,"TP")/COUNTIFS(all_runs_combined!$H:$H,E$63,all_runs_combined!$F:$F,"generic",all_runs_combined!$C:$C,"temporal",all_runs_combined!$D:$D,"true")</f>
        <v>0</v>
      </c>
      <c r="F69" s="158">
        <f>COUNTIFS(all_runs_combined!$H:$H,F$63,all_runs_combined!$F:$F,"specific",all_runs_combined!$C:$C,"temporal",all_runs_combined!$N:$N,"TP")/COUNTIFS(all_runs_combined!$H:$H,F$63,all_runs_combined!$F:$F,"specific",all_runs_combined!$C:$C,"temporal",all_runs_combined!$D:$D,"true")-COUNTIFS(all_runs_combined!$H:$H,F$63,all_runs_combined!$F:$F,"generic",all_runs_combined!$C:$C,"temporal",all_runs_combined!$N:$N,"TP")/COUNTIFS(all_runs_combined!$H:$H,F$63,all_runs_combined!$F:$F,"generic",all_runs_combined!$C:$C,"temporal",all_runs_combined!$D:$D,"true")</f>
        <v>0</v>
      </c>
    </row>
    <row r="70" spans="1:6" x14ac:dyDescent="0.25">
      <c r="A70" t="s">
        <v>823</v>
      </c>
      <c r="B70" s="158">
        <f>COUNTIFS(all_runs_combined!$H:$H,B$63,all_runs_combined!$F:$F,"specific",all_runs_combined!$C:$C,"target_leakage",all_runs_combined!$N:$N,"TP")/COUNTIFS(all_runs_combined!$H:$H,B$63,all_runs_combined!$F:$F,"specific",all_runs_combined!$C:$C,"target_leakage",all_runs_combined!$D:$D,"true")-COUNTIFS(all_runs_combined!$H:$H,B$63,all_runs_combined!$F:$F,"generic",all_runs_combined!$C:$C,"target_leakage",all_runs_combined!$N:$N,"TP")/COUNTIFS(all_runs_combined!$H:$H,B$63,all_runs_combined!$F:$F,"generic",all_runs_combined!$C:$C,"target_leakage",all_runs_combined!$D:$D,"true")</f>
        <v>1</v>
      </c>
      <c r="C70" s="158">
        <f>COUNTIFS(all_runs_combined!$H:$H,C$63,all_runs_combined!$F:$F,"specific",all_runs_combined!$C:$C,"target_leakage",all_runs_combined!$N:$N,"TP")/COUNTIFS(all_runs_combined!$H:$H,C$63,all_runs_combined!$F:$F,"specific",all_runs_combined!$C:$C,"target_leakage",all_runs_combined!$D:$D,"true")-COUNTIFS(all_runs_combined!$H:$H,C$63,all_runs_combined!$F:$F,"generic",all_runs_combined!$C:$C,"target_leakage",all_runs_combined!$N:$N,"TP")/COUNTIFS(all_runs_combined!$H:$H,C$63,all_runs_combined!$F:$F,"generic",all_runs_combined!$C:$C,"target_leakage",all_runs_combined!$D:$D,"true")</f>
        <v>0.83333333333333337</v>
      </c>
      <c r="D70" s="158">
        <f>COUNTIFS(all_runs_combined!$H:$H,D$63,all_runs_combined!$F:$F,"specific",all_runs_combined!$C:$C,"target_leakage",all_runs_combined!$N:$N,"TP")/COUNTIFS(all_runs_combined!$H:$H,D$63,all_runs_combined!$F:$F,"specific",all_runs_combined!$C:$C,"target_leakage",all_runs_combined!$D:$D,"true")-COUNTIFS(all_runs_combined!$H:$H,D$63,all_runs_combined!$F:$F,"generic",all_runs_combined!$C:$C,"target_leakage",all_runs_combined!$N:$N,"TP")/COUNTIFS(all_runs_combined!$H:$H,D$63,all_runs_combined!$F:$F,"generic",all_runs_combined!$C:$C,"target_leakage",all_runs_combined!$D:$D,"true")</f>
        <v>0.5</v>
      </c>
      <c r="E70" s="158">
        <f>COUNTIFS(all_runs_combined!$H:$H,E$63,all_runs_combined!$F:$F,"specific",all_runs_combined!$C:$C,"target_leakage",all_runs_combined!$N:$N,"TP")/COUNTIFS(all_runs_combined!$H:$H,E$63,all_runs_combined!$F:$F,"specific",all_runs_combined!$C:$C,"target_leakage",all_runs_combined!$D:$D,"true")-COUNTIFS(all_runs_combined!$H:$H,E$63,all_runs_combined!$F:$F,"generic",all_runs_combined!$C:$C,"target_leakage",all_runs_combined!$N:$N,"TP")/COUNTIFS(all_runs_combined!$H:$H,E$63,all_runs_combined!$F:$F,"generic",all_runs_combined!$C:$C,"target_leakage",all_runs_combined!$D:$D,"true")</f>
        <v>1</v>
      </c>
      <c r="F70" s="158">
        <f>COUNTIFS(all_runs_combined!$H:$H,F$63,all_runs_combined!$F:$F,"specific",all_runs_combined!$C:$C,"target_leakage",all_runs_combined!$N:$N,"TP")/COUNTIFS(all_runs_combined!$H:$H,F$63,all_runs_combined!$F:$F,"specific",all_runs_combined!$C:$C,"target_leakage",all_runs_combined!$D:$D,"true")-COUNTIFS(all_runs_combined!$H:$H,F$63,all_runs_combined!$F:$F,"generic",all_runs_combined!$C:$C,"target_leakage",all_runs_combined!$N:$N,"TP")/COUNTIFS(all_runs_combined!$H:$H,F$63,all_runs_combined!$F:$F,"generic",all_runs_combined!$C:$C,"target_leakage",all_runs_combined!$D:$D,"true")</f>
        <v>0.83333333333333337</v>
      </c>
    </row>
  </sheetData>
  <conditionalFormatting sqref="B64:F70">
    <cfRule type="cellIs" dxfId="3" priority="1" operator="greaterThanOrEqual">
      <formula>0.001</formula>
    </cfRule>
  </conditionalFormatting>
  <conditionalFormatting sqref="B64:F70">
    <cfRule type="cellIs" dxfId="2" priority="2" operator="lessThanOrEqual">
      <formula>-0.001</formula>
    </cfRule>
  </conditionalFormatting>
  <conditionalFormatting sqref="B41:F45">
    <cfRule type="colorScale" priority="3">
      <colorScale>
        <cfvo type="min"/>
        <cfvo type="max"/>
        <color rgb="FFFF7128"/>
        <color rgb="FFFFEF9C"/>
      </colorScale>
    </cfRule>
  </conditionalFormatting>
  <conditionalFormatting sqref="B64:F70">
    <cfRule type="cellIs" dxfId="1" priority="4" operator="greaterThanOrEqual">
      <formula>0.001</formula>
    </cfRule>
  </conditionalFormatting>
  <conditionalFormatting sqref="B64:F70">
    <cfRule type="cellIs" dxfId="0" priority="5" operator="lessThanOrEqual">
      <formula>-0.001</formula>
    </cfRule>
  </conditionalFormatting>
  <pageMargins left="0.23622047244094491" right="0.23622047244094491" top="0.74803149606299213" bottom="0.74803149606299213" header="0.31496062992125984" footer="0.31496062992125984"/>
  <pageSetup scale="34" fitToWidth="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100252910F3DD40B62AAD85AC73FA34" ma:contentTypeVersion="5" ma:contentTypeDescription="Create a new document." ma:contentTypeScope="" ma:versionID="429e7f1edbd38a7d3e7d51958bbed262">
  <xsd:schema xmlns:xsd="http://www.w3.org/2001/XMLSchema" xmlns:xs="http://www.w3.org/2001/XMLSchema" xmlns:p="http://schemas.microsoft.com/office/2006/metadata/properties" xmlns:ns3="b111ca7b-c67b-49c4-a461-f53bd988b80e" targetNamespace="http://schemas.microsoft.com/office/2006/metadata/properties" ma:root="true" ma:fieldsID="b640ce2afd17267de7feb03c83e58eba" ns3:_="">
    <xsd:import namespace="b111ca7b-c67b-49c4-a461-f53bd988b80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11ca7b-c67b-49c4-a461-f53bd988b8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b111ca7b-c67b-49c4-a461-f53bd988b80e" xsi:nil="true"/>
  </documentManagement>
</p:properties>
</file>

<file path=customXml/itemProps1.xml><?xml version="1.0" encoding="utf-8"?>
<ds:datastoreItem xmlns:ds="http://schemas.openxmlformats.org/officeDocument/2006/customXml" ds:itemID="{980935E7-C5A7-4A3B-970D-32BA72BF7A0F}">
  <ds:schemaRefs>
    <ds:schemaRef ds:uri="http://schemas.microsoft.com/sharepoint/v3/contenttype/forms"/>
  </ds:schemaRefs>
</ds:datastoreItem>
</file>

<file path=customXml/itemProps2.xml><?xml version="1.0" encoding="utf-8"?>
<ds:datastoreItem xmlns:ds="http://schemas.openxmlformats.org/officeDocument/2006/customXml" ds:itemID="{34F8ABBD-B823-4F56-A989-1CABC28103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11ca7b-c67b-49c4-a461-f53bd988b8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8D631D-3104-4B24-9E40-42F3E7A01E32}">
  <ds:schemaRefs>
    <ds:schemaRef ds:uri="http://schemas.microsoft.com/DataMashup"/>
  </ds:schemaRefs>
</ds:datastoreItem>
</file>

<file path=customXml/itemProps4.xml><?xml version="1.0" encoding="utf-8"?>
<ds:datastoreItem xmlns:ds="http://schemas.openxmlformats.org/officeDocument/2006/customXml" ds:itemID="{DDE54F99-D322-4A0A-A97C-30ADB7DE72EA}">
  <ds:schemaRefs>
    <ds:schemaRef ds:uri="http://schemas.microsoft.com/office/2006/documentManagement/types"/>
    <ds:schemaRef ds:uri="http://schemas.microsoft.com/office/2006/metadata/properties"/>
    <ds:schemaRef ds:uri="http://www.w3.org/XML/1998/namespace"/>
    <ds:schemaRef ds:uri="http://purl.org/dc/elements/1.1/"/>
    <ds:schemaRef ds:uri="http://purl.org/dc/terms/"/>
    <ds:schemaRef ds:uri="http://purl.org/dc/dcmitype/"/>
    <ds:schemaRef ds:uri="b111ca7b-c67b-49c4-a461-f53bd988b80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all_runs_combined</vt:lpstr>
      <vt:lpstr>Analytics Dashboard</vt:lpstr>
      <vt:lpstr>_ChartData</vt:lpstr>
      <vt:lpstr>Extended Analytics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Raghunandan</dc:creator>
  <cp:lastModifiedBy>Aditya Raghunandan</cp:lastModifiedBy>
  <cp:lastPrinted>2026-04-03T22:45:21Z</cp:lastPrinted>
  <dcterms:created xsi:type="dcterms:W3CDTF">2026-03-26T20:46:24Z</dcterms:created>
  <dcterms:modified xsi:type="dcterms:W3CDTF">2026-04-03T22:45:26Z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0x0101009100252910F3DD40B62AAD85AC73FA34</vt:lpwstr>
  </property>
</Properties>
</file>